
<file path=[Content_Types].xml><?xml version="1.0" encoding="utf-8"?>
<Types xmlns="http://schemas.openxmlformats.org/package/2006/content-types">
  <Default Extension="emf" ContentType="image/x-emf"/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e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35"/>
  </bookViews>
  <sheets>
    <sheet name="CCD点子统计" sheetId="1" r:id="rId1"/>
    <sheet name="Sheet3" sheetId="3" r:id="rId2"/>
  </sheets>
  <definedNames>
    <definedName name="_xlnm._FilterDatabase" localSheetId="0" hidden="1">CCD点子统计!$A$1:$AH$5512</definedName>
  </definedNames>
  <calcPr calcId="144525"/>
</workbook>
</file>

<file path=xl/comments1.xml><?xml version="1.0" encoding="utf-8"?>
<comments xmlns="http://schemas.openxmlformats.org/spreadsheetml/2006/main">
  <authors>
    <author>lksj03</author>
  </authors>
  <commentList>
    <comment ref="A1730" authorId="0">
      <text>
        <r>
          <rPr>
            <sz val="9"/>
            <rFont val="宋体"/>
            <charset val="134"/>
          </rPr>
          <t xml:space="preserve">更换主挤过滤器
</t>
        </r>
      </text>
    </comment>
    <comment ref="AB5420" authorId="0">
      <text>
        <r>
          <rPr>
            <b/>
            <sz val="9"/>
            <rFont val="宋体"/>
            <charset val="134"/>
          </rPr>
          <t>lksj03:</t>
        </r>
        <r>
          <rPr>
            <sz val="9"/>
            <rFont val="宋体"/>
            <charset val="134"/>
          </rPr>
          <t xml:space="preserve">
960米过渡片</t>
        </r>
      </text>
    </comment>
  </commentList>
</comments>
</file>

<file path=xl/sharedStrings.xml><?xml version="1.0" encoding="utf-8"?>
<sst xmlns="http://schemas.openxmlformats.org/spreadsheetml/2006/main" count="5251" uniqueCount="3514">
  <si>
    <t>日期</t>
  </si>
  <si>
    <t>下轴时间</t>
  </si>
  <si>
    <t>轴号</t>
  </si>
  <si>
    <t>蚊虫</t>
  </si>
  <si>
    <t>划伤</t>
  </si>
  <si>
    <t>异物斑</t>
  </si>
  <si>
    <t>特殊亮点</t>
  </si>
  <si>
    <t>丝状物</t>
  </si>
  <si>
    <t>粉尘</t>
  </si>
  <si>
    <t>低聚物</t>
  </si>
  <si>
    <t>包状低聚物</t>
  </si>
  <si>
    <t>包状亮点</t>
  </si>
  <si>
    <t>气泡</t>
  </si>
  <si>
    <t>指甲印</t>
  </si>
  <si>
    <t>熔体斑</t>
  </si>
  <si>
    <t>杂质点</t>
  </si>
  <si>
    <t>溅液点</t>
  </si>
  <si>
    <t>碎划伤</t>
  </si>
  <si>
    <t>包点</t>
  </si>
  <si>
    <t>拉丝亮点</t>
  </si>
  <si>
    <t>管壁料</t>
  </si>
  <si>
    <t>膜内点</t>
  </si>
  <si>
    <t>实际低聚物</t>
  </si>
  <si>
    <t>实际粉尘</t>
  </si>
  <si>
    <t>实际蚊虫</t>
  </si>
  <si>
    <t>膜外点</t>
  </si>
  <si>
    <t>米数</t>
  </si>
  <si>
    <t>个/100米</t>
  </si>
  <si>
    <t>型号</t>
  </si>
  <si>
    <t>厚度</t>
  </si>
  <si>
    <t>杂质点折算成188um/100m</t>
  </si>
  <si>
    <t>膜内点个/100米</t>
  </si>
  <si>
    <t>膜外点个/100米</t>
  </si>
  <si>
    <t>黑点</t>
  </si>
  <si>
    <t>絮凝点</t>
  </si>
  <si>
    <t>压痕</t>
  </si>
  <si>
    <t>异物</t>
  </si>
  <si>
    <t>其它</t>
  </si>
  <si>
    <t>点折算成188um/100m</t>
  </si>
  <si>
    <t>23:31-0:15</t>
  </si>
  <si>
    <t>H2610081</t>
  </si>
  <si>
    <t>PG32B</t>
  </si>
  <si>
    <t>0：57-2:22</t>
  </si>
  <si>
    <t>H2610083</t>
  </si>
  <si>
    <t>PG32DS</t>
  </si>
  <si>
    <t>2：22-3:48</t>
  </si>
  <si>
    <t>H2610084</t>
  </si>
  <si>
    <t>3：48-4:58</t>
  </si>
  <si>
    <t>H2610085</t>
  </si>
  <si>
    <t>PG31DS</t>
  </si>
  <si>
    <t>6：10-7:21</t>
  </si>
  <si>
    <t>H2610086</t>
  </si>
  <si>
    <t>7:21-8：34</t>
  </si>
  <si>
    <t>H2610088</t>
  </si>
  <si>
    <t>8:34-9：46</t>
  </si>
  <si>
    <t>H2610089</t>
  </si>
  <si>
    <t>9：46-10:41</t>
  </si>
  <si>
    <t>H2610090</t>
  </si>
  <si>
    <t>PG32D</t>
  </si>
  <si>
    <t>10:41-11:30</t>
  </si>
  <si>
    <t>H2610091</t>
  </si>
  <si>
    <t>11:30-12:23</t>
  </si>
  <si>
    <t>H2610092</t>
  </si>
  <si>
    <t>12:23-13:08</t>
  </si>
  <si>
    <t>H2610093</t>
  </si>
  <si>
    <t>13：08-14：01</t>
  </si>
  <si>
    <t>H2610094</t>
  </si>
  <si>
    <t>14:01-15:34</t>
  </si>
  <si>
    <t>H2610095</t>
  </si>
  <si>
    <t>15:34-16:32</t>
  </si>
  <si>
    <t>H2610096</t>
  </si>
  <si>
    <t>16:32-18:03</t>
  </si>
  <si>
    <t>H2610097</t>
  </si>
  <si>
    <t>18:03-19:13</t>
  </si>
  <si>
    <t>H2610098</t>
  </si>
  <si>
    <t>19:13-20:19</t>
  </si>
  <si>
    <t>H2610099</t>
  </si>
  <si>
    <t>20:19-21:26</t>
  </si>
  <si>
    <t>H2610100</t>
  </si>
  <si>
    <t>21:26-22:32</t>
  </si>
  <si>
    <t>H2610101</t>
  </si>
  <si>
    <t>23:09-23:52</t>
  </si>
  <si>
    <t>H2610103</t>
  </si>
  <si>
    <t>PG32M</t>
  </si>
  <si>
    <t>23:52-1:17</t>
  </si>
  <si>
    <t>H2610104</t>
  </si>
  <si>
    <t>1：17-2:42</t>
  </si>
  <si>
    <t>H2610105</t>
  </si>
  <si>
    <t>2：42-4:06</t>
  </si>
  <si>
    <t>H2610106</t>
  </si>
  <si>
    <t>4：06-5:31</t>
  </si>
  <si>
    <t>H2610107</t>
  </si>
  <si>
    <t>5：31-6:56</t>
  </si>
  <si>
    <t>H2610108</t>
  </si>
  <si>
    <t>6：56-8:21</t>
  </si>
  <si>
    <t>H2610109</t>
  </si>
  <si>
    <t>8:21-9：45</t>
  </si>
  <si>
    <t>H2610110</t>
  </si>
  <si>
    <t>9：45-10：39</t>
  </si>
  <si>
    <t>H2610111</t>
  </si>
  <si>
    <t>10:39-12:10</t>
  </si>
  <si>
    <t>H2610112</t>
  </si>
  <si>
    <t>12：10-13：34</t>
  </si>
  <si>
    <t>H2610113</t>
  </si>
  <si>
    <t>16：51-18：01</t>
  </si>
  <si>
    <t>H2610115</t>
  </si>
  <si>
    <t>PG42Y</t>
  </si>
  <si>
    <t>18：01-19:13</t>
  </si>
  <si>
    <t>H2610116</t>
  </si>
  <si>
    <t>19:13-20:25</t>
  </si>
  <si>
    <t>H2610117</t>
  </si>
  <si>
    <t>20：25-21：43</t>
  </si>
  <si>
    <t>H2610118</t>
  </si>
  <si>
    <t>21:43-22:55</t>
  </si>
  <si>
    <t>H2610119</t>
  </si>
  <si>
    <t>22:55-0:07</t>
  </si>
  <si>
    <t>H2610120</t>
  </si>
  <si>
    <t>0：01-0:47</t>
  </si>
  <si>
    <t>H2610121</t>
  </si>
  <si>
    <t>0：47-1:52</t>
  </si>
  <si>
    <t>H2610122</t>
  </si>
  <si>
    <t>1：52-3:02</t>
  </si>
  <si>
    <t>H2610123</t>
  </si>
  <si>
    <t>3：02-4:13</t>
  </si>
  <si>
    <t>H2610124</t>
  </si>
  <si>
    <t>4：13-5:57</t>
  </si>
  <si>
    <t>H2610125</t>
  </si>
  <si>
    <t>10:31-11:13</t>
  </si>
  <si>
    <t>H2610129</t>
  </si>
  <si>
    <t>11:13-12:36</t>
  </si>
  <si>
    <t>H2610160</t>
  </si>
  <si>
    <t>12:36-13:23</t>
  </si>
  <si>
    <t>H2610161</t>
  </si>
  <si>
    <t>13:23-14:44</t>
  </si>
  <si>
    <t>H2610162</t>
  </si>
  <si>
    <t>14:44-16:06</t>
  </si>
  <si>
    <t>H2610163</t>
  </si>
  <si>
    <t>16:06-17:28</t>
  </si>
  <si>
    <t>H2610164</t>
  </si>
  <si>
    <t>17:28-18:10</t>
  </si>
  <si>
    <t>H2610165</t>
  </si>
  <si>
    <t>18:10-19:32</t>
  </si>
  <si>
    <t>H2610166</t>
  </si>
  <si>
    <t>19：50-21:12</t>
  </si>
  <si>
    <t>H2610168</t>
  </si>
  <si>
    <t>21:12-22:41</t>
  </si>
  <si>
    <t>H2610169</t>
  </si>
  <si>
    <t>22:41-0:09</t>
  </si>
  <si>
    <t>H2610170</t>
  </si>
  <si>
    <t>0：09-1:31</t>
  </si>
  <si>
    <t>H2610171</t>
  </si>
  <si>
    <t>1:31-2:53</t>
  </si>
  <si>
    <t>H2610172</t>
  </si>
  <si>
    <t>3：30-4:12</t>
  </si>
  <si>
    <t>H2610174</t>
  </si>
  <si>
    <t>4：12-5:03</t>
  </si>
  <si>
    <t>H2610175</t>
  </si>
  <si>
    <t>5：03-5:53</t>
  </si>
  <si>
    <t>H2610176</t>
  </si>
  <si>
    <t>5：53-6:46</t>
  </si>
  <si>
    <t>H2610177</t>
  </si>
  <si>
    <t>H2610178</t>
  </si>
  <si>
    <t>8：15-9:37</t>
  </si>
  <si>
    <t>H2610179</t>
  </si>
  <si>
    <t>9：37-10:59</t>
  </si>
  <si>
    <t>H2610180</t>
  </si>
  <si>
    <t>10:59-11:47</t>
  </si>
  <si>
    <t>H2610181</t>
  </si>
  <si>
    <t>11:47-14:47</t>
  </si>
  <si>
    <t>H2610182</t>
  </si>
  <si>
    <t>12:47-14:26</t>
  </si>
  <si>
    <t>H2610183</t>
  </si>
  <si>
    <t>14:26-15:22</t>
  </si>
  <si>
    <t>H2610184</t>
  </si>
  <si>
    <t>16:24-17:20</t>
  </si>
  <si>
    <t>H2610186</t>
  </si>
  <si>
    <t>17:20-18:21</t>
  </si>
  <si>
    <t>H2610187</t>
  </si>
  <si>
    <t>18:35-19:25</t>
  </si>
  <si>
    <t>H2610188</t>
  </si>
  <si>
    <t>19:25-21:02</t>
  </si>
  <si>
    <t>H2610190</t>
  </si>
  <si>
    <t>21:02-22:09</t>
  </si>
  <si>
    <t>H2610191</t>
  </si>
  <si>
    <t>22:09-23:04</t>
  </si>
  <si>
    <t>H2610192</t>
  </si>
  <si>
    <t>23:22-0:20</t>
  </si>
  <si>
    <t>H2610194</t>
  </si>
  <si>
    <t>0：20-1:18</t>
  </si>
  <si>
    <t>H2610195</t>
  </si>
  <si>
    <t>1：18-2:20</t>
  </si>
  <si>
    <t>H2610196</t>
  </si>
  <si>
    <t>2：20-3:12</t>
  </si>
  <si>
    <t>H2610197</t>
  </si>
  <si>
    <t>3：12-4:17</t>
  </si>
  <si>
    <t>H2610198</t>
  </si>
  <si>
    <t>4：17-5：58</t>
  </si>
  <si>
    <t>H2610199</t>
  </si>
  <si>
    <t>5：58-6:49</t>
  </si>
  <si>
    <t>H2610200</t>
  </si>
  <si>
    <t>12：06-13：08</t>
  </si>
  <si>
    <t>H2610202</t>
  </si>
  <si>
    <t>PF21</t>
  </si>
  <si>
    <t>13:50-14:36</t>
  </si>
  <si>
    <t>H2610204</t>
  </si>
  <si>
    <t>14:36-16:14</t>
  </si>
  <si>
    <t>H2610205</t>
  </si>
  <si>
    <t>16：14-18：01</t>
  </si>
  <si>
    <t>H2610206</t>
  </si>
  <si>
    <t>18:01-18:37</t>
  </si>
  <si>
    <t>H2610207</t>
  </si>
  <si>
    <t>20：36-21：21</t>
  </si>
  <si>
    <t>H2610210</t>
  </si>
  <si>
    <t>21:21-22:51</t>
  </si>
  <si>
    <t>H2610211</t>
  </si>
  <si>
    <t>22:51-0:21</t>
  </si>
  <si>
    <t>H2610212</t>
  </si>
  <si>
    <t>0：21-0:59</t>
  </si>
  <si>
    <t>H2610213</t>
  </si>
  <si>
    <t>1：44-3:14</t>
  </si>
  <si>
    <t>H2610215</t>
  </si>
  <si>
    <t>3：14-4:12</t>
  </si>
  <si>
    <t>H2610216</t>
  </si>
  <si>
    <t>6：29-7:05</t>
  </si>
  <si>
    <t>H2610220</t>
  </si>
  <si>
    <t>7:47-8：34</t>
  </si>
  <si>
    <t>H2610222</t>
  </si>
  <si>
    <t>11:18-12:15</t>
  </si>
  <si>
    <t>H2610224</t>
  </si>
  <si>
    <t>PG22C</t>
  </si>
  <si>
    <t>12：15-13：51</t>
  </si>
  <si>
    <t>H2610225</t>
  </si>
  <si>
    <t>13:51-14:50</t>
  </si>
  <si>
    <t>H2610226</t>
  </si>
  <si>
    <t>14:50-15:46</t>
  </si>
  <si>
    <t>H2610227</t>
  </si>
  <si>
    <t>17：35-18:27</t>
  </si>
  <si>
    <t>H2610228</t>
  </si>
  <si>
    <t>18:27-20:05</t>
  </si>
  <si>
    <t>H2610230</t>
  </si>
  <si>
    <t>20:05-21:36</t>
  </si>
  <si>
    <t>H2610231</t>
  </si>
  <si>
    <t>21:36-23:23</t>
  </si>
  <si>
    <t>H2610232</t>
  </si>
  <si>
    <t>23:23-1:03</t>
  </si>
  <si>
    <t>H2610233</t>
  </si>
  <si>
    <t>1：03-1:56</t>
  </si>
  <si>
    <t>H2610234</t>
  </si>
  <si>
    <t>1：56-3:36</t>
  </si>
  <si>
    <t>H2610235</t>
  </si>
  <si>
    <t>3：36-4:26</t>
  </si>
  <si>
    <t>H2610236</t>
  </si>
  <si>
    <t>PG21C</t>
  </si>
  <si>
    <t>4：26-5:56</t>
  </si>
  <si>
    <t>H2610237</t>
  </si>
  <si>
    <t>5：56-7:01</t>
  </si>
  <si>
    <t>H2610238</t>
  </si>
  <si>
    <t>FP21</t>
  </si>
  <si>
    <t>7：01-8:02</t>
  </si>
  <si>
    <t>H2610239</t>
  </si>
  <si>
    <t>8：38-9:28</t>
  </si>
  <si>
    <t>H2610241</t>
  </si>
  <si>
    <t>9：28-10:23</t>
  </si>
  <si>
    <t>H2610242</t>
  </si>
  <si>
    <t>10:23-11:22</t>
  </si>
  <si>
    <t>H2610243</t>
  </si>
  <si>
    <t>11：22-12:42</t>
  </si>
  <si>
    <t>H2610244</t>
  </si>
  <si>
    <t>12:42-13:59</t>
  </si>
  <si>
    <t>H2610245</t>
  </si>
  <si>
    <t>16:23-17:02</t>
  </si>
  <si>
    <t>H2610271</t>
  </si>
  <si>
    <t>17：02-18:01</t>
  </si>
  <si>
    <t>H2610272</t>
  </si>
  <si>
    <t>0:24-1:07</t>
  </si>
  <si>
    <t>H2610275</t>
  </si>
  <si>
    <t>1：07-2:11</t>
  </si>
  <si>
    <t>H2610276</t>
  </si>
  <si>
    <t>2：11-3:11</t>
  </si>
  <si>
    <t>H2610277</t>
  </si>
  <si>
    <t>3：11-4:11</t>
  </si>
  <si>
    <t>H2610278</t>
  </si>
  <si>
    <t>4：11-5:12</t>
  </si>
  <si>
    <t>H2610279</t>
  </si>
  <si>
    <t>5：12-6:19</t>
  </si>
  <si>
    <t>H2610280</t>
  </si>
  <si>
    <t>6：19-7:20</t>
  </si>
  <si>
    <t>H2610281</t>
  </si>
  <si>
    <t>7：20+-8:21</t>
  </si>
  <si>
    <t>H2610282</t>
  </si>
  <si>
    <t>8：21-9:22</t>
  </si>
  <si>
    <t>H2610283</t>
  </si>
  <si>
    <t>9：22-10:23</t>
  </si>
  <si>
    <t>H2610284</t>
  </si>
  <si>
    <t>10:23-11:29</t>
  </si>
  <si>
    <t>H2610285</t>
  </si>
  <si>
    <t>11:29-12:33</t>
  </si>
  <si>
    <t>H2610286</t>
  </si>
  <si>
    <t>12:33-13:34</t>
  </si>
  <si>
    <t>H2610287</t>
  </si>
  <si>
    <t>13:34-14:35</t>
  </si>
  <si>
    <t>H2610288</t>
  </si>
  <si>
    <t>15：07-15：47</t>
  </si>
  <si>
    <t>H2610290</t>
  </si>
  <si>
    <t>15：47-17：13</t>
  </si>
  <si>
    <t>H2610291</t>
  </si>
  <si>
    <t>17:13-18:33</t>
  </si>
  <si>
    <t>H2610292</t>
  </si>
  <si>
    <t>18:33-20:05</t>
  </si>
  <si>
    <t>H2610293</t>
  </si>
  <si>
    <t>20:05-21:53</t>
  </si>
  <si>
    <t>H2610294</t>
  </si>
  <si>
    <t>21:53-22:56</t>
  </si>
  <si>
    <t>H2610295</t>
  </si>
  <si>
    <t>22:56-23:55</t>
  </si>
  <si>
    <t>H2610296</t>
  </si>
  <si>
    <t>23:55-0:49</t>
  </si>
  <si>
    <t>H2610297</t>
  </si>
  <si>
    <t>1：08-1:59</t>
  </si>
  <si>
    <t>H2610299</t>
  </si>
  <si>
    <t>1：59-2:56</t>
  </si>
  <si>
    <t>H2610300</t>
  </si>
  <si>
    <t>2:56-3：56</t>
  </si>
  <si>
    <t>H2610301</t>
  </si>
  <si>
    <t>3：56-5:36</t>
  </si>
  <si>
    <t>H2610302</t>
  </si>
  <si>
    <t>5：36-6:29</t>
  </si>
  <si>
    <t>H2610303</t>
  </si>
  <si>
    <t>6：29-8:22</t>
  </si>
  <si>
    <t>H2610304</t>
  </si>
  <si>
    <t>8：22-9:12</t>
  </si>
  <si>
    <t>H2610305</t>
  </si>
  <si>
    <t>9：12-10:52</t>
  </si>
  <si>
    <t>H2610306</t>
  </si>
  <si>
    <t>15：27-16：04</t>
  </si>
  <si>
    <t>H2610308</t>
  </si>
  <si>
    <t>16:04-17:40</t>
  </si>
  <si>
    <t>H2610309</t>
  </si>
  <si>
    <t>17:40-18:54</t>
  </si>
  <si>
    <t>H2610310</t>
  </si>
  <si>
    <t>FPT31</t>
  </si>
  <si>
    <t>18:54-19:51</t>
  </si>
  <si>
    <t>H2610311</t>
  </si>
  <si>
    <t>FP2</t>
  </si>
  <si>
    <t>19：51-20:39</t>
  </si>
  <si>
    <t>H2610312</t>
  </si>
  <si>
    <t>20:39-21:26</t>
  </si>
  <si>
    <t>H2610313</t>
  </si>
  <si>
    <t>21:26-22:13</t>
  </si>
  <si>
    <t>H2610314</t>
  </si>
  <si>
    <t>22:13-23：31</t>
  </si>
  <si>
    <t>H2610315</t>
  </si>
  <si>
    <t>23:31-0:45</t>
  </si>
  <si>
    <t>H2610316</t>
  </si>
  <si>
    <t>0：45-1:58</t>
  </si>
  <si>
    <t>H2610317</t>
  </si>
  <si>
    <t>1：58-3:12</t>
  </si>
  <si>
    <t>H2610318</t>
  </si>
  <si>
    <t>3：12-3:50</t>
  </si>
  <si>
    <t>H2610319</t>
  </si>
  <si>
    <t>4:08-5：21</t>
  </si>
  <si>
    <t>H2610321</t>
  </si>
  <si>
    <t>5：21-7:02</t>
  </si>
  <si>
    <t>H2610322</t>
  </si>
  <si>
    <t>9:35-10：18</t>
  </si>
  <si>
    <t>H2610326</t>
  </si>
  <si>
    <t>10：18-11：44</t>
  </si>
  <si>
    <t>H2610327</t>
  </si>
  <si>
    <t>11：44-13：25</t>
  </si>
  <si>
    <t>H2610328</t>
  </si>
  <si>
    <t>13：25-14:14</t>
  </si>
  <si>
    <t>H2610329</t>
  </si>
  <si>
    <t>14:14-15:08</t>
  </si>
  <si>
    <t>H2610330</t>
  </si>
  <si>
    <t>15:08-16:35</t>
  </si>
  <si>
    <t>H2610331</t>
  </si>
  <si>
    <t>16:35-17:30</t>
  </si>
  <si>
    <t>H2610332</t>
  </si>
  <si>
    <t>17:30-18:14</t>
  </si>
  <si>
    <t>H2610333</t>
  </si>
  <si>
    <t>18:14-18:57</t>
  </si>
  <si>
    <t>H2610334</t>
  </si>
  <si>
    <t>18:57-19:51</t>
  </si>
  <si>
    <t>H2610335</t>
  </si>
  <si>
    <t>19:51-20:34</t>
  </si>
  <si>
    <t>H2610336</t>
  </si>
  <si>
    <t>20:34-21:23</t>
  </si>
  <si>
    <t>H2610337</t>
  </si>
  <si>
    <t>23:06-23:57</t>
  </si>
  <si>
    <t>H2610341</t>
  </si>
  <si>
    <t>23:57-1:37</t>
  </si>
  <si>
    <t>H2610342</t>
  </si>
  <si>
    <t>1：37-2:31</t>
  </si>
  <si>
    <t>H2610343</t>
  </si>
  <si>
    <t>2:31-4：10</t>
  </si>
  <si>
    <t>H2610344</t>
  </si>
  <si>
    <t>5：01-5:52</t>
  </si>
  <si>
    <t>H2610346</t>
  </si>
  <si>
    <t>10:36-11：20</t>
  </si>
  <si>
    <t>H2610349</t>
  </si>
  <si>
    <t>11:20-12:45</t>
  </si>
  <si>
    <t>H2610350</t>
  </si>
  <si>
    <t>12:45-14:14</t>
  </si>
  <si>
    <t>H2610351</t>
  </si>
  <si>
    <t>14：14-15：47</t>
  </si>
  <si>
    <t>H2610352</t>
  </si>
  <si>
    <t>15:47-17:14</t>
  </si>
  <si>
    <t>H2610353</t>
  </si>
  <si>
    <t>17:14-18:51</t>
  </si>
  <si>
    <t>H2610354</t>
  </si>
  <si>
    <t>19：32-20:35</t>
  </si>
  <si>
    <t>H2610358</t>
  </si>
  <si>
    <t>20:35-22:00</t>
  </si>
  <si>
    <t>H2610359</t>
  </si>
  <si>
    <t>22:00-22:51</t>
  </si>
  <si>
    <t>H2610360</t>
  </si>
  <si>
    <t>0：19-1:11</t>
  </si>
  <si>
    <t>H2610361</t>
  </si>
  <si>
    <t>1：11-2:21</t>
  </si>
  <si>
    <t>H2610362</t>
  </si>
  <si>
    <t>2：21-3:52</t>
  </si>
  <si>
    <t>H2610365</t>
  </si>
  <si>
    <t>3：52-4:39</t>
  </si>
  <si>
    <t>H2610366</t>
  </si>
  <si>
    <t>4：39-4:56</t>
  </si>
  <si>
    <t>H2610368</t>
  </si>
  <si>
    <t>5:50-6:41</t>
  </si>
  <si>
    <t>H2610369</t>
  </si>
  <si>
    <t>6:41-8:20</t>
  </si>
  <si>
    <t>H2610370</t>
  </si>
  <si>
    <t>8：20-9:11</t>
  </si>
  <si>
    <t>H2610371</t>
  </si>
  <si>
    <t>14:05-14:38</t>
  </si>
  <si>
    <t>H2610373</t>
  </si>
  <si>
    <t>14：38-15:45</t>
  </si>
  <si>
    <t>H2610374</t>
  </si>
  <si>
    <t>15:45-16:37</t>
  </si>
  <si>
    <t>H2610375</t>
  </si>
  <si>
    <t>FP22</t>
  </si>
  <si>
    <t>16:37-18:17</t>
  </si>
  <si>
    <t>H2610376</t>
  </si>
  <si>
    <t>18:17-19:08</t>
  </si>
  <si>
    <t>H2610377</t>
  </si>
  <si>
    <t>19:08-19:43</t>
  </si>
  <si>
    <t>H2610378</t>
  </si>
  <si>
    <t>20:36-21:26</t>
  </si>
  <si>
    <t>H2610380</t>
  </si>
  <si>
    <t>21:26-23:03</t>
  </si>
  <si>
    <t>H2610381</t>
  </si>
  <si>
    <t>2:05-2:56</t>
  </si>
  <si>
    <t>H2610383</t>
  </si>
  <si>
    <t>2：56-4:34</t>
  </si>
  <si>
    <t>H2610384</t>
  </si>
  <si>
    <t>4：34-6:16</t>
  </si>
  <si>
    <t>H2610385</t>
  </si>
  <si>
    <t>6：16-7:54</t>
  </si>
  <si>
    <t>H2610386</t>
  </si>
  <si>
    <t>9：01-10:06</t>
  </si>
  <si>
    <t>H2610390</t>
  </si>
  <si>
    <t>10：06-11：11</t>
  </si>
  <si>
    <t>H2610391</t>
  </si>
  <si>
    <t>12:44-14:03</t>
  </si>
  <si>
    <t>H2610395</t>
  </si>
  <si>
    <t>14：03-15:10</t>
  </si>
  <si>
    <t>H2610396</t>
  </si>
  <si>
    <t>15:10-16:21</t>
  </si>
  <si>
    <t>H2610397</t>
  </si>
  <si>
    <t>16:21-17:32</t>
  </si>
  <si>
    <t>H2610398</t>
  </si>
  <si>
    <t>17:32-18:43</t>
  </si>
  <si>
    <t>H2610399</t>
  </si>
  <si>
    <t>18:43-19:59</t>
  </si>
  <si>
    <t>H2610400</t>
  </si>
  <si>
    <t>19:59-21:07</t>
  </si>
  <si>
    <t>H2610401</t>
  </si>
  <si>
    <t>21:50-22:38</t>
  </si>
  <si>
    <t>H2610403</t>
  </si>
  <si>
    <t>22:38-23:26</t>
  </si>
  <si>
    <t>H2610404</t>
  </si>
  <si>
    <t>23:26-0:37</t>
  </si>
  <si>
    <t>H2610405</t>
  </si>
  <si>
    <t>0：37-1:46</t>
  </si>
  <si>
    <t>H2610406</t>
  </si>
  <si>
    <t>1：46-2:46</t>
  </si>
  <si>
    <t>H2610407</t>
  </si>
  <si>
    <t>2：48-3:50</t>
  </si>
  <si>
    <t>H2610408</t>
  </si>
  <si>
    <t>3：50-4:50</t>
  </si>
  <si>
    <t>H2610409</t>
  </si>
  <si>
    <t>4：50-5:50</t>
  </si>
  <si>
    <t>H2610410</t>
  </si>
  <si>
    <t>5：50-6:37</t>
  </si>
  <si>
    <t>H2610411</t>
  </si>
  <si>
    <t>6：37-7:37</t>
  </si>
  <si>
    <t>H2610412</t>
  </si>
  <si>
    <t>7：37-8:25</t>
  </si>
  <si>
    <t>H2610413</t>
  </si>
  <si>
    <t>8：25-9:24</t>
  </si>
  <si>
    <t>H2610414</t>
  </si>
  <si>
    <t>16:00-16:49</t>
  </si>
  <si>
    <t>H2610419</t>
  </si>
  <si>
    <t>17:12-17:53</t>
  </si>
  <si>
    <t>H2610421</t>
  </si>
  <si>
    <t>18：32-19：14</t>
  </si>
  <si>
    <t>H2610423</t>
  </si>
  <si>
    <t>19:14-20:15</t>
  </si>
  <si>
    <t>H2610424</t>
  </si>
  <si>
    <t>20：15-21：46</t>
  </si>
  <si>
    <t>H2610425</t>
  </si>
  <si>
    <t>21：46-22：31</t>
  </si>
  <si>
    <t>H2610426</t>
  </si>
  <si>
    <t>22：31-23：26</t>
  </si>
  <si>
    <t>H2610427</t>
  </si>
  <si>
    <t>23：51-0：41</t>
  </si>
  <si>
    <t>H2610429</t>
  </si>
  <si>
    <t>4：10-4:53</t>
  </si>
  <si>
    <t>H2610431</t>
  </si>
  <si>
    <t>4：53-5:37</t>
  </si>
  <si>
    <t>H2610432</t>
  </si>
  <si>
    <t>5：37-6:20</t>
  </si>
  <si>
    <t>H2610433</t>
  </si>
  <si>
    <t>6：55-7:45</t>
  </si>
  <si>
    <t>H2610435</t>
  </si>
  <si>
    <t>7:45-8：35</t>
  </si>
  <si>
    <t>H2610436</t>
  </si>
  <si>
    <t>8：35-9:34</t>
  </si>
  <si>
    <t>H2610437</t>
  </si>
  <si>
    <t>10:12-11:05</t>
  </si>
  <si>
    <t>H2610439</t>
  </si>
  <si>
    <t>11:05-12:49</t>
  </si>
  <si>
    <t>H2610440</t>
  </si>
  <si>
    <t>12:49-13:47</t>
  </si>
  <si>
    <t>H2610441</t>
  </si>
  <si>
    <t>13:47-15:30</t>
  </si>
  <si>
    <t>H2610442</t>
  </si>
  <si>
    <t>16:04-17:14</t>
  </si>
  <si>
    <t>H2610445</t>
  </si>
  <si>
    <t>17:14-18:23</t>
  </si>
  <si>
    <t>H2610446</t>
  </si>
  <si>
    <t>18:23-19:28</t>
  </si>
  <si>
    <t>H2610447</t>
  </si>
  <si>
    <t>20:31-21:30</t>
  </si>
  <si>
    <t>H2610449</t>
  </si>
  <si>
    <t>22:18-23:09</t>
  </si>
  <si>
    <t>H2610451</t>
  </si>
  <si>
    <t>23:09-1:03</t>
  </si>
  <si>
    <t>H2610452</t>
  </si>
  <si>
    <t>1：32-3:14</t>
  </si>
  <si>
    <t>H2610454</t>
  </si>
  <si>
    <t>3：14-4:58</t>
  </si>
  <si>
    <t>H2610455</t>
  </si>
  <si>
    <t>4：58-5:59</t>
  </si>
  <si>
    <t>H2610456</t>
  </si>
  <si>
    <t>5：59-6:50</t>
  </si>
  <si>
    <t>H2610457</t>
  </si>
  <si>
    <t>6：50-8:33</t>
  </si>
  <si>
    <t>H2610458</t>
  </si>
  <si>
    <t>8：33-9:24</t>
  </si>
  <si>
    <t>H2610459</t>
  </si>
  <si>
    <t>13:23-14:06</t>
  </si>
  <si>
    <t>H2610463</t>
  </si>
  <si>
    <t>14:06-14:54</t>
  </si>
  <si>
    <t>H2610464</t>
  </si>
  <si>
    <t>14:54-15:35</t>
  </si>
  <si>
    <t>H2610465</t>
  </si>
  <si>
    <t>15:35-16:26</t>
  </si>
  <si>
    <t>H2610466</t>
  </si>
  <si>
    <t>16:26-17:10</t>
  </si>
  <si>
    <t>H2610467</t>
  </si>
  <si>
    <t>17:10-18:09</t>
  </si>
  <si>
    <t>H2610468</t>
  </si>
  <si>
    <t>18:09-19:26</t>
  </si>
  <si>
    <t>H2610469</t>
  </si>
  <si>
    <t>19:27-20:20</t>
  </si>
  <si>
    <t>H2610470</t>
  </si>
  <si>
    <t>21:11-21:24</t>
  </si>
  <si>
    <t>H2610471</t>
  </si>
  <si>
    <t>22：07-23:12</t>
  </si>
  <si>
    <t>H2610473</t>
  </si>
  <si>
    <t>23:12-0:28</t>
  </si>
  <si>
    <t>H2610474</t>
  </si>
  <si>
    <t>0：28-1:36</t>
  </si>
  <si>
    <t>H2610475</t>
  </si>
  <si>
    <t>1:36-2：44</t>
  </si>
  <si>
    <t>H2610476</t>
  </si>
  <si>
    <t>2：44-3:50</t>
  </si>
  <si>
    <t>H2610477</t>
  </si>
  <si>
    <t>3：50-5:03</t>
  </si>
  <si>
    <t>H2610478</t>
  </si>
  <si>
    <t>5：03-6:15</t>
  </si>
  <si>
    <t>H2610479</t>
  </si>
  <si>
    <t>6：15-7:20</t>
  </si>
  <si>
    <t>H2610480</t>
  </si>
  <si>
    <t>7：20-8:25</t>
  </si>
  <si>
    <t>H2610481</t>
  </si>
  <si>
    <t>12:08-12:58</t>
  </si>
  <si>
    <t>H2610484</t>
  </si>
  <si>
    <t>12:58-14:42</t>
  </si>
  <si>
    <t>H2610485</t>
  </si>
  <si>
    <t>14:42-15:44</t>
  </si>
  <si>
    <t>H2610486</t>
  </si>
  <si>
    <t>15:44-16:41</t>
  </si>
  <si>
    <t>H2610487</t>
  </si>
  <si>
    <t>16:41-17:37</t>
  </si>
  <si>
    <t>H2610488</t>
  </si>
  <si>
    <t>17:37-19:20</t>
  </si>
  <si>
    <t>H2610489</t>
  </si>
  <si>
    <t>19:20-20:23</t>
  </si>
  <si>
    <t>H2610490</t>
  </si>
  <si>
    <t>20:23-21:29</t>
  </si>
  <si>
    <t>H2610491</t>
  </si>
  <si>
    <t>21:29-23:08</t>
  </si>
  <si>
    <t>H2610492</t>
  </si>
  <si>
    <t>23:08-23:57</t>
  </si>
  <si>
    <t>H2610493</t>
  </si>
  <si>
    <t>0：19-1:38</t>
  </si>
  <si>
    <t>H2610495</t>
  </si>
  <si>
    <t>1：38-2:43</t>
  </si>
  <si>
    <t>H2610496</t>
  </si>
  <si>
    <t>2：43-3:44</t>
  </si>
  <si>
    <t>H2610497</t>
  </si>
  <si>
    <t>4：17-5：08</t>
  </si>
  <si>
    <t>H2610499</t>
  </si>
  <si>
    <t>5：08-6:00</t>
  </si>
  <si>
    <t>H2610500</t>
  </si>
  <si>
    <t>6：00-6:50</t>
  </si>
  <si>
    <t>H2610501</t>
  </si>
  <si>
    <t>H2610502</t>
  </si>
  <si>
    <t>H2610503</t>
  </si>
  <si>
    <t>9：24-10:22</t>
  </si>
  <si>
    <t>H2610504</t>
  </si>
  <si>
    <t>10:22-11:15</t>
  </si>
  <si>
    <t>H2610505</t>
  </si>
  <si>
    <t>11：:15-12:57</t>
  </si>
  <si>
    <t>H2610506</t>
  </si>
  <si>
    <t>13:08-14:00</t>
  </si>
  <si>
    <t>H2610508</t>
  </si>
  <si>
    <t>14:56-15:46</t>
  </si>
  <si>
    <t>H2610510</t>
  </si>
  <si>
    <t>15:39-16:33</t>
  </si>
  <si>
    <t>H2610520</t>
  </si>
  <si>
    <t>16：33-17：27</t>
  </si>
  <si>
    <t>H2610521</t>
  </si>
  <si>
    <t>17:27-18:21</t>
  </si>
  <si>
    <t>H2610522</t>
  </si>
  <si>
    <t>18:21-19:20</t>
  </si>
  <si>
    <t>H2610523</t>
  </si>
  <si>
    <t>19:20-20:12</t>
  </si>
  <si>
    <t>H2610524</t>
  </si>
  <si>
    <t>H2610525</t>
  </si>
  <si>
    <t>21:05-22:49</t>
  </si>
  <si>
    <t>H2610526</t>
  </si>
  <si>
    <t>22:49-0:48</t>
  </si>
  <si>
    <t>H2610527</t>
  </si>
  <si>
    <t>0：48-2:32</t>
  </si>
  <si>
    <t>H2610528</t>
  </si>
  <si>
    <t>2：32-4:17</t>
  </si>
  <si>
    <t>H2610529</t>
  </si>
  <si>
    <t>4：54-6:58</t>
  </si>
  <si>
    <t>H2610531</t>
  </si>
  <si>
    <t>6：38-7:31</t>
  </si>
  <si>
    <t>H2610532</t>
  </si>
  <si>
    <t>7：52-8:55</t>
  </si>
  <si>
    <t>H2610534</t>
  </si>
  <si>
    <t>8：55-10:00</t>
  </si>
  <si>
    <t>H2610535</t>
  </si>
  <si>
    <t>10:00-11:03</t>
  </si>
  <si>
    <t>H2610536</t>
  </si>
  <si>
    <t>11:03-12:06</t>
  </si>
  <si>
    <t>H2610537</t>
  </si>
  <si>
    <t>12:06-13:08</t>
  </si>
  <si>
    <t>H2610538</t>
  </si>
  <si>
    <t>13:08-14:10</t>
  </si>
  <si>
    <t>H2610539</t>
  </si>
  <si>
    <t>14:10-15:08</t>
  </si>
  <si>
    <t>H2610540</t>
  </si>
  <si>
    <t>FG22</t>
  </si>
  <si>
    <t>15:08-16:31</t>
  </si>
  <si>
    <t>H2610541</t>
  </si>
  <si>
    <t>16:31-17:19</t>
  </si>
  <si>
    <t>H2610542</t>
  </si>
  <si>
    <t>17:19-18:41</t>
  </si>
  <si>
    <t>H2610543</t>
  </si>
  <si>
    <t>18:41-20:03</t>
  </si>
  <si>
    <t>H2621044</t>
  </si>
  <si>
    <t>20:03-21:24</t>
  </si>
  <si>
    <t>H2621045</t>
  </si>
  <si>
    <t>21:24-22:04</t>
  </si>
  <si>
    <t>H2621046</t>
  </si>
  <si>
    <t>22:04-23:25</t>
  </si>
  <si>
    <t>H2621047</t>
  </si>
  <si>
    <t>23:25-0:46</t>
  </si>
  <si>
    <t>H2621048</t>
  </si>
  <si>
    <t>0：46-2:13</t>
  </si>
  <si>
    <t>H2621049</t>
  </si>
  <si>
    <t>2：13-3:48</t>
  </si>
  <si>
    <t>H2621050</t>
  </si>
  <si>
    <t>3：48-4:29</t>
  </si>
  <si>
    <t>H2621051</t>
  </si>
  <si>
    <t>4：29-5:30</t>
  </si>
  <si>
    <t>H2621052</t>
  </si>
  <si>
    <t>5：30-6:31</t>
  </si>
  <si>
    <t>H2621053</t>
  </si>
  <si>
    <t>6：31-7:31</t>
  </si>
  <si>
    <t>H2621054</t>
  </si>
  <si>
    <t>7：31-8:33</t>
  </si>
  <si>
    <t>H2621055</t>
  </si>
  <si>
    <t>8：33-9:54</t>
  </si>
  <si>
    <t>H2621056</t>
  </si>
  <si>
    <t>9：54-10:39</t>
  </si>
  <si>
    <t>H2621057</t>
  </si>
  <si>
    <t>10:39-11:56</t>
  </si>
  <si>
    <t>H2621058</t>
  </si>
  <si>
    <t>11:56-13:14</t>
  </si>
  <si>
    <t>H2621059</t>
  </si>
  <si>
    <t>17:30-18:12</t>
  </si>
  <si>
    <t>H2621062</t>
  </si>
  <si>
    <t>18:12-18:57</t>
  </si>
  <si>
    <t>H2621063</t>
  </si>
  <si>
    <t>18:57-19:40</t>
  </si>
  <si>
    <t>H2621064</t>
  </si>
  <si>
    <t>19:40-21:11</t>
  </si>
  <si>
    <t>H2621065</t>
  </si>
  <si>
    <t>21:11-22：45</t>
  </si>
  <si>
    <t>H2621066</t>
  </si>
  <si>
    <t>22:45-0:08</t>
  </si>
  <si>
    <t>H2621067</t>
  </si>
  <si>
    <t>H2621068</t>
  </si>
  <si>
    <t>0：08-1:31</t>
  </si>
  <si>
    <t>1：31-2:54</t>
  </si>
  <si>
    <t>H2621069</t>
  </si>
  <si>
    <t>2：54-4:17</t>
  </si>
  <si>
    <t>H2621070</t>
  </si>
  <si>
    <t>4：17-5:15</t>
  </si>
  <si>
    <t>H2621071</t>
  </si>
  <si>
    <t>5：15-6:38</t>
  </si>
  <si>
    <t>H2621072</t>
  </si>
  <si>
    <t>6：38-7:30</t>
  </si>
  <si>
    <t>H2621073</t>
  </si>
  <si>
    <t>7:30-8：23</t>
  </si>
  <si>
    <t>H2621074</t>
  </si>
  <si>
    <t>9：40-10:26</t>
  </si>
  <si>
    <t>H2621076</t>
  </si>
  <si>
    <t>10:26-11:57</t>
  </si>
  <si>
    <t>H2621077</t>
  </si>
  <si>
    <t>11：57-13:19</t>
  </si>
  <si>
    <t>H2621078</t>
  </si>
  <si>
    <t>13:19-14:34</t>
  </si>
  <si>
    <t>H2621079</t>
  </si>
  <si>
    <t>14：34-15：43</t>
  </si>
  <si>
    <t>H2621080</t>
  </si>
  <si>
    <t>15:43-17:08</t>
  </si>
  <si>
    <t>H2621081</t>
  </si>
  <si>
    <t>17：08-18：13</t>
  </si>
  <si>
    <t>H2621082</t>
  </si>
  <si>
    <t>18:13-19:18</t>
  </si>
  <si>
    <t>H2621083</t>
  </si>
  <si>
    <t>19:18:20:27</t>
  </si>
  <si>
    <t>H2621084</t>
  </si>
  <si>
    <t>20:27-21:41</t>
  </si>
  <si>
    <t>H2621085</t>
  </si>
  <si>
    <t>22:31-23:14</t>
  </si>
  <si>
    <t>H2621087</t>
  </si>
  <si>
    <t>23:14-23:57</t>
  </si>
  <si>
    <t>H2621088</t>
  </si>
  <si>
    <t>0：38-1:20</t>
  </si>
  <si>
    <t>H2621090</t>
  </si>
  <si>
    <t>1：20-2:03</t>
  </si>
  <si>
    <t>H2621091</t>
  </si>
  <si>
    <t>2：03-3:14</t>
  </si>
  <si>
    <t>H2621092</t>
  </si>
  <si>
    <t>3：14-4:20</t>
  </si>
  <si>
    <t>H2621093</t>
  </si>
  <si>
    <t>4：20-5:25</t>
  </si>
  <si>
    <t>H2621094</t>
  </si>
  <si>
    <t>5：25-6:30</t>
  </si>
  <si>
    <t>H2621095</t>
  </si>
  <si>
    <t>6：30-7:35</t>
  </si>
  <si>
    <t>H2621096</t>
  </si>
  <si>
    <t>7：35-8:40</t>
  </si>
  <si>
    <t>H2621097</t>
  </si>
  <si>
    <t>8：40-9:45</t>
  </si>
  <si>
    <t>H2621098</t>
  </si>
  <si>
    <t>10:03-11:16</t>
  </si>
  <si>
    <t>H2621100</t>
  </si>
  <si>
    <t>11:16-12:46</t>
  </si>
  <si>
    <t>H2621101</t>
  </si>
  <si>
    <t>12:46-13:29</t>
  </si>
  <si>
    <t>H2621102</t>
  </si>
  <si>
    <t>17:02-17:40</t>
  </si>
  <si>
    <t>H2621104</t>
  </si>
  <si>
    <t>17:40-19:25</t>
  </si>
  <si>
    <t>H2621105</t>
  </si>
  <si>
    <t>19:25-20:34</t>
  </si>
  <si>
    <t>H2621106</t>
  </si>
  <si>
    <t>20:34-21:24</t>
  </si>
  <si>
    <t>H2621107</t>
  </si>
  <si>
    <t>21:24-22:23</t>
  </si>
  <si>
    <t>H2621108</t>
  </si>
  <si>
    <t>22:23-23:25</t>
  </si>
  <si>
    <t>H2621109</t>
  </si>
  <si>
    <t>23:25-1:07</t>
  </si>
  <si>
    <t>H2621110</t>
  </si>
  <si>
    <t>1：07-2:55</t>
  </si>
  <si>
    <t>H2621111</t>
  </si>
  <si>
    <t>5：27-6:19</t>
  </si>
  <si>
    <t>H2621114</t>
  </si>
  <si>
    <t>6：19-7:10</t>
  </si>
  <si>
    <t>H2621115</t>
  </si>
  <si>
    <t>7：10-8:02</t>
  </si>
  <si>
    <t>H2621116</t>
  </si>
  <si>
    <t>8:02-8：52</t>
  </si>
  <si>
    <t>H2621117</t>
  </si>
  <si>
    <t>8：52-9:54</t>
  </si>
  <si>
    <t>H2621118</t>
  </si>
  <si>
    <t>9：54-10:53</t>
  </si>
  <si>
    <t>H2621119</t>
  </si>
  <si>
    <t>10：53-11:34</t>
  </si>
  <si>
    <t>H2621120</t>
  </si>
  <si>
    <t>13:46-14:28</t>
  </si>
  <si>
    <t>H2621124</t>
  </si>
  <si>
    <t>14:28-15:49</t>
  </si>
  <si>
    <t>H2621125</t>
  </si>
  <si>
    <t>15:49-16:30</t>
  </si>
  <si>
    <t>H2621126</t>
  </si>
  <si>
    <t>17:11-18:10</t>
  </si>
  <si>
    <t>H2621128</t>
  </si>
  <si>
    <t>18:10-19:28</t>
  </si>
  <si>
    <t>H2621129</t>
  </si>
  <si>
    <t>19:28-20:53</t>
  </si>
  <si>
    <t>H2621130</t>
  </si>
  <si>
    <t>20:53-22:16</t>
  </si>
  <si>
    <t>H2621131</t>
  </si>
  <si>
    <t>22:16-23:32</t>
  </si>
  <si>
    <t>H2621132</t>
  </si>
  <si>
    <t>23:32-0:30</t>
  </si>
  <si>
    <t>H2621133</t>
  </si>
  <si>
    <t>0：30-1:27</t>
  </si>
  <si>
    <t>H2621134</t>
  </si>
  <si>
    <t>1：27-2:25</t>
  </si>
  <si>
    <t>H2621135</t>
  </si>
  <si>
    <t>2:25-3:27</t>
  </si>
  <si>
    <t>H2621136</t>
  </si>
  <si>
    <t>3：27-4:36</t>
  </si>
  <si>
    <t>H2621137</t>
  </si>
  <si>
    <t>4：36-5:38</t>
  </si>
  <si>
    <t>H2621138</t>
  </si>
  <si>
    <t>5：38-6:50</t>
  </si>
  <si>
    <t>H2621139</t>
  </si>
  <si>
    <t>6：50-8:07</t>
  </si>
  <si>
    <t>H2621140</t>
  </si>
  <si>
    <t>8：07-8:43</t>
  </si>
  <si>
    <t>H2621141</t>
  </si>
  <si>
    <t>12:22-12:58</t>
  </si>
  <si>
    <t>H2621145</t>
  </si>
  <si>
    <t>12:58-13:44</t>
  </si>
  <si>
    <t>H2621146</t>
  </si>
  <si>
    <t>13:41-14:22</t>
  </si>
  <si>
    <t>H2621147</t>
  </si>
  <si>
    <t>14:22-15:36</t>
  </si>
  <si>
    <t>H2621148</t>
  </si>
  <si>
    <t>15:36-16:37</t>
  </si>
  <si>
    <t>H2621149</t>
  </si>
  <si>
    <t>16：37-17：36</t>
  </si>
  <si>
    <t>H2621150</t>
  </si>
  <si>
    <t>17:36-18:36</t>
  </si>
  <si>
    <t>H2621151</t>
  </si>
  <si>
    <t>18:36-19:43</t>
  </si>
  <si>
    <t>H2621152</t>
  </si>
  <si>
    <t>19:43-20:42</t>
  </si>
  <si>
    <t>H2621153</t>
  </si>
  <si>
    <t>20:42-21:51</t>
  </si>
  <si>
    <t>H2621154</t>
  </si>
  <si>
    <t>2：41-3:57</t>
  </si>
  <si>
    <t>H2621157</t>
  </si>
  <si>
    <t>3：57-5:08</t>
  </si>
  <si>
    <t>H2621158</t>
  </si>
  <si>
    <t>5：08-6:17</t>
  </si>
  <si>
    <t>H2621159</t>
  </si>
  <si>
    <t>6：17-6:53</t>
  </si>
  <si>
    <t>H2621160</t>
  </si>
  <si>
    <t>6：53-8:03</t>
  </si>
  <si>
    <t>H2621161</t>
  </si>
  <si>
    <t>8：03-9:11</t>
  </si>
  <si>
    <t>H2621162</t>
  </si>
  <si>
    <t>9：11-10:20</t>
  </si>
  <si>
    <t>H2621163</t>
  </si>
  <si>
    <t>11：34-12：35</t>
  </si>
  <si>
    <t>H2621164</t>
  </si>
  <si>
    <t>H2621165</t>
  </si>
  <si>
    <t>12:35-13:48</t>
  </si>
  <si>
    <t>H2621166</t>
  </si>
  <si>
    <t>13:48-15:03</t>
  </si>
  <si>
    <t>H2621167</t>
  </si>
  <si>
    <t>15:18-16:19</t>
  </si>
  <si>
    <t>H2621169</t>
  </si>
  <si>
    <t>16:19-17:29</t>
  </si>
  <si>
    <t>H2621170</t>
  </si>
  <si>
    <t>17:29-18:30</t>
  </si>
  <si>
    <t>H2621171</t>
  </si>
  <si>
    <t>19:37-20:45</t>
  </si>
  <si>
    <t>H2621173</t>
  </si>
  <si>
    <t>20:45-21:56</t>
  </si>
  <si>
    <t>H2621174</t>
  </si>
  <si>
    <t>21:56-23:19</t>
  </si>
  <si>
    <t>H2621175</t>
  </si>
  <si>
    <t>23:19-0:24</t>
  </si>
  <si>
    <t>H2631176</t>
  </si>
  <si>
    <t>0:24-1:30</t>
  </si>
  <si>
    <t>H2631177</t>
  </si>
  <si>
    <t>1:30-2:48</t>
  </si>
  <si>
    <t>H2631178</t>
  </si>
  <si>
    <t>2：48-3:57</t>
  </si>
  <si>
    <t>H2631179</t>
  </si>
  <si>
    <t>3：57-5:04</t>
  </si>
  <si>
    <t>H2631180</t>
  </si>
  <si>
    <t>5：05-6：07</t>
  </si>
  <si>
    <t>H2631181</t>
  </si>
  <si>
    <t>6：07-7:15</t>
  </si>
  <si>
    <t>H2631182</t>
  </si>
  <si>
    <t>7：15-8:22</t>
  </si>
  <si>
    <t>H2631183</t>
  </si>
  <si>
    <t>8：22-9:22</t>
  </si>
  <si>
    <t>H2631184</t>
  </si>
  <si>
    <t>9：22-10:31</t>
  </si>
  <si>
    <t>H2631185</t>
  </si>
  <si>
    <t>10:31-11:43</t>
  </si>
  <si>
    <t>H2631186</t>
  </si>
  <si>
    <t>11:43-12:55</t>
  </si>
  <si>
    <t>H2631187</t>
  </si>
  <si>
    <t>12:55-13:56</t>
  </si>
  <si>
    <t>H2631188</t>
  </si>
  <si>
    <t>15:06-15:52</t>
  </si>
  <si>
    <t>H2631190</t>
  </si>
  <si>
    <t>PG42H</t>
  </si>
  <si>
    <t>15:52-16:42</t>
  </si>
  <si>
    <t>H2631191</t>
  </si>
  <si>
    <t>16:42-17:32</t>
  </si>
  <si>
    <t>H2631192</t>
  </si>
  <si>
    <t>17:32-18:41</t>
  </si>
  <si>
    <t>H2631193</t>
  </si>
  <si>
    <t>18:41-20:05</t>
  </si>
  <si>
    <t>H2631194</t>
  </si>
  <si>
    <t>20:39-21：14</t>
  </si>
  <si>
    <t>H2631196</t>
  </si>
  <si>
    <t>21：37-22：37</t>
  </si>
  <si>
    <t>H2631198</t>
  </si>
  <si>
    <t>22:37-23:56</t>
  </si>
  <si>
    <t>H2631199</t>
  </si>
  <si>
    <t>23:56-1:06</t>
  </si>
  <si>
    <t>H2631200</t>
  </si>
  <si>
    <t>1：06-2:23</t>
  </si>
  <si>
    <t>H2631201</t>
  </si>
  <si>
    <t>2：23-3:56</t>
  </si>
  <si>
    <t>H2631202</t>
  </si>
  <si>
    <t>3：56-4:37</t>
  </si>
  <si>
    <t>H2631203</t>
  </si>
  <si>
    <t>4：37-6:09</t>
  </si>
  <si>
    <t>H2631204</t>
  </si>
  <si>
    <t>6：09-7:37</t>
  </si>
  <si>
    <t>H2631205</t>
  </si>
  <si>
    <t>7：37-8:27</t>
  </si>
  <si>
    <t>H2631206</t>
  </si>
  <si>
    <t>8：27-9:54</t>
  </si>
  <si>
    <t>H2631207</t>
  </si>
  <si>
    <t>14：08-14：49</t>
  </si>
  <si>
    <t>H2631210</t>
  </si>
  <si>
    <t>14:49-15:29</t>
  </si>
  <si>
    <t>H2631211</t>
  </si>
  <si>
    <t>16:38-17:23</t>
  </si>
  <si>
    <t>H2631213</t>
  </si>
  <si>
    <t>17：23-18:04</t>
  </si>
  <si>
    <t>H2631214</t>
  </si>
  <si>
    <t>18:04-18:45</t>
  </si>
  <si>
    <t>H2631215</t>
  </si>
  <si>
    <t>18:45-19：38</t>
  </si>
  <si>
    <t>H2631216</t>
  </si>
  <si>
    <t>19:38-20:19</t>
  </si>
  <si>
    <t>H2631217</t>
  </si>
  <si>
    <t>21:21-22:13</t>
  </si>
  <si>
    <t>H2631219</t>
  </si>
  <si>
    <t>22:13-23:41</t>
  </si>
  <si>
    <t>H2631220</t>
  </si>
  <si>
    <t>23:41-0:38</t>
  </si>
  <si>
    <t>H2631221</t>
  </si>
  <si>
    <t>1：02-2:00</t>
  </si>
  <si>
    <t>H2631223</t>
  </si>
  <si>
    <t>2：00-2:58</t>
  </si>
  <si>
    <t>H2631224</t>
  </si>
  <si>
    <t>2：58-4:08</t>
  </si>
  <si>
    <t>H2631225</t>
  </si>
  <si>
    <t>4：08-5:06</t>
  </si>
  <si>
    <t>H2631226</t>
  </si>
  <si>
    <t>5：06-6:19</t>
  </si>
  <si>
    <t>H2631227</t>
  </si>
  <si>
    <t>6：19-7;26</t>
  </si>
  <si>
    <t>H2631228</t>
  </si>
  <si>
    <t>7:26-8：32</t>
  </si>
  <si>
    <t>H2631229</t>
  </si>
  <si>
    <t>8:32-9：33</t>
  </si>
  <si>
    <t>H2631230</t>
  </si>
  <si>
    <t>9：33-10:44</t>
  </si>
  <si>
    <t>H2631231</t>
  </si>
  <si>
    <t>10：44-11：52</t>
  </si>
  <si>
    <t>H2631232</t>
  </si>
  <si>
    <t>11:52-13:00</t>
  </si>
  <si>
    <t>H2631233</t>
  </si>
  <si>
    <t>13:00-14:08</t>
  </si>
  <si>
    <t>H2631234</t>
  </si>
  <si>
    <t>14:08-15:52</t>
  </si>
  <si>
    <t>H2631235</t>
  </si>
  <si>
    <t>15:58-16:58</t>
  </si>
  <si>
    <t>H2631237</t>
  </si>
  <si>
    <t>16:58-18:08</t>
  </si>
  <si>
    <t>H2631238</t>
  </si>
  <si>
    <t>21:57-22:55</t>
  </si>
  <si>
    <t>H2631241</t>
  </si>
  <si>
    <t>22:55-23:53</t>
  </si>
  <si>
    <t>H2631242</t>
  </si>
  <si>
    <t>23:53-1：02</t>
  </si>
  <si>
    <t>H2631243</t>
  </si>
  <si>
    <t>1:02-2:18</t>
  </si>
  <si>
    <t>H2631244</t>
  </si>
  <si>
    <t>2：18-3:29</t>
  </si>
  <si>
    <t>H2631245</t>
  </si>
  <si>
    <t>3：29-4:38</t>
  </si>
  <si>
    <t>H2631246</t>
  </si>
  <si>
    <t>4：38-5:39</t>
  </si>
  <si>
    <t>H2631247</t>
  </si>
  <si>
    <t>5：39-6:49</t>
  </si>
  <si>
    <t>H2631248</t>
  </si>
  <si>
    <t>6：49-7:55</t>
  </si>
  <si>
    <t>H2631249</t>
  </si>
  <si>
    <t>7：55-8:54</t>
  </si>
  <si>
    <t>H2631250</t>
  </si>
  <si>
    <t>8:54-10：04</t>
  </si>
  <si>
    <t>H2631251</t>
  </si>
  <si>
    <t>10:04-11:04</t>
  </si>
  <si>
    <t>H2631252</t>
  </si>
  <si>
    <t>11:04-12:14</t>
  </si>
  <si>
    <t>H2631253</t>
  </si>
  <si>
    <t>12:14-13:15</t>
  </si>
  <si>
    <t>H2631254</t>
  </si>
  <si>
    <t>15:26-16:05</t>
  </si>
  <si>
    <t>H2631257</t>
  </si>
  <si>
    <t>16:05-17:30</t>
  </si>
  <si>
    <t>H2631258</t>
  </si>
  <si>
    <t>17:30-18:22</t>
  </si>
  <si>
    <t>H2631259</t>
  </si>
  <si>
    <t>18:22-19:31</t>
  </si>
  <si>
    <t>H2631260</t>
  </si>
  <si>
    <t>21:01-22:02</t>
  </si>
  <si>
    <t>H2631263</t>
  </si>
  <si>
    <t>22:25-23:26</t>
  </si>
  <si>
    <t>H2631265</t>
  </si>
  <si>
    <t>23:26-1:01</t>
  </si>
  <si>
    <t>H2631266</t>
  </si>
  <si>
    <t>1：01-2:15</t>
  </si>
  <si>
    <t>H2631267</t>
  </si>
  <si>
    <t>4：20-5:06</t>
  </si>
  <si>
    <t>H2631270</t>
  </si>
  <si>
    <t>5：06-6:51</t>
  </si>
  <si>
    <t>H2631271</t>
  </si>
  <si>
    <t>7：17-8:27</t>
  </si>
  <si>
    <t>H2631273</t>
  </si>
  <si>
    <t>8:27-9：08</t>
  </si>
  <si>
    <t>H2631274</t>
  </si>
  <si>
    <t>9：44-10:31</t>
  </si>
  <si>
    <t>H2631276</t>
  </si>
  <si>
    <t>10:31-11:22</t>
  </si>
  <si>
    <t>H2631277</t>
  </si>
  <si>
    <t>11：22-12:14</t>
  </si>
  <si>
    <t>H2631278</t>
  </si>
  <si>
    <t>12:14-12:55</t>
  </si>
  <si>
    <t>H2631279</t>
  </si>
  <si>
    <t>12:55-13:46</t>
  </si>
  <si>
    <t>H2631280</t>
  </si>
  <si>
    <t>13:46-14:39</t>
  </si>
  <si>
    <t>H2631281</t>
  </si>
  <si>
    <t>14:39-15:19</t>
  </si>
  <si>
    <t>H2631282</t>
  </si>
  <si>
    <t>15:19-16:04</t>
  </si>
  <si>
    <t>H2631283</t>
  </si>
  <si>
    <t>16:04-16:54</t>
  </si>
  <si>
    <t>H2631284</t>
  </si>
  <si>
    <t>16:54-17:38</t>
  </si>
  <si>
    <t>H2631285</t>
  </si>
  <si>
    <t>17：38-18：19</t>
  </si>
  <si>
    <t>H2631286</t>
  </si>
  <si>
    <t>18:19-19:99</t>
  </si>
  <si>
    <t>H2631287</t>
  </si>
  <si>
    <t>19:39-20:59</t>
  </si>
  <si>
    <t>H2631288</t>
  </si>
  <si>
    <t>20:59-22:19</t>
  </si>
  <si>
    <t>H2631289</t>
  </si>
  <si>
    <t>22:50:23:40</t>
  </si>
  <si>
    <t>H2631291</t>
  </si>
  <si>
    <t>23:40-1:19</t>
  </si>
  <si>
    <t>H2631292</t>
  </si>
  <si>
    <t>1：19-2:59</t>
  </si>
  <si>
    <t>H2631293</t>
  </si>
  <si>
    <t>2：59-4:38</t>
  </si>
  <si>
    <t>H2631294</t>
  </si>
  <si>
    <t>4:38-6：17</t>
  </si>
  <si>
    <t>H2631295</t>
  </si>
  <si>
    <t>6：17-7:07</t>
  </si>
  <si>
    <t>H2631296</t>
  </si>
  <si>
    <t>7：07-8:15</t>
  </si>
  <si>
    <t>H2631297</t>
  </si>
  <si>
    <t>8：15-9:05</t>
  </si>
  <si>
    <t>H2631298</t>
  </si>
  <si>
    <t>13:51-14:43</t>
  </si>
  <si>
    <t>H2631301</t>
  </si>
  <si>
    <t>14:43-15:29</t>
  </si>
  <si>
    <t>H2631302</t>
  </si>
  <si>
    <t>15：29-16：16</t>
  </si>
  <si>
    <t>H2631303</t>
  </si>
  <si>
    <t>16:16-17:02</t>
  </si>
  <si>
    <t>H2631304</t>
  </si>
  <si>
    <t>17:02-18:09</t>
  </si>
  <si>
    <t>H2631305</t>
  </si>
  <si>
    <t>18:29-19:29</t>
  </si>
  <si>
    <t>H2631307</t>
  </si>
  <si>
    <t>19：29-20：44</t>
  </si>
  <si>
    <t>H2631308</t>
  </si>
  <si>
    <t>20:44-21:52</t>
  </si>
  <si>
    <t>H2631309</t>
  </si>
  <si>
    <t>21:52-23:01</t>
  </si>
  <si>
    <t>H2631310</t>
  </si>
  <si>
    <t>23:01-0:13</t>
  </si>
  <si>
    <t>H2631311</t>
  </si>
  <si>
    <t>0：13-1:22</t>
  </si>
  <si>
    <t>H2631312</t>
  </si>
  <si>
    <t>1：22-2:39</t>
  </si>
  <si>
    <t>H2631313</t>
  </si>
  <si>
    <t>2：39-3:51</t>
  </si>
  <si>
    <t>H2631314</t>
  </si>
  <si>
    <t>3：51-4:48</t>
  </si>
  <si>
    <t>H2631315</t>
  </si>
  <si>
    <t>4:48-6：20</t>
  </si>
  <si>
    <t>H2631316</t>
  </si>
  <si>
    <t>6:45-7:26</t>
  </si>
  <si>
    <t>H2631318</t>
  </si>
  <si>
    <t>7:26-8:13</t>
  </si>
  <si>
    <t>H2631319</t>
  </si>
  <si>
    <t>8：13-8:52</t>
  </si>
  <si>
    <t>H2631320</t>
  </si>
  <si>
    <t>15:40-16:27</t>
  </si>
  <si>
    <t>H2631323</t>
  </si>
  <si>
    <t>16:27-17:13</t>
  </si>
  <si>
    <t>H2631324</t>
  </si>
  <si>
    <t>17:13-18:00</t>
  </si>
  <si>
    <t>H2631325</t>
  </si>
  <si>
    <t>18:00-19:10</t>
  </si>
  <si>
    <t>H2631326</t>
  </si>
  <si>
    <t>19:10-19:57</t>
  </si>
  <si>
    <t>H2631327</t>
  </si>
  <si>
    <t>20:37-21:18</t>
  </si>
  <si>
    <t>H2631329</t>
  </si>
  <si>
    <t>21:18-22:46</t>
  </si>
  <si>
    <t>H2631330</t>
  </si>
  <si>
    <t>22:46-0:14</t>
  </si>
  <si>
    <t>H2631331</t>
  </si>
  <si>
    <t>0：14-1:41</t>
  </si>
  <si>
    <t>H2631332</t>
  </si>
  <si>
    <t>1：41-3:04</t>
  </si>
  <si>
    <t>H2631333</t>
  </si>
  <si>
    <t>3：04-4:27</t>
  </si>
  <si>
    <t>H2631334</t>
  </si>
  <si>
    <t>4：27-5:09</t>
  </si>
  <si>
    <t>H2631335</t>
  </si>
  <si>
    <t>5：09-6:36</t>
  </si>
  <si>
    <t>H2631336</t>
  </si>
  <si>
    <t>7:27-8：13</t>
  </si>
  <si>
    <t>H2631338</t>
  </si>
  <si>
    <t>H2631339</t>
  </si>
  <si>
    <t>8:52-10：12</t>
  </si>
  <si>
    <t>H2631340</t>
  </si>
  <si>
    <t>10:30-11:20</t>
  </si>
  <si>
    <t>H2631342</t>
  </si>
  <si>
    <t>11:20-12:24</t>
  </si>
  <si>
    <t>H2631343</t>
  </si>
  <si>
    <t>12:24-13:17</t>
  </si>
  <si>
    <t>H2631344</t>
  </si>
  <si>
    <t>15:48-16:40</t>
  </si>
  <si>
    <t>H2631347</t>
  </si>
  <si>
    <t>16:40-18:21</t>
  </si>
  <si>
    <t>H2631348</t>
  </si>
  <si>
    <t>18:21-20:03</t>
  </si>
  <si>
    <t>H2631349</t>
  </si>
  <si>
    <t>20:03-21:10</t>
  </si>
  <si>
    <t>H2631350</t>
  </si>
  <si>
    <t>21:10-22:27</t>
  </si>
  <si>
    <t>H2631351</t>
  </si>
  <si>
    <t>22:27-23:37</t>
  </si>
  <si>
    <t>H2631352</t>
  </si>
  <si>
    <t>23：37-0：40</t>
  </si>
  <si>
    <t>H2631353</t>
  </si>
  <si>
    <t>0：40-2:28</t>
  </si>
  <si>
    <t>H2631354</t>
  </si>
  <si>
    <t>2：28-3:40</t>
  </si>
  <si>
    <t>H2631355</t>
  </si>
  <si>
    <t>3：40-4:33</t>
  </si>
  <si>
    <t>H2631356</t>
  </si>
  <si>
    <t>4：33-6:23</t>
  </si>
  <si>
    <t>H2631357</t>
  </si>
  <si>
    <t>6:23-7:30</t>
  </si>
  <si>
    <t>H2631358</t>
  </si>
  <si>
    <t>7：30-8:25</t>
  </si>
  <si>
    <t>H2631359</t>
  </si>
  <si>
    <t>8：25-9:20</t>
  </si>
  <si>
    <t>H2631360</t>
  </si>
  <si>
    <t>9：20-10:21</t>
  </si>
  <si>
    <t>H2631361</t>
  </si>
  <si>
    <t>11:55-13:45</t>
  </si>
  <si>
    <t>H2631364</t>
  </si>
  <si>
    <t>13:45-14:45</t>
  </si>
  <si>
    <t>H2631365</t>
  </si>
  <si>
    <t>14:45-15:57</t>
  </si>
  <si>
    <t>H2631366</t>
  </si>
  <si>
    <t>15:57-17:16</t>
  </si>
  <si>
    <t>H2631367</t>
  </si>
  <si>
    <t>17:16-18:27</t>
  </si>
  <si>
    <t>H2631368</t>
  </si>
  <si>
    <t>18:27-19:36</t>
  </si>
  <si>
    <t>H2631369</t>
  </si>
  <si>
    <t>19:36-20:42</t>
  </si>
  <si>
    <t>H2631370</t>
  </si>
  <si>
    <t>20:42-21:46</t>
  </si>
  <si>
    <t>H2631371</t>
  </si>
  <si>
    <t>21：46-22：54</t>
  </si>
  <si>
    <t>H2631372</t>
  </si>
  <si>
    <t>22：54-23:54</t>
  </si>
  <si>
    <t>H2631373</t>
  </si>
  <si>
    <t>23:54-1:32</t>
  </si>
  <si>
    <t>H2631374</t>
  </si>
  <si>
    <t>1：32-2:35</t>
  </si>
  <si>
    <t>H2631375</t>
  </si>
  <si>
    <t>2：35-3:36</t>
  </si>
  <si>
    <t>H2631376</t>
  </si>
  <si>
    <t>3：36-4:38</t>
  </si>
  <si>
    <t>H2631377</t>
  </si>
  <si>
    <t>4：38-5:45</t>
  </si>
  <si>
    <t>H2631378</t>
  </si>
  <si>
    <t>5：45-6:45</t>
  </si>
  <si>
    <t>H2631379</t>
  </si>
  <si>
    <t>6：45-8:27</t>
  </si>
  <si>
    <t>H2631380</t>
  </si>
  <si>
    <t>8：27-9:26</t>
  </si>
  <si>
    <t>H2631381</t>
  </si>
  <si>
    <t>9：26-10:09</t>
  </si>
  <si>
    <t>H2631382</t>
  </si>
  <si>
    <t>10:37-11:26</t>
  </si>
  <si>
    <t>H2631384</t>
  </si>
  <si>
    <t>11:26-13:04</t>
  </si>
  <si>
    <t>H2631385</t>
  </si>
  <si>
    <t>13:04-14:42</t>
  </si>
  <si>
    <t>H2631386</t>
  </si>
  <si>
    <t>14:42-15:49</t>
  </si>
  <si>
    <t>H2631387</t>
  </si>
  <si>
    <t>15:49-17:01</t>
  </si>
  <si>
    <t>H2631388</t>
  </si>
  <si>
    <t>17:01-18:11</t>
  </si>
  <si>
    <t>H2631389</t>
  </si>
  <si>
    <t>18:11-19:12</t>
  </si>
  <si>
    <t>H2631390</t>
  </si>
  <si>
    <t>19:12-20:18</t>
  </si>
  <si>
    <t>H2631391</t>
  </si>
  <si>
    <t>20:18-21:26</t>
  </si>
  <si>
    <t>H2631392</t>
  </si>
  <si>
    <t>21:26-22:33</t>
  </si>
  <si>
    <t>H2631393</t>
  </si>
  <si>
    <t>22:33-23:37</t>
  </si>
  <si>
    <t>H2631394</t>
  </si>
  <si>
    <t>23:37-0:38</t>
  </si>
  <si>
    <t>H2631395</t>
  </si>
  <si>
    <t>0：38-1:43</t>
  </si>
  <si>
    <t>H2631396</t>
  </si>
  <si>
    <t>1：43-2:47</t>
  </si>
  <si>
    <t>H2631397</t>
  </si>
  <si>
    <t>2：47-3:55</t>
  </si>
  <si>
    <t>H2631398</t>
  </si>
  <si>
    <t>3：55-5:03</t>
  </si>
  <si>
    <t>H2631399</t>
  </si>
  <si>
    <t>5：03-6:10</t>
  </si>
  <si>
    <t>H2631400</t>
  </si>
  <si>
    <t>6：10-7:16</t>
  </si>
  <si>
    <t>H2631401</t>
  </si>
  <si>
    <t>7：16-8:24</t>
  </si>
  <si>
    <t>H2631402</t>
  </si>
  <si>
    <t>8：24-9:25</t>
  </si>
  <si>
    <t>H2631403</t>
  </si>
  <si>
    <t>9：25-10:32</t>
  </si>
  <si>
    <t>H2631404</t>
  </si>
  <si>
    <t>10:32-12:10</t>
  </si>
  <si>
    <t>H2631405</t>
  </si>
  <si>
    <t>12:10-13:17</t>
  </si>
  <si>
    <t>H2631406</t>
  </si>
  <si>
    <t>13:17-14:13</t>
  </si>
  <si>
    <t>H2631407</t>
  </si>
  <si>
    <t>14:13-15:04</t>
  </si>
  <si>
    <t>H2631408</t>
  </si>
  <si>
    <t>15：39-16:20</t>
  </si>
  <si>
    <t>H2631410</t>
  </si>
  <si>
    <t>16:20-17:46</t>
  </si>
  <si>
    <t>H2631411</t>
  </si>
  <si>
    <t>17：46-18：35</t>
  </si>
  <si>
    <t>H2631412</t>
  </si>
  <si>
    <t>18:35-19:57</t>
  </si>
  <si>
    <t>H2631413</t>
  </si>
  <si>
    <t>19:57-21:18</t>
  </si>
  <si>
    <t>H2631414</t>
  </si>
  <si>
    <t>21:18-22:39</t>
  </si>
  <si>
    <t>H2631415</t>
  </si>
  <si>
    <t>22:39-0：07</t>
  </si>
  <si>
    <t>H2631416</t>
  </si>
  <si>
    <t>0：38-1:27</t>
  </si>
  <si>
    <t>H2631418</t>
  </si>
  <si>
    <t>3：04-3:54</t>
  </si>
  <si>
    <t>H2631420</t>
  </si>
  <si>
    <t>3：54-4:51</t>
  </si>
  <si>
    <t>H2631421</t>
  </si>
  <si>
    <t>4：51-6:29</t>
  </si>
  <si>
    <t>H2631422</t>
  </si>
  <si>
    <t>6：29-8:08</t>
  </si>
  <si>
    <t>H2631423</t>
  </si>
  <si>
    <t>8：08-8:56</t>
  </si>
  <si>
    <t>H2631424</t>
  </si>
  <si>
    <t>13:46-14:48</t>
  </si>
  <si>
    <t>H2631425</t>
  </si>
  <si>
    <t>14：48-15：54</t>
  </si>
  <si>
    <t>H2631479</t>
  </si>
  <si>
    <t>15：54-16：56</t>
  </si>
  <si>
    <t>H2631480</t>
  </si>
  <si>
    <t>16：56-18：00</t>
  </si>
  <si>
    <t>H2631481</t>
  </si>
  <si>
    <t>18:00-19:01</t>
  </si>
  <si>
    <t>H2631482</t>
  </si>
  <si>
    <t>19:01-20:05</t>
  </si>
  <si>
    <t>H2631483</t>
  </si>
  <si>
    <t>20:05-21:07</t>
  </si>
  <si>
    <t>H2631484</t>
  </si>
  <si>
    <t>21:07-22:17</t>
  </si>
  <si>
    <t>H2631485</t>
  </si>
  <si>
    <t>22:17-23:18</t>
  </si>
  <si>
    <t>H2631486</t>
  </si>
  <si>
    <t>23:18-0:18</t>
  </si>
  <si>
    <t>H2631487</t>
  </si>
  <si>
    <t>0：18-1:21</t>
  </si>
  <si>
    <t>H2631488</t>
  </si>
  <si>
    <t>1：21-2:22</t>
  </si>
  <si>
    <t>H2631489</t>
  </si>
  <si>
    <t>2：22-3:23</t>
  </si>
  <si>
    <t>H2631490</t>
  </si>
  <si>
    <t>3：23-4:32</t>
  </si>
  <si>
    <t>H2631491</t>
  </si>
  <si>
    <t>4：32-5:32</t>
  </si>
  <si>
    <t>H2631492</t>
  </si>
  <si>
    <t>26+</t>
  </si>
  <si>
    <t>5：32-6:33</t>
  </si>
  <si>
    <t>H2631493</t>
  </si>
  <si>
    <t>7：33-8:34</t>
  </si>
  <si>
    <t>H2631495</t>
  </si>
  <si>
    <t>8：34-9:33</t>
  </si>
  <si>
    <t>H2631496</t>
  </si>
  <si>
    <t>9：33-10:42</t>
  </si>
  <si>
    <t>H2631497</t>
  </si>
  <si>
    <t>10:42-11:43</t>
  </si>
  <si>
    <t>H2631498</t>
  </si>
  <si>
    <t>11:43-12:43</t>
  </si>
  <si>
    <t>H2631499</t>
  </si>
  <si>
    <t>12:43-13:54</t>
  </si>
  <si>
    <t>H2631500</t>
  </si>
  <si>
    <t>13:54-14:54</t>
  </si>
  <si>
    <t>H2631501</t>
  </si>
  <si>
    <t>15:35-16:36</t>
  </si>
  <si>
    <t>H2631503</t>
  </si>
  <si>
    <t>16:36-17:36</t>
  </si>
  <si>
    <t>H2631504</t>
  </si>
  <si>
    <t>H2631505</t>
  </si>
  <si>
    <t>18:36-19:45</t>
  </si>
  <si>
    <t>H2631506</t>
  </si>
  <si>
    <t>19:45-20:43</t>
  </si>
  <si>
    <t>H2631507</t>
  </si>
  <si>
    <t>20:43-21:51</t>
  </si>
  <si>
    <t>H2631508</t>
  </si>
  <si>
    <t>23:03-0:41</t>
  </si>
  <si>
    <t>H2631510</t>
  </si>
  <si>
    <t>8：09-9:09</t>
  </si>
  <si>
    <t>H2631513</t>
  </si>
  <si>
    <t>9：09-10:22</t>
  </si>
  <si>
    <t>H2631514</t>
  </si>
  <si>
    <t>10:22-11:41</t>
  </si>
  <si>
    <t>H2631515</t>
  </si>
  <si>
    <t>11：41-12：49</t>
  </si>
  <si>
    <t>H2631516</t>
  </si>
  <si>
    <t>12:49-13:49</t>
  </si>
  <si>
    <t>H2631517</t>
  </si>
  <si>
    <t>13:49-14:50</t>
  </si>
  <si>
    <t>H2631518</t>
  </si>
  <si>
    <t>15：49-16：40</t>
  </si>
  <si>
    <t>H2631520</t>
  </si>
  <si>
    <t>16:40-17:30</t>
  </si>
  <si>
    <t>H2631521</t>
  </si>
  <si>
    <t>17:30-18:26</t>
  </si>
  <si>
    <t>H2631522</t>
  </si>
  <si>
    <t>18:26-19:19</t>
  </si>
  <si>
    <t>H2631523</t>
  </si>
  <si>
    <t>19:19-20:15</t>
  </si>
  <si>
    <t>H2631524</t>
  </si>
  <si>
    <t>20:15-21:11</t>
  </si>
  <si>
    <t>H2631525</t>
  </si>
  <si>
    <t>21:11-22:31</t>
  </si>
  <si>
    <t>H2631526</t>
  </si>
  <si>
    <t>22:55-0:33</t>
  </si>
  <si>
    <t>H2631528</t>
  </si>
  <si>
    <t>0：33-2：12</t>
  </si>
  <si>
    <t>H2631529</t>
  </si>
  <si>
    <t>2：12-3:48</t>
  </si>
  <si>
    <t>H2631530</t>
  </si>
  <si>
    <t>5：47-6:53</t>
  </si>
  <si>
    <t>H2631533</t>
  </si>
  <si>
    <t>6：53-8:33</t>
  </si>
  <si>
    <t>H2631534</t>
  </si>
  <si>
    <t>8:33-10:11</t>
  </si>
  <si>
    <t>H2631535</t>
  </si>
  <si>
    <t>10:11-11:56</t>
  </si>
  <si>
    <t>H2631536</t>
  </si>
  <si>
    <t>11:56-13:35</t>
  </si>
  <si>
    <t>H2631537</t>
  </si>
  <si>
    <t>13:35-15:24</t>
  </si>
  <si>
    <t>H2631538</t>
  </si>
  <si>
    <t>15:38-16:17</t>
  </si>
  <si>
    <t>H2631540</t>
  </si>
  <si>
    <t>17:02-17:52</t>
  </si>
  <si>
    <t>H2631542</t>
  </si>
  <si>
    <t>17:52-19:31</t>
  </si>
  <si>
    <t>H2631543</t>
  </si>
  <si>
    <t>19:31-20:37</t>
  </si>
  <si>
    <t>H2631544</t>
  </si>
  <si>
    <t>20:37-21:51</t>
  </si>
  <si>
    <t>H2631545</t>
  </si>
  <si>
    <t>21:51-23：41</t>
  </si>
  <si>
    <t>H2631546</t>
  </si>
  <si>
    <t>0：25-2:07</t>
  </si>
  <si>
    <t>H2631549</t>
  </si>
  <si>
    <t>2：07-3:45</t>
  </si>
  <si>
    <t>H2631550</t>
  </si>
  <si>
    <t>3:45-5：25</t>
  </si>
  <si>
    <t>H2631551</t>
  </si>
  <si>
    <t>5：25-6:45</t>
  </si>
  <si>
    <t>H2631552</t>
  </si>
  <si>
    <t>6：45-7:57</t>
  </si>
  <si>
    <t>H2631553</t>
  </si>
  <si>
    <t>7：57-9:34</t>
  </si>
  <si>
    <t>H2631554</t>
  </si>
  <si>
    <t>9：59-10:47</t>
  </si>
  <si>
    <t>H2631556</t>
  </si>
  <si>
    <t>10:47-12:11</t>
  </si>
  <si>
    <t>H2631557</t>
  </si>
  <si>
    <t>12:11-12:52</t>
  </si>
  <si>
    <t>H2631558</t>
  </si>
  <si>
    <t>17:07-17:55</t>
  </si>
  <si>
    <t>H2631560</t>
  </si>
  <si>
    <t>17:55-18:41</t>
  </si>
  <si>
    <t>H2631561</t>
  </si>
  <si>
    <t>18:41-19:28</t>
  </si>
  <si>
    <t>H2631562</t>
  </si>
  <si>
    <t>19:28-21:01</t>
  </si>
  <si>
    <t>H2631563</t>
  </si>
  <si>
    <t>21:01-22:33</t>
  </si>
  <si>
    <t>H2631564</t>
  </si>
  <si>
    <t>22:33-0:04</t>
  </si>
  <si>
    <t>H2631565</t>
  </si>
  <si>
    <t>0：04-1:11</t>
  </si>
  <si>
    <t>H2631566</t>
  </si>
  <si>
    <t>1：11-1:54</t>
  </si>
  <si>
    <t>H2631567</t>
  </si>
  <si>
    <t>2：11-2:58</t>
  </si>
  <si>
    <t>H2631569</t>
  </si>
  <si>
    <t>2：58-3:52</t>
  </si>
  <si>
    <t>H2631570</t>
  </si>
  <si>
    <t>3：52-5:14</t>
  </si>
  <si>
    <t>H2631571</t>
  </si>
  <si>
    <t>5：14-6:37</t>
  </si>
  <si>
    <t>H2631572</t>
  </si>
  <si>
    <t>6：37-7:19</t>
  </si>
  <si>
    <t>H2631573</t>
  </si>
  <si>
    <t>7：52-8:35</t>
  </si>
  <si>
    <t>H2631575</t>
  </si>
  <si>
    <t>8：35-9:57</t>
  </si>
  <si>
    <t>H2631576</t>
  </si>
  <si>
    <t>9：57-11:20</t>
  </si>
  <si>
    <t>H2631577</t>
  </si>
  <si>
    <t>14：05-15：03</t>
  </si>
  <si>
    <t>H2631579</t>
  </si>
  <si>
    <t>15：03-16：02</t>
  </si>
  <si>
    <t>H2631580</t>
  </si>
  <si>
    <t>16:02-16:59</t>
  </si>
  <si>
    <t>H2631581</t>
  </si>
  <si>
    <t>16:59-17:57</t>
  </si>
  <si>
    <t>H2631582</t>
  </si>
  <si>
    <t>17:57-18:54</t>
  </si>
  <si>
    <t>H2631583</t>
  </si>
  <si>
    <t>18:54-19:54</t>
  </si>
  <si>
    <t>H2631584</t>
  </si>
  <si>
    <t>19:54-20:51</t>
  </si>
  <si>
    <t>H2631585</t>
  </si>
  <si>
    <t>21:31-22:10</t>
  </si>
  <si>
    <t>H2631587</t>
  </si>
  <si>
    <t>22:10-23:27</t>
  </si>
  <si>
    <t>H2631588</t>
  </si>
  <si>
    <t>23：27-0:12</t>
  </si>
  <si>
    <t>H2631589</t>
  </si>
  <si>
    <t>0：12-1:33</t>
  </si>
  <si>
    <t>H2631590</t>
  </si>
  <si>
    <t>1：33-2:49</t>
  </si>
  <si>
    <t>H2631591</t>
  </si>
  <si>
    <t>2：49-4:26</t>
  </si>
  <si>
    <t>H2631592</t>
  </si>
  <si>
    <t>4:52-5：40</t>
  </si>
  <si>
    <t>H2631594</t>
  </si>
  <si>
    <t>5：40-7:08</t>
  </si>
  <si>
    <t>H2631595</t>
  </si>
  <si>
    <t>7：26-8:22</t>
  </si>
  <si>
    <t>H2631597</t>
  </si>
  <si>
    <t>8：22-9:03</t>
  </si>
  <si>
    <t>H2631598</t>
  </si>
  <si>
    <t>13:16-14:11</t>
  </si>
  <si>
    <t>H2631601</t>
  </si>
  <si>
    <t>14:11-15:54</t>
  </si>
  <si>
    <t>H2631602</t>
  </si>
  <si>
    <t>15:54-16:44</t>
  </si>
  <si>
    <t>H2631603</t>
  </si>
  <si>
    <t>16:44-17:33</t>
  </si>
  <si>
    <t>H2631604</t>
  </si>
  <si>
    <t>17:33-18:35</t>
  </si>
  <si>
    <t>H2631605</t>
  </si>
  <si>
    <t>18:35-19:22</t>
  </si>
  <si>
    <t>H2631606</t>
  </si>
  <si>
    <t>19:22-20:16</t>
  </si>
  <si>
    <t>H2631607</t>
  </si>
  <si>
    <t>20:16-21:05</t>
  </si>
  <si>
    <t>H2631608</t>
  </si>
  <si>
    <t>21:05-22:19</t>
  </si>
  <si>
    <t>H2631609</t>
  </si>
  <si>
    <t>22:19-23:25</t>
  </si>
  <si>
    <t>H2631610</t>
  </si>
  <si>
    <t>23:25-0:34</t>
  </si>
  <si>
    <t>H2631611</t>
  </si>
  <si>
    <t>0：34-1:35</t>
  </si>
  <si>
    <t>H2631612</t>
  </si>
  <si>
    <t>1：35-2:44</t>
  </si>
  <si>
    <t>H2631613</t>
  </si>
  <si>
    <t>2：44-3:48</t>
  </si>
  <si>
    <t>H2631614</t>
  </si>
  <si>
    <t>3：48-4:52</t>
  </si>
  <si>
    <t>H2631615</t>
  </si>
  <si>
    <t>4：52-5:53</t>
  </si>
  <si>
    <t>H2631616</t>
  </si>
  <si>
    <t>5：53-6:57</t>
  </si>
  <si>
    <t>H2631617</t>
  </si>
  <si>
    <t>6：57-8:05</t>
  </si>
  <si>
    <t>H2631618</t>
  </si>
  <si>
    <t>8：05-9:10</t>
  </si>
  <si>
    <t>H2631619</t>
  </si>
  <si>
    <t>9：10-10:15</t>
  </si>
  <si>
    <t>H2631620</t>
  </si>
  <si>
    <t>10:15-11:24</t>
  </si>
  <si>
    <t>H2631621</t>
  </si>
  <si>
    <t>11：24-12:26</t>
  </si>
  <si>
    <t>H2631622</t>
  </si>
  <si>
    <t>12:26-13:26</t>
  </si>
  <si>
    <t>H2631623</t>
  </si>
  <si>
    <t>13:26-14：27</t>
  </si>
  <si>
    <t>H2631624</t>
  </si>
  <si>
    <t>14:27-15:28</t>
  </si>
  <si>
    <t>H2631625</t>
  </si>
  <si>
    <t>15:28-16:29</t>
  </si>
  <si>
    <t>H2631626</t>
  </si>
  <si>
    <t>16:29-17:31</t>
  </si>
  <si>
    <t>H2631627</t>
  </si>
  <si>
    <t>17:31-18:32</t>
  </si>
  <si>
    <t>H2631628</t>
  </si>
  <si>
    <t>18:32-19:33</t>
  </si>
  <si>
    <t>H2631629</t>
  </si>
  <si>
    <t>19:33-20:34</t>
  </si>
  <si>
    <t>H2631630</t>
  </si>
  <si>
    <t>20:34-21:43</t>
  </si>
  <si>
    <t>H2631631</t>
  </si>
  <si>
    <t>21:43-22:54</t>
  </si>
  <si>
    <t>H2631632</t>
  </si>
  <si>
    <t>22:54-0:00</t>
  </si>
  <si>
    <t>H2631633</t>
  </si>
  <si>
    <t>0：00-1:01</t>
  </si>
  <si>
    <t>H2631634</t>
  </si>
  <si>
    <t>1：01-2:11</t>
  </si>
  <si>
    <t>H2631635</t>
  </si>
  <si>
    <t>2：11-3:17</t>
  </si>
  <si>
    <t>H2631636</t>
  </si>
  <si>
    <t>3：17-4:20</t>
  </si>
  <si>
    <t>H2631637</t>
  </si>
  <si>
    <t>4：20-5:29</t>
  </si>
  <si>
    <t>H2631638</t>
  </si>
  <si>
    <t>5：29-6：37</t>
  </si>
  <si>
    <t>H2631639</t>
  </si>
  <si>
    <t>6：37-7:40</t>
  </si>
  <si>
    <t>H2631640</t>
  </si>
  <si>
    <t>7：40-8:47</t>
  </si>
  <si>
    <t>H2631641</t>
  </si>
  <si>
    <t>8：47-9:45</t>
  </si>
  <si>
    <t>H2631642</t>
  </si>
  <si>
    <t>9：45-10:54</t>
  </si>
  <si>
    <t>H2631643</t>
  </si>
  <si>
    <t>10:54-12:22</t>
  </si>
  <si>
    <t>H2631644</t>
  </si>
  <si>
    <t>12:22-13:03</t>
  </si>
  <si>
    <t>H2631645</t>
  </si>
  <si>
    <t>13:03-14:30</t>
  </si>
  <si>
    <t>H2631646</t>
  </si>
  <si>
    <t>14:30-15:10</t>
  </si>
  <si>
    <t>H2631647</t>
  </si>
  <si>
    <t>15:31-16:19</t>
  </si>
  <si>
    <t>H2631649</t>
  </si>
  <si>
    <t>16：19-17：56</t>
  </si>
  <si>
    <t>H2631650</t>
  </si>
  <si>
    <t>17:56-19:42</t>
  </si>
  <si>
    <t>H2631651</t>
  </si>
  <si>
    <t>19:42-21:17</t>
  </si>
  <si>
    <t>H2631652</t>
  </si>
  <si>
    <t>22:17-23:52</t>
  </si>
  <si>
    <t>H2631654</t>
  </si>
  <si>
    <t>23:52-1:28</t>
  </si>
  <si>
    <t>H2631655</t>
  </si>
  <si>
    <t>1：28-3:04</t>
  </si>
  <si>
    <t>H2631656</t>
  </si>
  <si>
    <t>3：04-4:40</t>
  </si>
  <si>
    <t>H2631657</t>
  </si>
  <si>
    <t>4：40-5:29</t>
  </si>
  <si>
    <t>H2631658</t>
  </si>
  <si>
    <t>5：29-6:44</t>
  </si>
  <si>
    <t>H2631659</t>
  </si>
  <si>
    <t>6：44-8:20</t>
  </si>
  <si>
    <t>H2631660</t>
  </si>
  <si>
    <t>8：20-9:08</t>
  </si>
  <si>
    <t>H2631661</t>
  </si>
  <si>
    <t>13:52-14:57</t>
  </si>
  <si>
    <t>H2631664</t>
  </si>
  <si>
    <t>14:57-15:55</t>
  </si>
  <si>
    <t>H2631665</t>
  </si>
  <si>
    <t>15：55-17:23</t>
  </si>
  <si>
    <t>H2631666</t>
  </si>
  <si>
    <t>17:23-18:31</t>
  </si>
  <si>
    <t>H2631667</t>
  </si>
  <si>
    <t>18:31-19:36</t>
  </si>
  <si>
    <t>H2631668</t>
  </si>
  <si>
    <t>19：36-20：46</t>
  </si>
  <si>
    <t>H2631669</t>
  </si>
  <si>
    <t>20:46-22:01</t>
  </si>
  <si>
    <t>H2631670</t>
  </si>
  <si>
    <t>22:01-23:07</t>
  </si>
  <si>
    <t>H2631671</t>
  </si>
  <si>
    <t>23:07-0:20</t>
  </si>
  <si>
    <t>H2631672</t>
  </si>
  <si>
    <t>0：20-1:30</t>
  </si>
  <si>
    <t>H2631673</t>
  </si>
  <si>
    <t>1：30-2:40</t>
  </si>
  <si>
    <t>H2631674</t>
  </si>
  <si>
    <t>2:40-4:00</t>
  </si>
  <si>
    <t>H2631675</t>
  </si>
  <si>
    <t>4：29-5:36</t>
  </si>
  <si>
    <t>H2631677</t>
  </si>
  <si>
    <t>5：36-6:53</t>
  </si>
  <si>
    <t>H2631678</t>
  </si>
  <si>
    <t>6：53-8:06</t>
  </si>
  <si>
    <t>H2631679</t>
  </si>
  <si>
    <t>8：06-9:13</t>
  </si>
  <si>
    <t>H2631680</t>
  </si>
  <si>
    <t>9:13-10:19</t>
  </si>
  <si>
    <t>H2631681</t>
  </si>
  <si>
    <t>10:19-11:21</t>
  </si>
  <si>
    <t>H2631682</t>
  </si>
  <si>
    <t>11:21-12:24</t>
  </si>
  <si>
    <t>H2631683</t>
  </si>
  <si>
    <t>13：24-14：26</t>
  </si>
  <si>
    <t>H2631685</t>
  </si>
  <si>
    <t>14:26-15:24</t>
  </si>
  <si>
    <t>H2631686</t>
  </si>
  <si>
    <t>15:24-16:33</t>
  </si>
  <si>
    <t>H2631687</t>
  </si>
  <si>
    <t>17:11-18:33</t>
  </si>
  <si>
    <t>H2631689</t>
  </si>
  <si>
    <t>18:33-19:34</t>
  </si>
  <si>
    <t>H2631690</t>
  </si>
  <si>
    <t>19:34-20:38</t>
  </si>
  <si>
    <t>H2631691</t>
  </si>
  <si>
    <t>20:38-21:48</t>
  </si>
  <si>
    <t>H2631692</t>
  </si>
  <si>
    <t>22:07-23:09</t>
  </si>
  <si>
    <t>H2631694</t>
  </si>
  <si>
    <t>0：29-1:35</t>
  </si>
  <si>
    <t>H2631696</t>
  </si>
  <si>
    <t>1：35-2:50</t>
  </si>
  <si>
    <t>H2631697</t>
  </si>
  <si>
    <t>2：50-4:02</t>
  </si>
  <si>
    <t>H2631698</t>
  </si>
  <si>
    <t>4：02-5:04</t>
  </si>
  <si>
    <t>H2631699</t>
  </si>
  <si>
    <t>5：04-6：20</t>
  </si>
  <si>
    <t>H2631700</t>
  </si>
  <si>
    <t>6：20-7:27</t>
  </si>
  <si>
    <t>H2631701</t>
  </si>
  <si>
    <t>7：27-8:32</t>
  </si>
  <si>
    <t>H2631702</t>
  </si>
  <si>
    <t>8：32-9:34</t>
  </si>
  <si>
    <t>H2631703</t>
  </si>
  <si>
    <t>14:12-15:01</t>
  </si>
  <si>
    <t>H2631706</t>
  </si>
  <si>
    <t>15:01-16:38</t>
  </si>
  <si>
    <t>H2631707</t>
  </si>
  <si>
    <t>16:38-17:35</t>
  </si>
  <si>
    <t>H2631708</t>
  </si>
  <si>
    <t>17:35-19:22</t>
  </si>
  <si>
    <t>H2631709</t>
  </si>
  <si>
    <t>19:22-20:31</t>
  </si>
  <si>
    <t>H2631710</t>
  </si>
  <si>
    <t>20:31-21:35</t>
  </si>
  <si>
    <t>H2631711</t>
  </si>
  <si>
    <t>21：35-22:44</t>
  </si>
  <si>
    <t>H2631712</t>
  </si>
  <si>
    <t>22:44-23:36</t>
  </si>
  <si>
    <t>H2631713</t>
  </si>
  <si>
    <t>23;59-0:48</t>
  </si>
  <si>
    <t>H2631715</t>
  </si>
  <si>
    <t>0:48-2：24</t>
  </si>
  <si>
    <t>H2631716</t>
  </si>
  <si>
    <t>2：24-3:34</t>
  </si>
  <si>
    <t>H2631717</t>
  </si>
  <si>
    <t>3：34-4:45</t>
  </si>
  <si>
    <t>H2631718</t>
  </si>
  <si>
    <t>4：45-5:48</t>
  </si>
  <si>
    <t>H2631719</t>
  </si>
  <si>
    <t>5：48-6:51</t>
  </si>
  <si>
    <t>H2631720</t>
  </si>
  <si>
    <t>6：51-7:54</t>
  </si>
  <si>
    <t>H2631721</t>
  </si>
  <si>
    <t>7：54-8:55</t>
  </si>
  <si>
    <t>H2631722</t>
  </si>
  <si>
    <t>8：55-10:02</t>
  </si>
  <si>
    <t>H2631723</t>
  </si>
  <si>
    <t>10:02-11:15</t>
  </si>
  <si>
    <t>H2631724</t>
  </si>
  <si>
    <t>11:15-12:25</t>
  </si>
  <si>
    <t>H2631725</t>
  </si>
  <si>
    <t>12:25-13:34</t>
  </si>
  <si>
    <t>H2631726</t>
  </si>
  <si>
    <t>13:34-14:49</t>
  </si>
  <si>
    <t>H2631727</t>
  </si>
  <si>
    <t>14:49-16:01</t>
  </si>
  <si>
    <t>H2631728</t>
  </si>
  <si>
    <t>16:01-17:05</t>
  </si>
  <si>
    <t>H2631729</t>
  </si>
  <si>
    <t>17:05-17:57</t>
  </si>
  <si>
    <t>H2631730</t>
  </si>
  <si>
    <t>17:57-19:17</t>
  </si>
  <si>
    <t>H2631731</t>
  </si>
  <si>
    <t>20:13-21:06</t>
  </si>
  <si>
    <t>H2631733</t>
  </si>
  <si>
    <t>21:06-22:17</t>
  </si>
  <si>
    <t>H2631734</t>
  </si>
  <si>
    <t>22:17-23:17</t>
  </si>
  <si>
    <t>H2631735</t>
  </si>
  <si>
    <t>23:17-0:39</t>
  </si>
  <si>
    <t>H2631736</t>
  </si>
  <si>
    <t>0：39-1:47</t>
  </si>
  <si>
    <t>H2631737</t>
  </si>
  <si>
    <t>1：47-2:48</t>
  </si>
  <si>
    <t>H2631738</t>
  </si>
  <si>
    <t>H2631739</t>
  </si>
  <si>
    <t>3：53-4:54</t>
  </si>
  <si>
    <t>H2631740</t>
  </si>
  <si>
    <t>4：54-6:00</t>
  </si>
  <si>
    <t>H2631741</t>
  </si>
  <si>
    <t>6：00-7:11</t>
  </si>
  <si>
    <t>H2631742</t>
  </si>
  <si>
    <t>7：11-8:20</t>
  </si>
  <si>
    <t>H2631743</t>
  </si>
  <si>
    <t>13:41-14:18</t>
  </si>
  <si>
    <t>H2631747</t>
  </si>
  <si>
    <t>14:18-14:54</t>
  </si>
  <si>
    <t>H2631748</t>
  </si>
  <si>
    <t>14:54-15:38</t>
  </si>
  <si>
    <t>H2631749</t>
  </si>
  <si>
    <t>15:38-16:45</t>
  </si>
  <si>
    <t>H2631750</t>
  </si>
  <si>
    <t>17:06-17:42</t>
  </si>
  <si>
    <t>H2631752</t>
  </si>
  <si>
    <t>17:42-18:28</t>
  </si>
  <si>
    <t>H2631753</t>
  </si>
  <si>
    <t>18:28-19:05</t>
  </si>
  <si>
    <t>H2631754</t>
  </si>
  <si>
    <t>19:05-19:54</t>
  </si>
  <si>
    <t>H2631755</t>
  </si>
  <si>
    <t>19:54-21:08</t>
  </si>
  <si>
    <t>H2631756</t>
  </si>
  <si>
    <t>21:08-22:28</t>
  </si>
  <si>
    <t>H2631757</t>
  </si>
  <si>
    <t>22:28-23:48</t>
  </si>
  <si>
    <t>H2631758</t>
  </si>
  <si>
    <t>23:48-1:02</t>
  </si>
  <si>
    <t>H2631759</t>
  </si>
  <si>
    <t>1：02-2:21</t>
  </si>
  <si>
    <t>H2631760</t>
  </si>
  <si>
    <t>2：21-3:35</t>
  </si>
  <si>
    <t>H2631761</t>
  </si>
  <si>
    <t>3：35-4:56</t>
  </si>
  <si>
    <t>H2631762</t>
  </si>
  <si>
    <t>6：16-7:21</t>
  </si>
  <si>
    <t>H2631764</t>
  </si>
  <si>
    <t>7：21-8:24</t>
  </si>
  <si>
    <t>H2631765</t>
  </si>
  <si>
    <t>8：24-9:27</t>
  </si>
  <si>
    <t>H2631766</t>
  </si>
  <si>
    <t>9：27-10:34</t>
  </si>
  <si>
    <t>H2631767</t>
  </si>
  <si>
    <t>10:57-11:55</t>
  </si>
  <si>
    <t>H2631769</t>
  </si>
  <si>
    <t>11:55-13:16</t>
  </si>
  <si>
    <t>H2631770</t>
  </si>
  <si>
    <t>13:16-14:23</t>
  </si>
  <si>
    <t>H2631771</t>
  </si>
  <si>
    <t>14:23-15:36</t>
  </si>
  <si>
    <t>H2631772</t>
  </si>
  <si>
    <t>15:36-16:46</t>
  </si>
  <si>
    <t>H2631773</t>
  </si>
  <si>
    <t>16:46-17:44</t>
  </si>
  <si>
    <t>H2631774</t>
  </si>
  <si>
    <t>18:40-20:05</t>
  </si>
  <si>
    <t>H2631776</t>
  </si>
  <si>
    <t>20:05-21:40</t>
  </si>
  <si>
    <t>H2631777</t>
  </si>
  <si>
    <t>21:40-22:58</t>
  </si>
  <si>
    <t>H2631778</t>
  </si>
  <si>
    <t>22:58-0:16</t>
  </si>
  <si>
    <t>H2631779</t>
  </si>
  <si>
    <t>0：16-1:36</t>
  </si>
  <si>
    <t>H2631780</t>
  </si>
  <si>
    <t>1：36-2:55</t>
  </si>
  <si>
    <t>H2631781</t>
  </si>
  <si>
    <t>2：55-3:58</t>
  </si>
  <si>
    <t>H2631782</t>
  </si>
  <si>
    <t>3:58-5:38</t>
  </si>
  <si>
    <t>H2631783</t>
  </si>
  <si>
    <t>5：38-6:28</t>
  </si>
  <si>
    <t>H2631784</t>
  </si>
  <si>
    <t>6：28-8:07</t>
  </si>
  <si>
    <t>H2631785</t>
  </si>
  <si>
    <t>8：07-8:55</t>
  </si>
  <si>
    <t>H2631786</t>
  </si>
  <si>
    <t>15：13-15：39</t>
  </si>
  <si>
    <t>H2631788</t>
  </si>
  <si>
    <t>PG42HS</t>
  </si>
  <si>
    <t>16:42-17:07</t>
  </si>
  <si>
    <t>H2631791</t>
  </si>
  <si>
    <t>18：38-19：25</t>
  </si>
  <si>
    <t>H2631794</t>
  </si>
  <si>
    <t>20：59-22：01</t>
  </si>
  <si>
    <t>H2631797</t>
  </si>
  <si>
    <t>PG42T</t>
  </si>
  <si>
    <t>22:35-23:15</t>
  </si>
  <si>
    <t>H2631799</t>
  </si>
  <si>
    <t>23:15-0:10</t>
  </si>
  <si>
    <t>H2631800</t>
  </si>
  <si>
    <t>0:10-1:01</t>
  </si>
  <si>
    <t>H2631801</t>
  </si>
  <si>
    <t>1：01-1:50</t>
  </si>
  <si>
    <t>H2631802</t>
  </si>
  <si>
    <t>4：19-5:06</t>
  </si>
  <si>
    <t>H2631804</t>
  </si>
  <si>
    <t>PG42S</t>
  </si>
  <si>
    <t>5:06-6：19</t>
  </si>
  <si>
    <t>H2631805</t>
  </si>
  <si>
    <t>7：08-7:44</t>
  </si>
  <si>
    <t>H2631807</t>
  </si>
  <si>
    <t>7：44-8:36</t>
  </si>
  <si>
    <t>H2631808</t>
  </si>
  <si>
    <t>8：36-9:12</t>
  </si>
  <si>
    <t>H2631809</t>
  </si>
  <si>
    <t>9：12-9:48</t>
  </si>
  <si>
    <t>H2631810</t>
  </si>
  <si>
    <t>10:16-10:53</t>
  </si>
  <si>
    <t>H2631811</t>
  </si>
  <si>
    <t>12:23-13:01</t>
  </si>
  <si>
    <t>H2631814</t>
  </si>
  <si>
    <t>13:01-13:41</t>
  </si>
  <si>
    <t>H2631815</t>
  </si>
  <si>
    <t>15:03-15：39</t>
  </si>
  <si>
    <t>H2631817</t>
  </si>
  <si>
    <t>15：39-16：56</t>
  </si>
  <si>
    <t>H2631819</t>
  </si>
  <si>
    <t>16:56-17:42</t>
  </si>
  <si>
    <t>H2631820</t>
  </si>
  <si>
    <t>17:42-19:33</t>
  </si>
  <si>
    <t>H2631821</t>
  </si>
  <si>
    <t>19:33-15:30</t>
  </si>
  <si>
    <t>H2631822</t>
  </si>
  <si>
    <t>22:36-23:50</t>
  </si>
  <si>
    <t>H3631406</t>
  </si>
  <si>
    <t>23：50-1:04</t>
  </si>
  <si>
    <t>H3631407</t>
  </si>
  <si>
    <t>1：04-2:19</t>
  </si>
  <si>
    <t>H3631408</t>
  </si>
  <si>
    <t>2：19-3:44</t>
  </si>
  <si>
    <t>H3631409</t>
  </si>
  <si>
    <t>3:44-4：58</t>
  </si>
  <si>
    <t>H3631410</t>
  </si>
  <si>
    <t>4：58-6:32</t>
  </si>
  <si>
    <t>H2631824</t>
  </si>
  <si>
    <t>6：32-7:09</t>
  </si>
  <si>
    <t>H2631825</t>
  </si>
  <si>
    <t>7：09-8:35</t>
  </si>
  <si>
    <t>H2631826</t>
  </si>
  <si>
    <t>11:36-12:41</t>
  </si>
  <si>
    <t>H3631411</t>
  </si>
  <si>
    <t>12:41-14:09</t>
  </si>
  <si>
    <t>H3631412</t>
  </si>
  <si>
    <t>14:09-15：41</t>
  </si>
  <si>
    <t>H3631413</t>
  </si>
  <si>
    <t>16:10-17:26</t>
  </si>
  <si>
    <t>H3631415</t>
  </si>
  <si>
    <t>17:26-18:45</t>
  </si>
  <si>
    <t>H3631416</t>
  </si>
  <si>
    <t>18:45-20:00</t>
  </si>
  <si>
    <t>H3631417</t>
  </si>
  <si>
    <t>20:00-21:14</t>
  </si>
  <si>
    <t>H3631418</t>
  </si>
  <si>
    <t>21:14-22:27</t>
  </si>
  <si>
    <t>H3631419</t>
  </si>
  <si>
    <t>22:27-23:45</t>
  </si>
  <si>
    <t>H3631420</t>
  </si>
  <si>
    <t>23:45-1:00</t>
  </si>
  <si>
    <t>H3631421</t>
  </si>
  <si>
    <t>1：00-2:14</t>
  </si>
  <si>
    <t>H3631422</t>
  </si>
  <si>
    <t>2：14-3:28</t>
  </si>
  <si>
    <t>H3631423</t>
  </si>
  <si>
    <t>3:28-4：43</t>
  </si>
  <si>
    <t>H3631424</t>
  </si>
  <si>
    <t>4：43-5:58</t>
  </si>
  <si>
    <t>H3631425</t>
  </si>
  <si>
    <t>5：58-7:13</t>
  </si>
  <si>
    <t>H3631426</t>
  </si>
  <si>
    <t>7：13-8:27</t>
  </si>
  <si>
    <t>H3631427</t>
  </si>
  <si>
    <t>8：27-9:40</t>
  </si>
  <si>
    <t>H3631428</t>
  </si>
  <si>
    <t>9：40-11:01</t>
  </si>
  <si>
    <t>H3631429</t>
  </si>
  <si>
    <t>11:01-12:20</t>
  </si>
  <si>
    <t>H3631430</t>
  </si>
  <si>
    <t>12:20-13:39</t>
  </si>
  <si>
    <t>H3631431</t>
  </si>
  <si>
    <t>13:29-14:53</t>
  </si>
  <si>
    <t>H3631432</t>
  </si>
  <si>
    <t>14:53-16:07</t>
  </si>
  <si>
    <t>H3631433</t>
  </si>
  <si>
    <t>16:07-17:22</t>
  </si>
  <si>
    <t>H3631434</t>
  </si>
  <si>
    <t>17:22-18:36</t>
  </si>
  <si>
    <t>H3631435</t>
  </si>
  <si>
    <t>18:36-19:50</t>
  </si>
  <si>
    <t>H3631436</t>
  </si>
  <si>
    <t>19：50-21：05</t>
  </si>
  <si>
    <t>H3631437</t>
  </si>
  <si>
    <t>21:05-22:26</t>
  </si>
  <si>
    <t>H3631438</t>
  </si>
  <si>
    <t>22:26-23:43</t>
  </si>
  <si>
    <t>H3631439</t>
  </si>
  <si>
    <t>23:43-1:11</t>
  </si>
  <si>
    <t>H3631440</t>
  </si>
  <si>
    <t>1：11-2:25</t>
  </si>
  <si>
    <t>H3631441</t>
  </si>
  <si>
    <t>2：25-3:39</t>
  </si>
  <si>
    <t>H3631442</t>
  </si>
  <si>
    <t>3：39-4:54</t>
  </si>
  <si>
    <t>H3631443</t>
  </si>
  <si>
    <t>4:54-6:09</t>
  </si>
  <si>
    <t>H3631444</t>
  </si>
  <si>
    <t>6：09-7:18</t>
  </si>
  <si>
    <t>H3631445</t>
  </si>
  <si>
    <t>11:00-11:44</t>
  </si>
  <si>
    <t>H2631829</t>
  </si>
  <si>
    <t>11:44-13:10</t>
  </si>
  <si>
    <t>H2631830</t>
  </si>
  <si>
    <t>13:10-14:34</t>
  </si>
  <si>
    <t>H2631831</t>
  </si>
  <si>
    <t>14:34-16:01</t>
  </si>
  <si>
    <t>H2631832</t>
  </si>
  <si>
    <t>16:01-16:44</t>
  </si>
  <si>
    <t>H2631833</t>
  </si>
  <si>
    <t>16:44-18:30</t>
  </si>
  <si>
    <t>H2631834</t>
  </si>
  <si>
    <t>18:30-19:25</t>
  </si>
  <si>
    <t>H2631835</t>
  </si>
  <si>
    <t>19:25-20:14</t>
  </si>
  <si>
    <t>H2631836</t>
  </si>
  <si>
    <t>20：14-21：48</t>
  </si>
  <si>
    <t>H2631837</t>
  </si>
  <si>
    <t>23：02-0:20</t>
  </si>
  <si>
    <t>H2641839</t>
  </si>
  <si>
    <t>FG22V</t>
  </si>
  <si>
    <t>0：20-1:00</t>
  </si>
  <si>
    <t>H2641840</t>
  </si>
  <si>
    <t>1：00-2:25</t>
  </si>
  <si>
    <t>H2641841</t>
  </si>
  <si>
    <t>2：25-3:47</t>
  </si>
  <si>
    <t>H2641842</t>
  </si>
  <si>
    <t>3:47-5：06</t>
  </si>
  <si>
    <t>H2641843</t>
  </si>
  <si>
    <t>5：06-6:25</t>
  </si>
  <si>
    <t>H2641844</t>
  </si>
  <si>
    <t>6：25-7:14</t>
  </si>
  <si>
    <t>H2641845</t>
  </si>
  <si>
    <t>7：14-8:29</t>
  </si>
  <si>
    <t>H2641846</t>
  </si>
  <si>
    <t>8：29-9:44</t>
  </si>
  <si>
    <t>H2641847</t>
  </si>
  <si>
    <t>9：44-10:21</t>
  </si>
  <si>
    <t>H2641848</t>
  </si>
  <si>
    <t>10:21-11:46</t>
  </si>
  <si>
    <t>H3641446</t>
  </si>
  <si>
    <t>11:46-13:00</t>
  </si>
  <si>
    <t>H3641447</t>
  </si>
  <si>
    <t>14：28-15：18</t>
  </si>
  <si>
    <t>H2641850</t>
  </si>
  <si>
    <t>15:18-16:15</t>
  </si>
  <si>
    <t>H2641851</t>
  </si>
  <si>
    <t>16:15-17:05</t>
  </si>
  <si>
    <t>H2641852</t>
  </si>
  <si>
    <t>17:05-18:04</t>
  </si>
  <si>
    <t>H2641853</t>
  </si>
  <si>
    <t>18：42-19：32</t>
  </si>
  <si>
    <t>H2641855</t>
  </si>
  <si>
    <t>19:32-20:21</t>
  </si>
  <si>
    <t>H2641856</t>
  </si>
  <si>
    <t>20：21-21:12</t>
  </si>
  <si>
    <t>H2641857</t>
  </si>
  <si>
    <t>21:12-22:11</t>
  </si>
  <si>
    <t>H2641858</t>
  </si>
  <si>
    <t>22:11-23:01</t>
  </si>
  <si>
    <t>H2641859</t>
  </si>
  <si>
    <t>23：01-：0:05</t>
  </si>
  <si>
    <t>H2641860</t>
  </si>
  <si>
    <t>0：05-1:43</t>
  </si>
  <si>
    <t>H2641861</t>
  </si>
  <si>
    <t>1：43-3:21</t>
  </si>
  <si>
    <t>H2641862</t>
  </si>
  <si>
    <t>3：21-4:20</t>
  </si>
  <si>
    <t>H2641863</t>
  </si>
  <si>
    <t>4：49-5:37</t>
  </si>
  <si>
    <t>H2641865</t>
  </si>
  <si>
    <t>6：12-7:52</t>
  </si>
  <si>
    <t>H2641867</t>
  </si>
  <si>
    <t>7：52-8:44</t>
  </si>
  <si>
    <t>H2641868</t>
  </si>
  <si>
    <t>12：50-13：37</t>
  </si>
  <si>
    <t>H2641871</t>
  </si>
  <si>
    <t>13:37-15:12</t>
  </si>
  <si>
    <t>H2641872</t>
  </si>
  <si>
    <t>15:12-16:41</t>
  </si>
  <si>
    <t>H2641873</t>
  </si>
  <si>
    <t>16:58-17:46</t>
  </si>
  <si>
    <t>H2641875</t>
  </si>
  <si>
    <t>17:46-18:32</t>
  </si>
  <si>
    <t>H2641876</t>
  </si>
  <si>
    <t>18:32-20:05</t>
  </si>
  <si>
    <t>H2641877</t>
  </si>
  <si>
    <t>20:05-21:38</t>
  </si>
  <si>
    <t>H2641878</t>
  </si>
  <si>
    <t>21:38-23:11</t>
  </si>
  <si>
    <t>H2641879</t>
  </si>
  <si>
    <t>23:11-0:38</t>
  </si>
  <si>
    <t>H3641448</t>
  </si>
  <si>
    <t>0：38-1:52</t>
  </si>
  <si>
    <t>H3641449</t>
  </si>
  <si>
    <t>1：52-3:06</t>
  </si>
  <si>
    <t>H3641450</t>
  </si>
  <si>
    <t>3：06-4:28</t>
  </si>
  <si>
    <t>H3641451</t>
  </si>
  <si>
    <t>4：26-5:40</t>
  </si>
  <si>
    <t>H3641452</t>
  </si>
  <si>
    <t>5:40-7：09</t>
  </si>
  <si>
    <t>H3641453</t>
  </si>
  <si>
    <t>7：09-8:30</t>
  </si>
  <si>
    <t>H3641454</t>
  </si>
  <si>
    <t>8：30-9:50</t>
  </si>
  <si>
    <t>H3641455</t>
  </si>
  <si>
    <t>9：50-11:08</t>
  </si>
  <si>
    <t>H3641456</t>
  </si>
  <si>
    <t>11:08-12:22</t>
  </si>
  <si>
    <t>H3641457</t>
  </si>
  <si>
    <t>12：:22-13:35</t>
  </si>
  <si>
    <t>H3641458</t>
  </si>
  <si>
    <t>15:27-16:18</t>
  </si>
  <si>
    <t>H2641883</t>
  </si>
  <si>
    <t>16:18-17:56</t>
  </si>
  <si>
    <t>H2641884</t>
  </si>
  <si>
    <t>17:56-19:40</t>
  </si>
  <si>
    <t>H2641885</t>
  </si>
  <si>
    <t>19:40-21:18</t>
  </si>
  <si>
    <t>H2641886</t>
  </si>
  <si>
    <t>21：18-23：04</t>
  </si>
  <si>
    <t>H2641887</t>
  </si>
  <si>
    <t>23:04-0:43</t>
  </si>
  <si>
    <t>H2641888</t>
  </si>
  <si>
    <t>0：43-2:21</t>
  </si>
  <si>
    <t>H2641889</t>
  </si>
  <si>
    <t>2：21-4:01</t>
  </si>
  <si>
    <t>H2641890</t>
  </si>
  <si>
    <t>4：01-5:39</t>
  </si>
  <si>
    <t>H2641891</t>
  </si>
  <si>
    <t>5：39-6:29</t>
  </si>
  <si>
    <t>H2641892</t>
  </si>
  <si>
    <t>3：29-8:12</t>
  </si>
  <si>
    <t>H2641893</t>
  </si>
  <si>
    <t>8:12-9:02</t>
  </si>
  <si>
    <t>H2641894</t>
  </si>
  <si>
    <t>11:51-12:37</t>
  </si>
  <si>
    <t>H2641896</t>
  </si>
  <si>
    <t>12:37-13:24</t>
  </si>
  <si>
    <t>H2641897</t>
  </si>
  <si>
    <t>13:24-14:22</t>
  </si>
  <si>
    <t>H2641898</t>
  </si>
  <si>
    <t>14：22-15：22</t>
  </si>
  <si>
    <t>H2641899</t>
  </si>
  <si>
    <t>15:22-16:12</t>
  </si>
  <si>
    <t>H2641900</t>
  </si>
  <si>
    <t>16:55-17:31</t>
  </si>
  <si>
    <t>H2641902</t>
  </si>
  <si>
    <t>17：31-18：14</t>
  </si>
  <si>
    <t>H2641903</t>
  </si>
  <si>
    <t>18:14-18:54</t>
  </si>
  <si>
    <t>H2641904</t>
  </si>
  <si>
    <t>18:54-20:04</t>
  </si>
  <si>
    <t>H2641905</t>
  </si>
  <si>
    <t>21:24-22:11</t>
  </si>
  <si>
    <t>H2641907</t>
  </si>
  <si>
    <t>22:11-23:21</t>
  </si>
  <si>
    <t>H2641908</t>
  </si>
  <si>
    <t>23:53-0:32</t>
  </si>
  <si>
    <t>H2641910</t>
  </si>
  <si>
    <t>0：32-1:43</t>
  </si>
  <si>
    <t>H2641911</t>
  </si>
  <si>
    <t>1：43-2:27</t>
  </si>
  <si>
    <t>H2641912</t>
  </si>
  <si>
    <t>2：27-3:37</t>
  </si>
  <si>
    <t>H2641913</t>
  </si>
  <si>
    <t>3：37-4:53</t>
  </si>
  <si>
    <t>H2641914</t>
  </si>
  <si>
    <t>4：53-5:31</t>
  </si>
  <si>
    <t>H2641915</t>
  </si>
  <si>
    <t>5：53-7:02</t>
  </si>
  <si>
    <t>H2641917</t>
  </si>
  <si>
    <t>9：03-10：07</t>
  </si>
  <si>
    <t>H2641920</t>
  </si>
  <si>
    <t>10:07-11:11</t>
  </si>
  <si>
    <t>H2641921</t>
  </si>
  <si>
    <t>11:11-12:21</t>
  </si>
  <si>
    <t>H2641922</t>
  </si>
  <si>
    <t>12：24-13：30</t>
  </si>
  <si>
    <t>H2641923</t>
  </si>
  <si>
    <t>13:30-14：32</t>
  </si>
  <si>
    <t>H2641924</t>
  </si>
  <si>
    <t>14：32-16:43</t>
  </si>
  <si>
    <t>H2641925</t>
  </si>
  <si>
    <t>16:43-16:24</t>
  </si>
  <si>
    <t>H2641926</t>
  </si>
  <si>
    <t>20:16-21:06</t>
  </si>
  <si>
    <t>H2641928</t>
  </si>
  <si>
    <t>21:06-22:27</t>
  </si>
  <si>
    <t>H2641929</t>
  </si>
  <si>
    <t>22:27-23:14</t>
  </si>
  <si>
    <t>H2641930</t>
  </si>
  <si>
    <t>23:14-23:48</t>
  </si>
  <si>
    <t>H2641931</t>
  </si>
  <si>
    <t>23:48-1:13</t>
  </si>
  <si>
    <t>H2641932</t>
  </si>
  <si>
    <t>1：13-2:22</t>
  </si>
  <si>
    <t>H2641933</t>
  </si>
  <si>
    <t>2-22:3:23</t>
  </si>
  <si>
    <t>H2641934</t>
  </si>
  <si>
    <t>3：23-4:34</t>
  </si>
  <si>
    <t>H2641935</t>
  </si>
  <si>
    <t>4：34-5:46</t>
  </si>
  <si>
    <t>H2641936</t>
  </si>
  <si>
    <t>5：46-6:53</t>
  </si>
  <si>
    <t>H2641937</t>
  </si>
  <si>
    <t>H2641938</t>
  </si>
  <si>
    <t>8:03-9:02</t>
  </si>
  <si>
    <t>H2641939</t>
  </si>
  <si>
    <t>9:02-10:03</t>
  </si>
  <si>
    <t>H2641940</t>
  </si>
  <si>
    <t>10:38-11:43</t>
  </si>
  <si>
    <t>H2641942</t>
  </si>
  <si>
    <t>11:43-12:45</t>
  </si>
  <si>
    <t>H2641943</t>
  </si>
  <si>
    <t>12:45-13:35</t>
  </si>
  <si>
    <t>H2641944</t>
  </si>
  <si>
    <t>13:45-14:46</t>
  </si>
  <si>
    <t>H2641945</t>
  </si>
  <si>
    <t>14:46-15:47</t>
  </si>
  <si>
    <t>H2641946</t>
  </si>
  <si>
    <t>15:47-16:48</t>
  </si>
  <si>
    <t>H2641947</t>
  </si>
  <si>
    <t>16:48-17:49</t>
  </si>
  <si>
    <t>H2641948</t>
  </si>
  <si>
    <t>17:49-18:57</t>
  </si>
  <si>
    <t>H2641949</t>
  </si>
  <si>
    <t>18:57-19:58</t>
  </si>
  <si>
    <t>H2641950</t>
  </si>
  <si>
    <t>19:58-21:03</t>
  </si>
  <si>
    <t>H2641951</t>
  </si>
  <si>
    <t>21:03-22:30</t>
  </si>
  <si>
    <t>H2641952</t>
  </si>
  <si>
    <t>22:30-23:31</t>
  </si>
  <si>
    <t>H2641953</t>
  </si>
  <si>
    <t>23:31-0:39</t>
  </si>
  <si>
    <t>H2641954</t>
  </si>
  <si>
    <t>0：39-1:41</t>
  </si>
  <si>
    <t>H2641955</t>
  </si>
  <si>
    <t>1:41-3:00</t>
  </si>
  <si>
    <t>H2641956</t>
  </si>
  <si>
    <t>3：00-4:03</t>
  </si>
  <si>
    <t>H2641957</t>
  </si>
  <si>
    <t>4：03-5:07</t>
  </si>
  <si>
    <t>H2641958</t>
  </si>
  <si>
    <t>5：07-6:18</t>
  </si>
  <si>
    <t>H2641959</t>
  </si>
  <si>
    <t>6：18-7:22</t>
  </si>
  <si>
    <t>H2641960</t>
  </si>
  <si>
    <t>7：22-8：30</t>
  </si>
  <si>
    <t>H2641961</t>
  </si>
  <si>
    <t>8：30-9:31</t>
  </si>
  <si>
    <t>H2641962</t>
  </si>
  <si>
    <t>9：31-10:40</t>
  </si>
  <si>
    <t>H2641963</t>
  </si>
  <si>
    <t>10:40-11:59</t>
  </si>
  <si>
    <t>H2641964</t>
  </si>
  <si>
    <t>19*3</t>
  </si>
  <si>
    <t>11:59-13:04</t>
  </si>
  <si>
    <t>H2641965</t>
  </si>
  <si>
    <t>13:04-14:20</t>
  </si>
  <si>
    <t>H2641966</t>
  </si>
  <si>
    <t>14:20-15:25</t>
  </si>
  <si>
    <t>H2641967</t>
  </si>
  <si>
    <t>15：25-16：22</t>
  </si>
  <si>
    <t>H2641968</t>
  </si>
  <si>
    <t>16:22-17:32</t>
  </si>
  <si>
    <t>H2641969</t>
  </si>
  <si>
    <t>H2641970</t>
  </si>
  <si>
    <t>18:41-19:54</t>
  </si>
  <si>
    <t>H2641971</t>
  </si>
  <si>
    <t>19:54-20:52</t>
  </si>
  <si>
    <t>H2641972</t>
  </si>
  <si>
    <t>20:52-21:53</t>
  </si>
  <si>
    <t>H2641973</t>
  </si>
  <si>
    <t>21:53-22:50</t>
  </si>
  <si>
    <t>H2641974</t>
  </si>
  <si>
    <t>22：50-23:53</t>
  </si>
  <si>
    <t>H2641975</t>
  </si>
  <si>
    <t>23：53-0：51</t>
  </si>
  <si>
    <t>H2641976</t>
  </si>
  <si>
    <t>1：35-2:48</t>
  </si>
  <si>
    <t>H3641677</t>
  </si>
  <si>
    <t>2：48-4:02</t>
  </si>
  <si>
    <t>H3641678</t>
  </si>
  <si>
    <t>4：02-5:16</t>
  </si>
  <si>
    <t>H3641679</t>
  </si>
  <si>
    <t>5：16-6:30</t>
  </si>
  <si>
    <t>H3641680</t>
  </si>
  <si>
    <t>6：30-7:43</t>
  </si>
  <si>
    <t>H3641681</t>
  </si>
  <si>
    <t>7：43-8:57</t>
  </si>
  <si>
    <t>H3641682</t>
  </si>
  <si>
    <t>8：57-10:13</t>
  </si>
  <si>
    <t>H3641683</t>
  </si>
  <si>
    <t>10：13-11:32</t>
  </si>
  <si>
    <t>H3641684</t>
  </si>
  <si>
    <t>11:32-12:46</t>
  </si>
  <si>
    <t>H3641685</t>
  </si>
  <si>
    <t>16:45-17:24</t>
  </si>
  <si>
    <t>H2641981</t>
  </si>
  <si>
    <t>17:24-18:03</t>
  </si>
  <si>
    <t>H2641982</t>
  </si>
  <si>
    <t>18:03-18:45</t>
  </si>
  <si>
    <t>H2641983</t>
  </si>
  <si>
    <t>19:43-20:30</t>
  </si>
  <si>
    <t>H2641985</t>
  </si>
  <si>
    <t>20:30-21:18</t>
  </si>
  <si>
    <t>H2641986</t>
  </si>
  <si>
    <t>21:18-22:11</t>
  </si>
  <si>
    <t>H2641987</t>
  </si>
  <si>
    <t>22:11-23:04</t>
  </si>
  <si>
    <t>H2641988</t>
  </si>
  <si>
    <t>23:04-0:35</t>
  </si>
  <si>
    <t>H2641989</t>
  </si>
  <si>
    <t>0：35-2:05</t>
  </si>
  <si>
    <t>H2641990</t>
  </si>
  <si>
    <t>2：05-3:31</t>
  </si>
  <si>
    <t>H2641991</t>
  </si>
  <si>
    <t>3：31-4:58</t>
  </si>
  <si>
    <t>H2641992</t>
  </si>
  <si>
    <t>5:32-6:45</t>
  </si>
  <si>
    <t>H2641994</t>
  </si>
  <si>
    <t>6：45-7:22</t>
  </si>
  <si>
    <t>H2641995</t>
  </si>
  <si>
    <t>7：22-8:35</t>
  </si>
  <si>
    <t>H2641996</t>
  </si>
  <si>
    <t>8：35-9:47</t>
  </si>
  <si>
    <t>H2641997</t>
  </si>
  <si>
    <t>9：47-11:06</t>
  </si>
  <si>
    <t>H3641686</t>
  </si>
  <si>
    <t>11:06-12:20</t>
  </si>
  <si>
    <t>H3641687</t>
  </si>
  <si>
    <t>12:20-13:46</t>
  </si>
  <si>
    <t>H3641688</t>
  </si>
  <si>
    <t>13：:46-14:59</t>
  </si>
  <si>
    <t>H3641689</t>
  </si>
  <si>
    <t>15:55-16:44</t>
  </si>
  <si>
    <t>H2642000</t>
  </si>
  <si>
    <t>16:44-18:20</t>
  </si>
  <si>
    <t>H2642001</t>
  </si>
  <si>
    <t>18:20-20:00</t>
  </si>
  <si>
    <t>H2642002</t>
  </si>
  <si>
    <t>20:00-21:40</t>
  </si>
  <si>
    <t>H2642003</t>
  </si>
  <si>
    <t>21:40-23:18</t>
  </si>
  <si>
    <t>H2642004</t>
  </si>
  <si>
    <t>23:18-0:06</t>
  </si>
  <si>
    <t>H2642005</t>
  </si>
  <si>
    <t>0：06-1:50</t>
  </si>
  <si>
    <t>H2642006</t>
  </si>
  <si>
    <t>1：45-3:33</t>
  </si>
  <si>
    <t>H2642007</t>
  </si>
  <si>
    <t>3：33-4:22</t>
  </si>
  <si>
    <t>H2642008</t>
  </si>
  <si>
    <t>4：22-6:07</t>
  </si>
  <si>
    <t>H2642009</t>
  </si>
  <si>
    <t>6：07-6:55</t>
  </si>
  <si>
    <t>H2642010</t>
  </si>
  <si>
    <t>6：55-8:31</t>
  </si>
  <si>
    <t>H2642011</t>
  </si>
  <si>
    <t>8：31-10：08</t>
  </si>
  <si>
    <t>H2642012</t>
  </si>
  <si>
    <t>10:08-11:02</t>
  </si>
  <si>
    <t>H2642013</t>
  </si>
  <si>
    <t>11：02-11：54</t>
  </si>
  <si>
    <t>H2642014</t>
  </si>
  <si>
    <t>11:54-13:32</t>
  </si>
  <si>
    <t>H2642015</t>
  </si>
  <si>
    <t>13:32-15:09</t>
  </si>
  <si>
    <t>H2642016</t>
  </si>
  <si>
    <t>15：08-15:58</t>
  </si>
  <si>
    <t>H2642017</t>
  </si>
  <si>
    <t>15:58-17:33</t>
  </si>
  <si>
    <t>H2642018</t>
  </si>
  <si>
    <t>17：33-18:22</t>
  </si>
  <si>
    <t>H2642019</t>
  </si>
  <si>
    <t>18:22-19:58</t>
  </si>
  <si>
    <t>H2642020</t>
  </si>
  <si>
    <t>19:58-21:34</t>
  </si>
  <si>
    <t>H2642021</t>
  </si>
  <si>
    <t>21:34-23:16</t>
  </si>
  <si>
    <t>H2642022</t>
  </si>
  <si>
    <t>23:16-0:05</t>
  </si>
  <si>
    <t>H2642023</t>
  </si>
  <si>
    <t>0：05-1:41</t>
  </si>
  <si>
    <t>H2642024</t>
  </si>
  <si>
    <t>1：41-3:16</t>
  </si>
  <si>
    <t>H2642025</t>
  </si>
  <si>
    <t>3：16-4:53</t>
  </si>
  <si>
    <t>H2642026</t>
  </si>
  <si>
    <t>4：53-6:29</t>
  </si>
  <si>
    <t>H2642027</t>
  </si>
  <si>
    <t>6：29-8:05</t>
  </si>
  <si>
    <t>H2642028</t>
  </si>
  <si>
    <t>8：05-8:53</t>
  </si>
  <si>
    <t>H2642029</t>
  </si>
  <si>
    <t>12:38-13：16</t>
  </si>
  <si>
    <t>H2642032</t>
  </si>
  <si>
    <t>13:16-14:17</t>
  </si>
  <si>
    <t>H2642033</t>
  </si>
  <si>
    <t>14:49-16:08</t>
  </si>
  <si>
    <t>H2642035</t>
  </si>
  <si>
    <t>16:08-17:15</t>
  </si>
  <si>
    <t>H2642036</t>
  </si>
  <si>
    <t>17:15-18:23</t>
  </si>
  <si>
    <t>H2642037</t>
  </si>
  <si>
    <t>18:23-19:27</t>
  </si>
  <si>
    <t>H2642038</t>
  </si>
  <si>
    <t>19:27-20:37</t>
  </si>
  <si>
    <t>H2642039</t>
  </si>
  <si>
    <t>2：18-2:53</t>
  </si>
  <si>
    <t>H2642041</t>
  </si>
  <si>
    <t>2：53-4:06</t>
  </si>
  <si>
    <t>H2642042</t>
  </si>
  <si>
    <t>4：06-5:33</t>
  </si>
  <si>
    <t>H2642043</t>
  </si>
  <si>
    <t>5：33-6:43</t>
  </si>
  <si>
    <t>H2642044</t>
  </si>
  <si>
    <t>6:43-8：05</t>
  </si>
  <si>
    <t>H2642045</t>
  </si>
  <si>
    <t>8：05-9:15</t>
  </si>
  <si>
    <t>H2642046</t>
  </si>
  <si>
    <t>9：39-10:44</t>
  </si>
  <si>
    <t>H2642048</t>
  </si>
  <si>
    <t>10:49-11:25</t>
  </si>
  <si>
    <t>H2642049</t>
  </si>
  <si>
    <t>11:25-12:27</t>
  </si>
  <si>
    <t>H2642050</t>
  </si>
  <si>
    <t>12:27-14:03</t>
  </si>
  <si>
    <t>H2642051</t>
  </si>
  <si>
    <t>14:03-14:51</t>
  </si>
  <si>
    <t>H2642052</t>
  </si>
  <si>
    <t>14:51-15:40</t>
  </si>
  <si>
    <t>H2642053</t>
  </si>
  <si>
    <t>15:40-16:28</t>
  </si>
  <si>
    <t>H2642054</t>
  </si>
  <si>
    <t>16:40-17:37</t>
  </si>
  <si>
    <t>H2642056</t>
  </si>
  <si>
    <t>17:37-18:38</t>
  </si>
  <si>
    <t>H2642057</t>
  </si>
  <si>
    <t>18:38-20:05</t>
  </si>
  <si>
    <t>H2642058</t>
  </si>
  <si>
    <t>20:05-21:41</t>
  </si>
  <si>
    <t>H2642059</t>
  </si>
  <si>
    <t>21：41-23:17</t>
  </si>
  <si>
    <t>H2642060</t>
  </si>
  <si>
    <t>23:17-0:53</t>
  </si>
  <si>
    <t>H2642061</t>
  </si>
  <si>
    <t>0：53-1：42</t>
  </si>
  <si>
    <t>H2642062</t>
  </si>
  <si>
    <t>2：31-3:12</t>
  </si>
  <si>
    <t>H2642064</t>
  </si>
  <si>
    <t>3:12-4:24</t>
  </si>
  <si>
    <t>H2642065</t>
  </si>
  <si>
    <t>4：24-5:43</t>
  </si>
  <si>
    <t>H2642066</t>
  </si>
  <si>
    <t>5：43-7:03</t>
  </si>
  <si>
    <t>H2642067</t>
  </si>
  <si>
    <t>7:03-8：29</t>
  </si>
  <si>
    <t>H2642068</t>
  </si>
  <si>
    <t>8:29-9：13</t>
  </si>
  <si>
    <t>H2642069</t>
  </si>
  <si>
    <t>9:13-10：41</t>
  </si>
  <si>
    <t>H2642070</t>
  </si>
  <si>
    <t>10:41-11:29</t>
  </si>
  <si>
    <t>H2642071</t>
  </si>
  <si>
    <t>11:29-12:55</t>
  </si>
  <si>
    <t>H2642072</t>
  </si>
  <si>
    <t>12:55-14:19</t>
  </si>
  <si>
    <t>H2642073</t>
  </si>
  <si>
    <t>14:19-15:40</t>
  </si>
  <si>
    <t>H2642074</t>
  </si>
  <si>
    <t>15:40-17:00</t>
  </si>
  <si>
    <t>H2642075</t>
  </si>
  <si>
    <t>17:00-18:20</t>
  </si>
  <si>
    <t>H2642076</t>
  </si>
  <si>
    <t>18:20-19:40</t>
  </si>
  <si>
    <t>H2642077</t>
  </si>
  <si>
    <t>20:15-20:55</t>
  </si>
  <si>
    <t>H2642079</t>
  </si>
  <si>
    <t>20:55-22:15</t>
  </si>
  <si>
    <t>H2642080</t>
  </si>
  <si>
    <t>22:15-23:35</t>
  </si>
  <si>
    <t>H2642081</t>
  </si>
  <si>
    <t>23:35-0:55</t>
  </si>
  <si>
    <t>H2642082</t>
  </si>
  <si>
    <t>0：55-2:15</t>
  </si>
  <si>
    <t>H2642083</t>
  </si>
  <si>
    <t>2：15-3:35</t>
  </si>
  <si>
    <t>H2642084</t>
  </si>
  <si>
    <t>3：35-4:55</t>
  </si>
  <si>
    <t>H2642085</t>
  </si>
  <si>
    <t>4：55-5:53</t>
  </si>
  <si>
    <t>H2642086</t>
  </si>
  <si>
    <t>5：53-6:43</t>
  </si>
  <si>
    <t>H2642087</t>
  </si>
  <si>
    <t>6:43-8：20</t>
  </si>
  <si>
    <t>H2642088</t>
  </si>
  <si>
    <t>12:27-13:01</t>
  </si>
  <si>
    <t>H2642092</t>
  </si>
  <si>
    <t>13:01-13:34</t>
  </si>
  <si>
    <t>H2642093</t>
  </si>
  <si>
    <t>13:34-14:18</t>
  </si>
  <si>
    <t>H2642094</t>
  </si>
  <si>
    <t>14:18-15:03</t>
  </si>
  <si>
    <t>H2642095</t>
  </si>
  <si>
    <t>15:03-16:05</t>
  </si>
  <si>
    <t>H2642096</t>
  </si>
  <si>
    <t>16:05-17:11</t>
  </si>
  <si>
    <t>H2642097</t>
  </si>
  <si>
    <t>17:11-18:42</t>
  </si>
  <si>
    <t>H2642098</t>
  </si>
  <si>
    <t>19:36-20:16</t>
  </si>
  <si>
    <t>H2642100</t>
  </si>
  <si>
    <t>20:16-21:39</t>
  </si>
  <si>
    <t>H2642101</t>
  </si>
  <si>
    <t>21:39-22:40</t>
  </si>
  <si>
    <t>H2642102</t>
  </si>
  <si>
    <t>22:40-23:28</t>
  </si>
  <si>
    <t>H2642103</t>
  </si>
  <si>
    <t>23:28-0:06</t>
  </si>
  <si>
    <t>H2642104</t>
  </si>
  <si>
    <t>0：06-1:30</t>
  </si>
  <si>
    <t>H2642105</t>
  </si>
  <si>
    <t>2：28-3:09</t>
  </si>
  <si>
    <t>H2642107</t>
  </si>
  <si>
    <t>3：09-3:53</t>
  </si>
  <si>
    <t>H2642108</t>
  </si>
  <si>
    <t>3：53-4:43</t>
  </si>
  <si>
    <t>H2642109</t>
  </si>
  <si>
    <t>4：43-6:09</t>
  </si>
  <si>
    <t>H2642110</t>
  </si>
  <si>
    <t>6：09-6:59</t>
  </si>
  <si>
    <t>H2642111</t>
  </si>
  <si>
    <t>6：59-8:22</t>
  </si>
  <si>
    <t>H2642112</t>
  </si>
  <si>
    <t>8：22-9:02</t>
  </si>
  <si>
    <t>H2642113</t>
  </si>
  <si>
    <t>9：02-9:42</t>
  </si>
  <si>
    <t>H2642114</t>
  </si>
  <si>
    <t>10:14-11:05</t>
  </si>
  <si>
    <t>H2642116</t>
  </si>
  <si>
    <t>11:05-12:27</t>
  </si>
  <si>
    <t>H2642117</t>
  </si>
  <si>
    <t>12:27-13:07</t>
  </si>
  <si>
    <t>H2642118</t>
  </si>
  <si>
    <t>13:07-14:35</t>
  </si>
  <si>
    <t>H2642119</t>
  </si>
  <si>
    <t>14:35-15:56</t>
  </si>
  <si>
    <t>H2642120</t>
  </si>
  <si>
    <t>15:56-17:18</t>
  </si>
  <si>
    <t>H2642121</t>
  </si>
  <si>
    <t>17:52-18:41</t>
  </si>
  <si>
    <t>H2642153</t>
  </si>
  <si>
    <t>18:41-19:31</t>
  </si>
  <si>
    <t>H2642154</t>
  </si>
  <si>
    <t>19:31-21：06</t>
  </si>
  <si>
    <t>H2642155</t>
  </si>
  <si>
    <t>21:06-22:42</t>
  </si>
  <si>
    <t>H2642156</t>
  </si>
  <si>
    <t>22:42-0:20</t>
  </si>
  <si>
    <t>H2642157</t>
  </si>
  <si>
    <t>0：20-1:55</t>
  </si>
  <si>
    <t>H2642158</t>
  </si>
  <si>
    <t>1：55-3:31</t>
  </si>
  <si>
    <t>H2642159</t>
  </si>
  <si>
    <t>3：31-4:18</t>
  </si>
  <si>
    <t>H2642160</t>
  </si>
  <si>
    <t>4：40-5:19</t>
  </si>
  <si>
    <t>H2642162</t>
  </si>
  <si>
    <t>5:19-6：37</t>
  </si>
  <si>
    <t>H2642163</t>
  </si>
  <si>
    <t>6:37-8：05</t>
  </si>
  <si>
    <t>H2642164</t>
  </si>
  <si>
    <t>8:05-8：45</t>
  </si>
  <si>
    <t>H2642165</t>
  </si>
  <si>
    <t>13：39-14：16</t>
  </si>
  <si>
    <t>H2642168</t>
  </si>
  <si>
    <t>14：16-15：02</t>
  </si>
  <si>
    <t>H2642169</t>
  </si>
  <si>
    <t>16:40-17:28</t>
  </si>
  <si>
    <t>H2642171</t>
  </si>
  <si>
    <t>17:26-18:18</t>
  </si>
  <si>
    <t>H2642172</t>
  </si>
  <si>
    <t>20:59-21:45</t>
  </si>
  <si>
    <t>H2642175</t>
  </si>
  <si>
    <t>21:45-23:18</t>
  </si>
  <si>
    <t>H2642176</t>
  </si>
  <si>
    <t>0：38-2:16</t>
  </si>
  <si>
    <t>H2642179</t>
  </si>
  <si>
    <t>2：16-3:48</t>
  </si>
  <si>
    <t>H2642180</t>
  </si>
  <si>
    <t>3：48-5:24</t>
  </si>
  <si>
    <t>H2642181</t>
  </si>
  <si>
    <t>5：24-6;28</t>
  </si>
  <si>
    <t>H2642182</t>
  </si>
  <si>
    <t>6：28-8:04</t>
  </si>
  <si>
    <t>H2642183</t>
  </si>
  <si>
    <t>8：04-9:42</t>
  </si>
  <si>
    <t>H2642184</t>
  </si>
  <si>
    <t>9:42-10:54</t>
  </si>
  <si>
    <t>H2642185</t>
  </si>
  <si>
    <t>10:54-12:40</t>
  </si>
  <si>
    <t>H2642186</t>
  </si>
  <si>
    <t>12:40-14:20</t>
  </si>
  <si>
    <t>H2642187</t>
  </si>
  <si>
    <t>14:20-14:59</t>
  </si>
  <si>
    <t>H2642188</t>
  </si>
  <si>
    <t>15:26-16:13</t>
  </si>
  <si>
    <t>H2642189</t>
  </si>
  <si>
    <t>16：13-17：14</t>
  </si>
  <si>
    <t>H2642191</t>
  </si>
  <si>
    <t>17:14-18:12</t>
  </si>
  <si>
    <t>H2642192</t>
  </si>
  <si>
    <t>18：33-20:05</t>
  </si>
  <si>
    <t>H2642194</t>
  </si>
  <si>
    <t>20:05-21:04</t>
  </si>
  <si>
    <t>H2642195</t>
  </si>
  <si>
    <t>21:04-21:50</t>
  </si>
  <si>
    <t>H2642196</t>
  </si>
  <si>
    <t>21:50-22:56</t>
  </si>
  <si>
    <t>H2642197</t>
  </si>
  <si>
    <t>22:56-0:28</t>
  </si>
  <si>
    <t>H2642198</t>
  </si>
  <si>
    <t>1:16-2:49</t>
  </si>
  <si>
    <t>H2642200</t>
  </si>
  <si>
    <t>2：49-4:33</t>
  </si>
  <si>
    <t>H2642201</t>
  </si>
  <si>
    <t>4：33-5:57</t>
  </si>
  <si>
    <t>H2642202</t>
  </si>
  <si>
    <t>6：42-8:18</t>
  </si>
  <si>
    <t>H2642204</t>
  </si>
  <si>
    <t>8：18-9:12</t>
  </si>
  <si>
    <t>H2642205</t>
  </si>
  <si>
    <t>9：50-11:22</t>
  </si>
  <si>
    <t>H2642207</t>
  </si>
  <si>
    <t>11:22-12:55</t>
  </si>
  <si>
    <t>H2642208</t>
  </si>
  <si>
    <t>13:17-14:05</t>
  </si>
  <si>
    <t>H2642210</t>
  </si>
  <si>
    <t>14:05-15:40</t>
  </si>
  <si>
    <t>H2642211</t>
  </si>
  <si>
    <t>15:40-17:16</t>
  </si>
  <si>
    <t>H2642212</t>
  </si>
  <si>
    <t>17:16-18:04</t>
  </si>
  <si>
    <t>H2642213</t>
  </si>
  <si>
    <t>18:31-20:05</t>
  </si>
  <si>
    <t>H2642215</t>
  </si>
  <si>
    <t>20:05-21:52</t>
  </si>
  <si>
    <t>H2642216</t>
  </si>
  <si>
    <t>21:52-23:37</t>
  </si>
  <si>
    <t>H2642217</t>
  </si>
  <si>
    <t>23:37-0:24</t>
  </si>
  <si>
    <t>H2642218</t>
  </si>
  <si>
    <t>0：47-2:24</t>
  </si>
  <si>
    <t>H2642220</t>
  </si>
  <si>
    <t>2：50-4:25</t>
  </si>
  <si>
    <t>H2642222</t>
  </si>
  <si>
    <t>5：12-6:01</t>
  </si>
  <si>
    <t>H2642224</t>
  </si>
  <si>
    <t>6:31-7:16</t>
  </si>
  <si>
    <t>H2642226</t>
  </si>
  <si>
    <t>7:42-8:29</t>
  </si>
  <si>
    <t>H2642228</t>
  </si>
  <si>
    <t>12:14-13:16</t>
  </si>
  <si>
    <t>H2642231</t>
  </si>
  <si>
    <t>13：16-14:24</t>
  </si>
  <si>
    <t>H2642232</t>
  </si>
  <si>
    <t>14:24-15:37</t>
  </si>
  <si>
    <t>H2642233</t>
  </si>
  <si>
    <t>15:37-16:45</t>
  </si>
  <si>
    <t>H2642234</t>
  </si>
  <si>
    <t>16:45-17:57</t>
  </si>
  <si>
    <t>H2642235</t>
  </si>
  <si>
    <t>17:57-19:05</t>
  </si>
  <si>
    <t>H2642236</t>
  </si>
  <si>
    <t>19：03-20:05</t>
  </si>
  <si>
    <t>H2642237</t>
  </si>
  <si>
    <t>20:52-21:33</t>
  </si>
  <si>
    <t>H2642239</t>
  </si>
  <si>
    <t>21:33-22:51</t>
  </si>
  <si>
    <t>H2642240</t>
  </si>
  <si>
    <t>22:51-23:37</t>
  </si>
  <si>
    <t>H2642241</t>
  </si>
  <si>
    <t>23:37-0:17</t>
  </si>
  <si>
    <t>H2642242</t>
  </si>
  <si>
    <t>0：17-1:25</t>
  </si>
  <si>
    <t>H2642243</t>
  </si>
  <si>
    <t>1：25-2:34</t>
  </si>
  <si>
    <t>H2642244</t>
  </si>
  <si>
    <t>2：34-3:38</t>
  </si>
  <si>
    <t>H2642245</t>
  </si>
  <si>
    <t>3：38-4:40</t>
  </si>
  <si>
    <t>H2642246</t>
  </si>
  <si>
    <t>4：40-5:46</t>
  </si>
  <si>
    <t>H2642247</t>
  </si>
  <si>
    <t>5：46-6:48</t>
  </si>
  <si>
    <t>H2642248</t>
  </si>
  <si>
    <t>6：48-7:56</t>
  </si>
  <si>
    <t>H2642249</t>
  </si>
  <si>
    <t>7：56-8:58</t>
  </si>
  <si>
    <t>H2642250</t>
  </si>
  <si>
    <t>8：58-9:38</t>
  </si>
  <si>
    <t>H2642251</t>
  </si>
  <si>
    <t>9:57-10:37</t>
  </si>
  <si>
    <t>H2642253</t>
  </si>
  <si>
    <t>10:347-12:02</t>
  </si>
  <si>
    <t>H2642254</t>
  </si>
  <si>
    <t>12:02-13:38</t>
  </si>
  <si>
    <t>H2642255</t>
  </si>
  <si>
    <t>13:38-15:06</t>
  </si>
  <si>
    <t>H2642256</t>
  </si>
  <si>
    <t>15：06-16：32</t>
  </si>
  <si>
    <t>H2642257</t>
  </si>
  <si>
    <t>16:32-17:55</t>
  </si>
  <si>
    <t>H2642258</t>
  </si>
  <si>
    <t>17:55-18：38</t>
  </si>
  <si>
    <t>H2642259</t>
  </si>
  <si>
    <t>18:38-19:18</t>
  </si>
  <si>
    <t>H2642260</t>
  </si>
  <si>
    <t>19:18-20:00</t>
  </si>
  <si>
    <t>H2642261</t>
  </si>
  <si>
    <t>20:00-21:21</t>
  </si>
  <si>
    <t>H2642262</t>
  </si>
  <si>
    <t>H2642263</t>
  </si>
  <si>
    <t>22:51-23:31</t>
  </si>
  <si>
    <t>H2642264</t>
  </si>
  <si>
    <t>23:31-0:57</t>
  </si>
  <si>
    <t>H2642265</t>
  </si>
  <si>
    <t>0：57-2:20</t>
  </si>
  <si>
    <t>H2642266</t>
  </si>
  <si>
    <t>2：20-3:43</t>
  </si>
  <si>
    <t>H2642267</t>
  </si>
  <si>
    <t>3：43-5:03</t>
  </si>
  <si>
    <t>H2642268</t>
  </si>
  <si>
    <t>5：03-6:25</t>
  </si>
  <si>
    <t>H2642269</t>
  </si>
  <si>
    <t>6：25-7:59</t>
  </si>
  <si>
    <t>H2642270</t>
  </si>
  <si>
    <t>7：59-9:25</t>
  </si>
  <si>
    <t>H2642271</t>
  </si>
  <si>
    <t>9：25-10:20</t>
  </si>
  <si>
    <t>H2642272</t>
  </si>
  <si>
    <t>10:20-11:56</t>
  </si>
  <si>
    <t>H2642273</t>
  </si>
  <si>
    <t>11:56-13:31</t>
  </si>
  <si>
    <t>H2642274</t>
  </si>
  <si>
    <t>18:09-19:16</t>
  </si>
  <si>
    <t>H2642278</t>
  </si>
  <si>
    <t>19:16-20:18</t>
  </si>
  <si>
    <t>H2642279</t>
  </si>
  <si>
    <t>20:18-21:20</t>
  </si>
  <si>
    <t>H2642280</t>
  </si>
  <si>
    <t>21:20-22:30</t>
  </si>
  <si>
    <t>H2642281</t>
  </si>
  <si>
    <t>22:30-23:26</t>
  </si>
  <si>
    <t>H2642282</t>
  </si>
  <si>
    <t>23:26-0:33</t>
  </si>
  <si>
    <t>H2642283</t>
  </si>
  <si>
    <t>4：37-5:27</t>
  </si>
  <si>
    <t>H2642287</t>
  </si>
  <si>
    <t>5：27-6:17</t>
  </si>
  <si>
    <t>H2642288</t>
  </si>
  <si>
    <t>6：17-7:57</t>
  </si>
  <si>
    <t>H2642289</t>
  </si>
  <si>
    <t>7：57-9:37</t>
  </si>
  <si>
    <t>H2642290</t>
  </si>
  <si>
    <t>9：54-10:47</t>
  </si>
  <si>
    <t>H2642292</t>
  </si>
  <si>
    <t>10:47-11:48</t>
  </si>
  <si>
    <t>H2642293</t>
  </si>
  <si>
    <t>11:48-12:42</t>
  </si>
  <si>
    <t>H2642294</t>
  </si>
  <si>
    <t>12:42-13:36</t>
  </si>
  <si>
    <t>H2642295</t>
  </si>
  <si>
    <t>13:36-14:33</t>
  </si>
  <si>
    <t>H2642296</t>
  </si>
  <si>
    <t>14:33-15:30</t>
  </si>
  <si>
    <t>H2642297</t>
  </si>
  <si>
    <t>16:31-17:21</t>
  </si>
  <si>
    <t>H2642300</t>
  </si>
  <si>
    <t>17:21-18:13</t>
  </si>
  <si>
    <t>H2642301</t>
  </si>
  <si>
    <t>18:13-19:53</t>
  </si>
  <si>
    <t>H2642302</t>
  </si>
  <si>
    <t>19:53-20:54</t>
  </si>
  <si>
    <t>H2642303</t>
  </si>
  <si>
    <t>20:54-22:32</t>
  </si>
  <si>
    <t>H2642304</t>
  </si>
  <si>
    <t>22:23-23:26</t>
  </si>
  <si>
    <t>H2642305</t>
  </si>
  <si>
    <t>23:26-1:03</t>
  </si>
  <si>
    <t>H2642306</t>
  </si>
  <si>
    <t>1：03-2:41</t>
  </si>
  <si>
    <t>H2642307</t>
  </si>
  <si>
    <t>2：41-4:19</t>
  </si>
  <si>
    <t>H2642308</t>
  </si>
  <si>
    <t>4：19-5:46</t>
  </si>
  <si>
    <t>H2642309</t>
  </si>
  <si>
    <t>7：09-7:59</t>
  </si>
  <si>
    <t>H2642312</t>
  </si>
  <si>
    <t>8：22-9:14</t>
  </si>
  <si>
    <t>H2642314</t>
  </si>
  <si>
    <t>9：14-10:53</t>
  </si>
  <si>
    <t>H2642315</t>
  </si>
  <si>
    <t>10:53-12:37</t>
  </si>
  <si>
    <t>H2642316</t>
  </si>
  <si>
    <t>12:37-14:17</t>
  </si>
  <si>
    <t>H2642317</t>
  </si>
  <si>
    <t>14:17-15:07</t>
  </si>
  <si>
    <t>H2642318</t>
  </si>
  <si>
    <t>15:07-16:03</t>
  </si>
  <si>
    <t>H2642319</t>
  </si>
  <si>
    <t>16:03-16:52</t>
  </si>
  <si>
    <t>H2642320</t>
  </si>
  <si>
    <t>17:15-18:18</t>
  </si>
  <si>
    <t>H2642322</t>
  </si>
  <si>
    <t>18:18-19:18</t>
  </si>
  <si>
    <t>H2642323</t>
  </si>
  <si>
    <t>19：18-20:18</t>
  </si>
  <si>
    <t>H2642324</t>
  </si>
  <si>
    <t>20:18-21:22</t>
  </si>
  <si>
    <t>H2642325</t>
  </si>
  <si>
    <t>21:22-22:39</t>
  </si>
  <si>
    <t>H2642326</t>
  </si>
  <si>
    <t>22:39-23:18</t>
  </si>
  <si>
    <t>H2642327</t>
  </si>
  <si>
    <t>H2642329</t>
  </si>
  <si>
    <t>1：11-1:58</t>
  </si>
  <si>
    <t>H2642331</t>
  </si>
  <si>
    <t>1：58-2:44</t>
  </si>
  <si>
    <t>H2642332</t>
  </si>
  <si>
    <t>2：44-4:14</t>
  </si>
  <si>
    <t>H2642333</t>
  </si>
  <si>
    <t>4：14-5:05</t>
  </si>
  <si>
    <t>H2642334</t>
  </si>
  <si>
    <t>5:05-6：35</t>
  </si>
  <si>
    <t>H2642335</t>
  </si>
  <si>
    <t>6：35-7:54</t>
  </si>
  <si>
    <t>H2642336</t>
  </si>
  <si>
    <t>7：54-8:35</t>
  </si>
  <si>
    <t>H2642337</t>
  </si>
  <si>
    <t>13:11-14:31</t>
  </si>
  <si>
    <t>H2642340</t>
  </si>
  <si>
    <t>14:31-15:52</t>
  </si>
  <si>
    <t>H2642341</t>
  </si>
  <si>
    <t>15:52-17:03</t>
  </si>
  <si>
    <t>H2642342</t>
  </si>
  <si>
    <t>18:27-19:24</t>
  </si>
  <si>
    <t>H2642344</t>
  </si>
  <si>
    <t>19:24-20:11</t>
  </si>
  <si>
    <t>H2642345</t>
  </si>
  <si>
    <t>20:47-21:27</t>
  </si>
  <si>
    <t>H2642347</t>
  </si>
  <si>
    <t>21:27-22:19</t>
  </si>
  <si>
    <t>H2642348</t>
  </si>
  <si>
    <t>22:49-0:08</t>
  </si>
  <si>
    <t>H2642350</t>
  </si>
  <si>
    <t>0:08-12:40</t>
  </si>
  <si>
    <t>H2642351</t>
  </si>
  <si>
    <t>1:13-2:08</t>
  </si>
  <si>
    <t>H2642353</t>
  </si>
  <si>
    <t>2：36-4:04</t>
  </si>
  <si>
    <t>H2642355</t>
  </si>
  <si>
    <t>4：04-5:27</t>
  </si>
  <si>
    <t>H2642356</t>
  </si>
  <si>
    <t>5：27-6:49</t>
  </si>
  <si>
    <t>H2642357</t>
  </si>
  <si>
    <t>6：49-8:11</t>
  </si>
  <si>
    <t>H2642358</t>
  </si>
  <si>
    <t>8：11-8:54</t>
  </si>
  <si>
    <t>H2642359</t>
  </si>
  <si>
    <t>8：54-9:51</t>
  </si>
  <si>
    <t>H2642360</t>
  </si>
  <si>
    <t>9：51-10:33</t>
  </si>
  <si>
    <t>H2642361</t>
  </si>
  <si>
    <t>10:59-12:09</t>
  </si>
  <si>
    <t>H2642363</t>
  </si>
  <si>
    <t>12:09-13:07</t>
  </si>
  <si>
    <t>H2642364</t>
  </si>
  <si>
    <t>13:07-14:05</t>
  </si>
  <si>
    <t>H2642365</t>
  </si>
  <si>
    <t>19:27-20:18</t>
  </si>
  <si>
    <t>H2642370</t>
  </si>
  <si>
    <t>20:18-22:02</t>
  </si>
  <si>
    <t>H2642371</t>
  </si>
  <si>
    <t>23:20-1:04</t>
  </si>
  <si>
    <t>H2642374</t>
  </si>
  <si>
    <t>1：32-2:18</t>
  </si>
  <si>
    <t>H2642376</t>
  </si>
  <si>
    <t>2：18-3:47</t>
  </si>
  <si>
    <t>H2642377</t>
  </si>
  <si>
    <t>3：47-4:37</t>
  </si>
  <si>
    <t>H2642378</t>
  </si>
  <si>
    <t>4：37-6:06</t>
  </si>
  <si>
    <t>H2642379</t>
  </si>
  <si>
    <t>6：06-6:52</t>
  </si>
  <si>
    <t>H2642380</t>
  </si>
  <si>
    <t>6：52-8:20</t>
  </si>
  <si>
    <t>H2642381</t>
  </si>
  <si>
    <t>8：20-9:46</t>
  </si>
  <si>
    <t>H2642382</t>
  </si>
  <si>
    <t>9：46-10:39</t>
  </si>
  <si>
    <t>H2642383</t>
  </si>
  <si>
    <t>10:39-11:33</t>
  </si>
  <si>
    <t>H2642384</t>
  </si>
  <si>
    <t>11:33-12:21</t>
  </si>
  <si>
    <t>H2642385</t>
  </si>
  <si>
    <t>12:47-14:17</t>
  </si>
  <si>
    <t>H2642387</t>
  </si>
  <si>
    <t>14:17-15:05</t>
  </si>
  <si>
    <t>H2642388</t>
  </si>
  <si>
    <t>15:05-16:32</t>
  </si>
  <si>
    <t>H2642389</t>
  </si>
  <si>
    <t>16:32-17:14</t>
  </si>
  <si>
    <t>H2642390</t>
  </si>
  <si>
    <t>17:14-18:36</t>
  </si>
  <si>
    <t>H2642391</t>
  </si>
  <si>
    <t>18:36-20:02</t>
  </si>
  <si>
    <t>H2642392</t>
  </si>
  <si>
    <t>20:02-20:48</t>
  </si>
  <si>
    <t>H2642393</t>
  </si>
  <si>
    <t>20:48-22:10</t>
  </si>
  <si>
    <t>H2642394</t>
  </si>
  <si>
    <t>22:10-23:02</t>
  </si>
  <si>
    <t>H2642395</t>
  </si>
  <si>
    <t>23：19-0：20</t>
  </si>
  <si>
    <t>H2642397</t>
  </si>
  <si>
    <t>0：23-1:36</t>
  </si>
  <si>
    <t>H2642398</t>
  </si>
  <si>
    <t>1：36-2:47</t>
  </si>
  <si>
    <t>H2642399</t>
  </si>
  <si>
    <t>2：47-3:58</t>
  </si>
  <si>
    <t>H2642400</t>
  </si>
  <si>
    <t>3：58-5:01</t>
  </si>
  <si>
    <t>H2642401</t>
  </si>
  <si>
    <t>5：01-6:14</t>
  </si>
  <si>
    <t>H2642402</t>
  </si>
  <si>
    <t>6：14-7：17</t>
  </si>
  <si>
    <t>H2642403</t>
  </si>
  <si>
    <t>7；17-8:31</t>
  </si>
  <si>
    <t>H2642404</t>
  </si>
  <si>
    <t>8：31-9:34</t>
  </si>
  <si>
    <t>H2642405</t>
  </si>
  <si>
    <t>9:34-10:56</t>
  </si>
  <si>
    <t>H2642406</t>
  </si>
  <si>
    <t>10:56-12:09</t>
  </si>
  <si>
    <t>H2642407</t>
  </si>
  <si>
    <t>12:09-13:18</t>
  </si>
  <si>
    <t>H2642408</t>
  </si>
  <si>
    <t>13:18-14:28</t>
  </si>
  <si>
    <t>H2642409</t>
  </si>
  <si>
    <t>14:28-15:35</t>
  </si>
  <si>
    <t>H2642410</t>
  </si>
  <si>
    <t>16:46-17:51</t>
  </si>
  <si>
    <t>H2642412</t>
  </si>
  <si>
    <t>17:51-18:55</t>
  </si>
  <si>
    <t>H2642413</t>
  </si>
  <si>
    <t>18:55-19:58</t>
  </si>
  <si>
    <t>H2642414</t>
  </si>
  <si>
    <t>19:58-21:02</t>
  </si>
  <si>
    <t>H2642415</t>
  </si>
  <si>
    <t>21:02-22:17</t>
  </si>
  <si>
    <t>H2642416</t>
  </si>
  <si>
    <t>22:17-23:30</t>
  </si>
  <si>
    <t>H2642417</t>
  </si>
  <si>
    <t>23:30-0:33</t>
  </si>
  <si>
    <t>H2642418</t>
  </si>
  <si>
    <t>0:33-1:39</t>
  </si>
  <si>
    <t>H2642419</t>
  </si>
  <si>
    <t>1：39-2:46</t>
  </si>
  <si>
    <t>H2642420</t>
  </si>
  <si>
    <t>2：42-4:00</t>
  </si>
  <si>
    <t>H2642421</t>
  </si>
  <si>
    <t>4：00-5:05</t>
  </si>
  <si>
    <t>H2642422</t>
  </si>
  <si>
    <t>5：05-6：10</t>
  </si>
  <si>
    <t>H2642423</t>
  </si>
  <si>
    <t>6：10-7:20</t>
  </si>
  <si>
    <t>H2642424</t>
  </si>
  <si>
    <t>7：20-8:34</t>
  </si>
  <si>
    <t>H2642425</t>
  </si>
  <si>
    <t>8：34-9:40</t>
  </si>
  <si>
    <t>H2642426</t>
  </si>
  <si>
    <t>10:24-11:05</t>
  </si>
  <si>
    <t>H2642428</t>
  </si>
  <si>
    <t>11:05-12:28</t>
  </si>
  <si>
    <t>H2642429</t>
  </si>
  <si>
    <t>12:28-13:01</t>
  </si>
  <si>
    <t>H2642430</t>
  </si>
  <si>
    <t>17:21-18:02</t>
  </si>
  <si>
    <t>H2642432</t>
  </si>
  <si>
    <t>18:02-18:46</t>
  </si>
  <si>
    <t>H2642433</t>
  </si>
  <si>
    <t>18:46-19:27</t>
  </si>
  <si>
    <t>H2642434</t>
  </si>
  <si>
    <t>19:27-20:07</t>
  </si>
  <si>
    <t>H2642435</t>
  </si>
  <si>
    <t>20:07-21:36</t>
  </si>
  <si>
    <t>H2642436</t>
  </si>
  <si>
    <t>21:36-22:28</t>
  </si>
  <si>
    <t>H2642437</t>
  </si>
  <si>
    <t>22:28-0:05</t>
  </si>
  <si>
    <t>H2642438</t>
  </si>
  <si>
    <t>0：05-1:27</t>
  </si>
  <si>
    <t>H2642439</t>
  </si>
  <si>
    <t>1：27-2:48</t>
  </si>
  <si>
    <t>H2642440</t>
  </si>
  <si>
    <t>2：48-4:15</t>
  </si>
  <si>
    <t>H2642441</t>
  </si>
  <si>
    <t>4：15-5:44</t>
  </si>
  <si>
    <t>H2642442</t>
  </si>
  <si>
    <t>5：44-6:26</t>
  </si>
  <si>
    <t>H2642443</t>
  </si>
  <si>
    <t>6：26-7:37</t>
  </si>
  <si>
    <t>H2642444</t>
  </si>
  <si>
    <t>7：37-8:40</t>
  </si>
  <si>
    <t>H2642445</t>
  </si>
  <si>
    <t>8：40-9:43</t>
  </si>
  <si>
    <t>H2642446</t>
  </si>
  <si>
    <t>9:43-10:46</t>
  </si>
  <si>
    <t>H2642447</t>
  </si>
  <si>
    <t>10:49-11:27</t>
  </si>
  <si>
    <t>H2642448</t>
  </si>
  <si>
    <t>11:27-12:57</t>
  </si>
  <si>
    <t>H2642449</t>
  </si>
  <si>
    <t>12:57-14:22</t>
  </si>
  <si>
    <t>H2642450</t>
  </si>
  <si>
    <t>14:22-15:44</t>
  </si>
  <si>
    <t>H2642451</t>
  </si>
  <si>
    <t>15:44-17:09</t>
  </si>
  <si>
    <t>H2642452</t>
  </si>
  <si>
    <t>17:09-18:31</t>
  </si>
  <si>
    <t>H2642453</t>
  </si>
  <si>
    <t>18:31-19:51</t>
  </si>
  <si>
    <t>H2642454</t>
  </si>
  <si>
    <t>H2642455</t>
  </si>
  <si>
    <t>20:34-21:14</t>
  </si>
  <si>
    <t>H2642456</t>
  </si>
  <si>
    <t>21:14-22:16</t>
  </si>
  <si>
    <t>H2642457</t>
  </si>
  <si>
    <t>22:16-23:55</t>
  </si>
  <si>
    <t>H2642458</t>
  </si>
  <si>
    <t>23：55-0：46</t>
  </si>
  <si>
    <t>H2642459</t>
  </si>
  <si>
    <t>1：28-2:18</t>
  </si>
  <si>
    <t>H2642461</t>
  </si>
  <si>
    <t>2:18-3：57</t>
  </si>
  <si>
    <t>H2642462</t>
  </si>
  <si>
    <t>3：57-5：36</t>
  </si>
  <si>
    <t>H2642463</t>
  </si>
  <si>
    <t>5：36-6:33</t>
  </si>
  <si>
    <t>H2642464</t>
  </si>
  <si>
    <t>6：33-8:15</t>
  </si>
  <si>
    <t>H2642465</t>
  </si>
  <si>
    <t>8：15-9:06</t>
  </si>
  <si>
    <t>H2642466</t>
  </si>
  <si>
    <t>16:16-17:04</t>
  </si>
  <si>
    <t>H2642471</t>
  </si>
  <si>
    <t>23:27-0:17</t>
  </si>
  <si>
    <t>H2652476</t>
  </si>
  <si>
    <t>0：17-2:07</t>
  </si>
  <si>
    <t>H2652477</t>
  </si>
  <si>
    <t>2：07-3:55</t>
  </si>
  <si>
    <t>H2652478</t>
  </si>
  <si>
    <t>3：55-5:33</t>
  </si>
  <si>
    <t>H2652479</t>
  </si>
  <si>
    <t>6:19-7：08</t>
  </si>
  <si>
    <t>H2652481</t>
  </si>
  <si>
    <t>7：08-8:06</t>
  </si>
  <si>
    <t>H2652482</t>
  </si>
  <si>
    <t>8：06-9:54</t>
  </si>
  <si>
    <t>H2652483</t>
  </si>
  <si>
    <t>9：54-10:55</t>
  </si>
  <si>
    <t>H2652484</t>
  </si>
  <si>
    <t>10：55-11：53</t>
  </si>
  <si>
    <t>H2652485</t>
  </si>
  <si>
    <t>11:53-12:50</t>
  </si>
  <si>
    <t>H2652486</t>
  </si>
  <si>
    <t>13:26-14：19</t>
  </si>
  <si>
    <t>H2652488</t>
  </si>
  <si>
    <t>14:19-15:56</t>
  </si>
  <si>
    <t>H2652489</t>
  </si>
  <si>
    <t>18:49-19:38</t>
  </si>
  <si>
    <t>H2652491</t>
  </si>
  <si>
    <t>19:38-20:36</t>
  </si>
  <si>
    <t>H2652492</t>
  </si>
  <si>
    <t>20:36-21:46</t>
  </si>
  <si>
    <t>H2652493</t>
  </si>
  <si>
    <t>21:46-23:00</t>
  </si>
  <si>
    <t>H2652494</t>
  </si>
  <si>
    <t>23:00-23:42</t>
  </si>
  <si>
    <t>H2652495</t>
  </si>
  <si>
    <t>0：10-1:14</t>
  </si>
  <si>
    <t>H2652497</t>
  </si>
  <si>
    <t>1：14-2:17</t>
  </si>
  <si>
    <t>H2652498</t>
  </si>
  <si>
    <t>2：17-3:23</t>
  </si>
  <si>
    <t>H2652499</t>
  </si>
  <si>
    <t>3：23-4:36</t>
  </si>
  <si>
    <t>H2652500</t>
  </si>
  <si>
    <t>4：36-5:51</t>
  </si>
  <si>
    <t>H2652501</t>
  </si>
  <si>
    <t>5：51-6:59</t>
  </si>
  <si>
    <t>H2652502</t>
  </si>
  <si>
    <t>6:59-8：05</t>
  </si>
  <si>
    <t>H2652503</t>
  </si>
  <si>
    <t>8：05-9:31</t>
  </si>
  <si>
    <t>H2652504</t>
  </si>
  <si>
    <t>9:31-10:47</t>
  </si>
  <si>
    <t>H2652505</t>
  </si>
  <si>
    <t>10:47-11:59</t>
  </si>
  <si>
    <t>H2652506</t>
  </si>
  <si>
    <t>11:59-12:59</t>
  </si>
  <si>
    <t>H2652507</t>
  </si>
  <si>
    <t>13:49-14:54</t>
  </si>
  <si>
    <t>H2652510</t>
  </si>
  <si>
    <t>14:54-15:51</t>
  </si>
  <si>
    <t>H2652511</t>
  </si>
  <si>
    <t>16:18-17:25</t>
  </si>
  <si>
    <t>H2652513</t>
  </si>
  <si>
    <t>17：47-18：55</t>
  </si>
  <si>
    <t>H2652515</t>
  </si>
  <si>
    <t>18:55-20:03</t>
  </si>
  <si>
    <t>H2652516</t>
  </si>
  <si>
    <t>20:03-21:17</t>
  </si>
  <si>
    <t>H2652517</t>
  </si>
  <si>
    <t>21:40-22:46</t>
  </si>
  <si>
    <t>H2652518</t>
  </si>
  <si>
    <t>22:46-23:53</t>
  </si>
  <si>
    <t>H2652520</t>
  </si>
  <si>
    <t>23:53-0:47</t>
  </si>
  <si>
    <t>H2652521</t>
  </si>
  <si>
    <t>0：47-1:44</t>
  </si>
  <si>
    <t>H2652522</t>
  </si>
  <si>
    <t>2：11-3:16</t>
  </si>
  <si>
    <t>H2652524</t>
  </si>
  <si>
    <t>3：16-4:21</t>
  </si>
  <si>
    <t>H2652525</t>
  </si>
  <si>
    <t>4：21-5:31</t>
  </si>
  <si>
    <t>H2652526</t>
  </si>
  <si>
    <t>5：31-6:39</t>
  </si>
  <si>
    <t>H2652527</t>
  </si>
  <si>
    <t>6：39-8:20</t>
  </si>
  <si>
    <t>H2652528</t>
  </si>
  <si>
    <t>8：20-9:01</t>
  </si>
  <si>
    <t>H2652529</t>
  </si>
  <si>
    <t>12:10-12:51</t>
  </si>
  <si>
    <t>H2652532</t>
  </si>
  <si>
    <t>12:51-14:14</t>
  </si>
  <si>
    <t>H2652533</t>
  </si>
  <si>
    <t>14:14-14:56</t>
  </si>
  <si>
    <t>H2652534</t>
  </si>
  <si>
    <t>14:56-15:39</t>
  </si>
  <si>
    <t>H2652535</t>
  </si>
  <si>
    <t>15:39-16:51</t>
  </si>
  <si>
    <t>H2652536</t>
  </si>
  <si>
    <t>16:51-17：56</t>
  </si>
  <si>
    <t>H2652537</t>
  </si>
  <si>
    <t>17:56-19:01</t>
  </si>
  <si>
    <t>H2652538</t>
  </si>
  <si>
    <t>H2652539</t>
  </si>
  <si>
    <t>20:05-21:09</t>
  </si>
  <si>
    <t>H2652540</t>
  </si>
  <si>
    <t>21:09-22:19</t>
  </si>
  <si>
    <t>H2652541</t>
  </si>
  <si>
    <t>22:19-23:33</t>
  </si>
  <si>
    <t>H2652542</t>
  </si>
  <si>
    <t>23:33-0:38</t>
  </si>
  <si>
    <t>H2652543</t>
  </si>
  <si>
    <t>0：38-1:51</t>
  </si>
  <si>
    <t>H2652544</t>
  </si>
  <si>
    <t>1：51-3:03</t>
  </si>
  <si>
    <t>H2652545</t>
  </si>
  <si>
    <t>3：03-4:07</t>
  </si>
  <si>
    <t>H2652546</t>
  </si>
  <si>
    <t>4：07-5:12</t>
  </si>
  <si>
    <t>H2652547</t>
  </si>
  <si>
    <t>5：12-6:29</t>
  </si>
  <si>
    <t>H2652548</t>
  </si>
  <si>
    <t>6：29-7:33</t>
  </si>
  <si>
    <t>H2652549</t>
  </si>
  <si>
    <t>7：33-8:47</t>
  </si>
  <si>
    <t>H2652550</t>
  </si>
  <si>
    <t>8：47-9：53</t>
  </si>
  <si>
    <t>H2652551</t>
  </si>
  <si>
    <t>9:53-11:04</t>
  </si>
  <si>
    <t>H2652552</t>
  </si>
  <si>
    <t>11:04-12:15</t>
  </si>
  <si>
    <t>H2652553</t>
  </si>
  <si>
    <t>12:15-13:27</t>
  </si>
  <si>
    <t>H2652554</t>
  </si>
  <si>
    <t>13:29-14:42</t>
  </si>
  <si>
    <t>H2652555</t>
  </si>
  <si>
    <t>14:42-15:47</t>
  </si>
  <si>
    <t>H2652556</t>
  </si>
  <si>
    <t>15:47-16:54</t>
  </si>
  <si>
    <t>H2652557</t>
  </si>
  <si>
    <t>16:54-18:19</t>
  </si>
  <si>
    <t>H2652558</t>
  </si>
  <si>
    <t>18:43-19:36</t>
  </si>
  <si>
    <t>H2652560</t>
  </si>
  <si>
    <t>19:38-20:59</t>
  </si>
  <si>
    <t>H2652561</t>
  </si>
  <si>
    <t>20:59-22:30</t>
  </si>
  <si>
    <t>H2652562</t>
  </si>
  <si>
    <t>23:14-23:56</t>
  </si>
  <si>
    <t>H2652564</t>
  </si>
  <si>
    <t>23:56-1:20</t>
  </si>
  <si>
    <t>H2652565</t>
  </si>
  <si>
    <t>1：20-2:18</t>
  </si>
  <si>
    <t>H2652566</t>
  </si>
  <si>
    <t>2：18-4:01</t>
  </si>
  <si>
    <t>H2652567</t>
  </si>
  <si>
    <t>4:01-5：42</t>
  </si>
  <si>
    <t>H2652568</t>
  </si>
  <si>
    <t>5：42-6;32</t>
  </si>
  <si>
    <t>H2652569</t>
  </si>
  <si>
    <t>6:32-8：11</t>
  </si>
  <si>
    <t>H2652570</t>
  </si>
  <si>
    <t>8：11-9:02</t>
  </si>
  <si>
    <t>H2652571</t>
  </si>
  <si>
    <t>9：02-10:42</t>
  </si>
  <si>
    <t>H2652572</t>
  </si>
  <si>
    <t>10:42-12:22</t>
  </si>
  <si>
    <t>H2652573</t>
  </si>
  <si>
    <t>12:22-13:11</t>
  </si>
  <si>
    <t>H2652574</t>
  </si>
  <si>
    <t>16:43-17:18</t>
  </si>
  <si>
    <t>H2652577</t>
  </si>
  <si>
    <t>17：57-19：05</t>
  </si>
  <si>
    <t>H2652578</t>
  </si>
  <si>
    <t>19:17-20:23</t>
  </si>
  <si>
    <t>H2652581</t>
  </si>
  <si>
    <t>20:38-21:27</t>
  </si>
  <si>
    <t>H2652582</t>
  </si>
  <si>
    <t>21：27-22:34</t>
  </si>
  <si>
    <t>H2652583</t>
  </si>
  <si>
    <t>22:34-23:35</t>
  </si>
  <si>
    <t>H2652584</t>
  </si>
  <si>
    <t xml:space="preserve">PG32D </t>
  </si>
  <si>
    <t>23:35-0:09</t>
  </si>
  <si>
    <t>H2652585</t>
  </si>
  <si>
    <t>0：09-1:27</t>
  </si>
  <si>
    <t>H2652586</t>
  </si>
  <si>
    <t>H2652587</t>
  </si>
  <si>
    <t>2：25-4:11</t>
  </si>
  <si>
    <t>H2652588</t>
  </si>
  <si>
    <t xml:space="preserve">PG32M </t>
  </si>
  <si>
    <t>4：11-5:51</t>
  </si>
  <si>
    <t>H2652589</t>
  </si>
  <si>
    <t>5：51-6:48</t>
  </si>
  <si>
    <t>H2652590</t>
  </si>
  <si>
    <t>6：48-8:29</t>
  </si>
  <si>
    <t>H2652591</t>
  </si>
  <si>
    <t>8：29-10:08</t>
  </si>
  <si>
    <t>H2652592</t>
  </si>
  <si>
    <t>11:06-11:50</t>
  </si>
  <si>
    <t>H2652594</t>
  </si>
  <si>
    <t>12:38-13:10</t>
  </si>
  <si>
    <t>H2652596</t>
  </si>
  <si>
    <t>13:42-14:23</t>
  </si>
  <si>
    <t>H2652598</t>
  </si>
  <si>
    <t>14:23-15:40</t>
  </si>
  <si>
    <t>H2652599</t>
  </si>
  <si>
    <t>15:40-16:19</t>
  </si>
  <si>
    <t>H2652600</t>
  </si>
  <si>
    <t>20:29-21:19</t>
  </si>
  <si>
    <t>H2652603</t>
  </si>
  <si>
    <t>21:19-23:00</t>
  </si>
  <si>
    <t>H2652604</t>
  </si>
  <si>
    <t>FP41</t>
  </si>
  <si>
    <t>23:00-0:39</t>
  </si>
  <si>
    <t>H2652605</t>
  </si>
  <si>
    <t>0：39-2:18</t>
  </si>
  <si>
    <t>H2652606</t>
  </si>
  <si>
    <t>2：18-3:09</t>
  </si>
  <si>
    <t>H2652607</t>
  </si>
  <si>
    <t>3：09-4:22</t>
  </si>
  <si>
    <t>H2652608</t>
  </si>
  <si>
    <t>4：22-5:28</t>
  </si>
  <si>
    <t>H2652609</t>
  </si>
  <si>
    <t>6：23-7:10</t>
  </si>
  <si>
    <t>H2652611</t>
  </si>
  <si>
    <t>7：10-8:24</t>
  </si>
  <si>
    <t>8：24-8:58</t>
  </si>
  <si>
    <t>H2652612</t>
  </si>
  <si>
    <t>11:56-12:49</t>
  </si>
  <si>
    <t>H2652618</t>
  </si>
  <si>
    <t>12：49-14：32</t>
  </si>
  <si>
    <t>H2652619</t>
  </si>
  <si>
    <t>14:32-15:30</t>
  </si>
  <si>
    <t>H2652620</t>
  </si>
  <si>
    <t>15:30-16:21</t>
  </si>
  <si>
    <t>H2652621</t>
  </si>
  <si>
    <t>17:01-18:06</t>
  </si>
  <si>
    <t>H2652623</t>
  </si>
  <si>
    <t>18:06-19:12</t>
  </si>
  <si>
    <t>H2652624</t>
  </si>
  <si>
    <t>19:12-20:13</t>
  </si>
  <si>
    <t>H2652625</t>
  </si>
  <si>
    <t>20:13-21:08</t>
  </si>
  <si>
    <t>H2652626</t>
  </si>
  <si>
    <t>21:08-22:04</t>
  </si>
  <si>
    <t>H2652627</t>
  </si>
  <si>
    <t>22:04-23:43</t>
  </si>
  <si>
    <t>H2652628</t>
  </si>
  <si>
    <t>0：16-1:00</t>
  </si>
  <si>
    <t>H2652630</t>
  </si>
  <si>
    <t>1：00-2:24</t>
  </si>
  <si>
    <t>H2652631</t>
  </si>
  <si>
    <t>2：24-3:48</t>
  </si>
  <si>
    <t>H2652632</t>
  </si>
  <si>
    <t>3：48-5:13</t>
  </si>
  <si>
    <t>H2652633</t>
  </si>
  <si>
    <t>5:13-6:38</t>
  </si>
  <si>
    <t>H2652634</t>
  </si>
  <si>
    <t>6：38-8:02</t>
  </si>
  <si>
    <t>H2652635</t>
  </si>
  <si>
    <t>8：02-9:27</t>
  </si>
  <si>
    <t>H2652636</t>
  </si>
  <si>
    <t>9：27-10:10</t>
  </si>
  <si>
    <t>H2652637</t>
  </si>
  <si>
    <t>10:10-11:59</t>
  </si>
  <si>
    <t>H2652638</t>
  </si>
  <si>
    <t>11：59-12:32</t>
  </si>
  <si>
    <t>H2652639</t>
  </si>
  <si>
    <t>13:32-13:15</t>
  </si>
  <si>
    <t>H2652640</t>
  </si>
  <si>
    <t>17:06-18:35</t>
  </si>
  <si>
    <t>H2652642</t>
  </si>
  <si>
    <t>18:35-20:05</t>
  </si>
  <si>
    <t>H2652643</t>
  </si>
  <si>
    <t>20:05-20:52</t>
  </si>
  <si>
    <t>H2652644</t>
  </si>
  <si>
    <t>20:52-21:37</t>
  </si>
  <si>
    <t>H2652645</t>
  </si>
  <si>
    <t>21:37-22:17</t>
  </si>
  <si>
    <t>H2652646</t>
  </si>
  <si>
    <t>22:17-23:21</t>
  </si>
  <si>
    <t>H2652647</t>
  </si>
  <si>
    <t>6+</t>
  </si>
  <si>
    <t>23:21-1:01</t>
  </si>
  <si>
    <t>H2652648</t>
  </si>
  <si>
    <t>1：01-2:05</t>
  </si>
  <si>
    <t>H2652649</t>
  </si>
  <si>
    <t>2：21-3:12</t>
  </si>
  <si>
    <t>H2652651</t>
  </si>
  <si>
    <t>3：12-4:52</t>
  </si>
  <si>
    <t>H2652652</t>
  </si>
  <si>
    <t>5：22-6:22</t>
  </si>
  <si>
    <t>H2652654</t>
  </si>
  <si>
    <t>6：22-7:20</t>
  </si>
  <si>
    <t>H2652655</t>
  </si>
  <si>
    <t>7：20-8:23</t>
  </si>
  <si>
    <t>H2652656</t>
  </si>
  <si>
    <t>8：23-9:19</t>
  </si>
  <si>
    <t>H2652657</t>
  </si>
  <si>
    <t>12:36-13:07</t>
  </si>
  <si>
    <t>H2652660</t>
  </si>
  <si>
    <t>13:07-14:09</t>
  </si>
  <si>
    <t>H2652661</t>
  </si>
  <si>
    <t>14:09-15:40</t>
  </si>
  <si>
    <t>H2652662</t>
  </si>
  <si>
    <t>15:40-16:51</t>
  </si>
  <si>
    <t>H2652663</t>
  </si>
  <si>
    <t>16:51-17:54</t>
  </si>
  <si>
    <t>H2652664</t>
  </si>
  <si>
    <t>17:54-18:58</t>
  </si>
  <si>
    <t>H2652665</t>
  </si>
  <si>
    <t>18:58-20:02</t>
  </si>
  <si>
    <t>H2652666</t>
  </si>
  <si>
    <t>20:02-21:05</t>
  </si>
  <si>
    <t>H2652667</t>
  </si>
  <si>
    <t>21:05-22:16</t>
  </si>
  <si>
    <t>H2652668</t>
  </si>
  <si>
    <t>22:16-23:26</t>
  </si>
  <si>
    <t>H2652669</t>
  </si>
  <si>
    <t>23:26-0:38</t>
  </si>
  <si>
    <t>H2652670</t>
  </si>
  <si>
    <t>0：38-1:45</t>
  </si>
  <si>
    <t>H2652671</t>
  </si>
  <si>
    <t>1：45-2:57</t>
  </si>
  <si>
    <t>H2652672</t>
  </si>
  <si>
    <t>2：57-4:10</t>
  </si>
  <si>
    <t>H2652673</t>
  </si>
  <si>
    <t>4：10-5:21</t>
  </si>
  <si>
    <t>H2652674</t>
  </si>
  <si>
    <t>5：21-6:26</t>
  </si>
  <si>
    <t>H2652675</t>
  </si>
  <si>
    <t>6：26-7:36</t>
  </si>
  <si>
    <t>H2652676</t>
  </si>
  <si>
    <t>7：36-8:53</t>
  </si>
  <si>
    <t>H2652677</t>
  </si>
  <si>
    <t>8：53-9:59</t>
  </si>
  <si>
    <t>H2652678</t>
  </si>
  <si>
    <t>9：59-10:59</t>
  </si>
  <si>
    <t>H2652679</t>
  </si>
  <si>
    <t>10:59-12:15</t>
  </si>
  <si>
    <t>H2652680</t>
  </si>
  <si>
    <t>15:15-13:25</t>
  </si>
  <si>
    <t>H2652681</t>
  </si>
  <si>
    <t>13:25-14:35</t>
  </si>
  <si>
    <t>H2652682</t>
  </si>
  <si>
    <t>14:35-15:45</t>
  </si>
  <si>
    <t>H2652683</t>
  </si>
  <si>
    <t>15:45-16:50</t>
  </si>
  <si>
    <t>H2652684</t>
  </si>
  <si>
    <t>16:50-18:07</t>
  </si>
  <si>
    <t>H2652685</t>
  </si>
  <si>
    <t>18:07-19:16</t>
  </si>
  <si>
    <t>H2652686</t>
  </si>
  <si>
    <t>19:16-20:26</t>
  </si>
  <si>
    <t>H2652687</t>
  </si>
  <si>
    <t>20:26-21:42</t>
  </si>
  <si>
    <t>H2652688</t>
  </si>
  <si>
    <t>21:42-22:51</t>
  </si>
  <si>
    <t>H2652689</t>
  </si>
  <si>
    <t>22:51-0:01</t>
  </si>
  <si>
    <t>H2652690</t>
  </si>
  <si>
    <t>0：01-1:10</t>
  </si>
  <si>
    <t>H2652691</t>
  </si>
  <si>
    <t>1：10-2:20</t>
  </si>
  <si>
    <t>H2652692</t>
  </si>
  <si>
    <t>2：20-3:32</t>
  </si>
  <si>
    <t>H2652693</t>
  </si>
  <si>
    <t>3：32-4:42</t>
  </si>
  <si>
    <t>H2652694</t>
  </si>
  <si>
    <t>4：42-5:52</t>
  </si>
  <si>
    <t>H2652695</t>
  </si>
  <si>
    <t>5：52-7:16</t>
  </si>
  <si>
    <t>H2652696</t>
  </si>
  <si>
    <t>7：16-8:26</t>
  </si>
  <si>
    <t>H2652697</t>
  </si>
  <si>
    <t>8：26-9:36</t>
  </si>
  <si>
    <t>H2652698</t>
  </si>
  <si>
    <t>9：36-10:47</t>
  </si>
  <si>
    <t>H2652699</t>
  </si>
  <si>
    <t>10:47-11:57</t>
  </si>
  <si>
    <t>H2652700</t>
  </si>
  <si>
    <t>12:04-13:38</t>
  </si>
  <si>
    <t>H2652702</t>
  </si>
  <si>
    <t>13:38-14:53</t>
  </si>
  <si>
    <t>H2652703</t>
  </si>
  <si>
    <t>14:53-16:00</t>
  </si>
  <si>
    <t>H2652704</t>
  </si>
  <si>
    <t>16:00-17:10</t>
  </si>
  <si>
    <t>H2652705</t>
  </si>
  <si>
    <t>17:10-18:16</t>
  </si>
  <si>
    <t>H2652706</t>
  </si>
  <si>
    <t>18:16-19:27</t>
  </si>
  <si>
    <t>H2652707</t>
  </si>
  <si>
    <t>19:27-20:35</t>
  </si>
  <si>
    <t>H2652708</t>
  </si>
  <si>
    <t>20:38-21:58</t>
  </si>
  <si>
    <t>H2652709</t>
  </si>
  <si>
    <t>21:58-23:04</t>
  </si>
  <si>
    <t>H2652710</t>
  </si>
  <si>
    <t>23:04-0:15</t>
  </si>
  <si>
    <t>H2652711</t>
  </si>
  <si>
    <t>0：15-1:24</t>
  </si>
  <si>
    <t>H2652712</t>
  </si>
  <si>
    <t>1：24-2:33</t>
  </si>
  <si>
    <t>H2652713</t>
  </si>
  <si>
    <t>2：33-3:49</t>
  </si>
  <si>
    <t>H2652714</t>
  </si>
  <si>
    <t>3：49-4:56</t>
  </si>
  <si>
    <t>H2652715</t>
  </si>
  <si>
    <t>4：46-6:07</t>
  </si>
  <si>
    <t>H2652716</t>
  </si>
  <si>
    <t>6：07-7:17</t>
  </si>
  <si>
    <t>H2652717</t>
  </si>
  <si>
    <t>7:17-8:32</t>
  </si>
  <si>
    <t>H2652718</t>
  </si>
  <si>
    <t>12:17-12:49</t>
  </si>
  <si>
    <t>H2652721</t>
  </si>
  <si>
    <t>12:49-14:07</t>
  </si>
  <si>
    <t>H2652722</t>
  </si>
  <si>
    <t>14:07-15:09</t>
  </si>
  <si>
    <t>H2652723</t>
  </si>
  <si>
    <t>15:09-16:33</t>
  </si>
  <si>
    <t>H2652724</t>
  </si>
  <si>
    <t>16:23-17:06</t>
  </si>
  <si>
    <t>H2652725</t>
  </si>
  <si>
    <t>17:06--18:31</t>
  </si>
  <si>
    <t>H2652726</t>
  </si>
  <si>
    <t>18:31-19:08</t>
  </si>
  <si>
    <t>H2652727</t>
  </si>
  <si>
    <t>19:34-21:01</t>
  </si>
  <si>
    <t>H2652729</t>
  </si>
  <si>
    <t>21:01-21:50</t>
  </si>
  <si>
    <t>H2652730</t>
  </si>
  <si>
    <t>21:50-23:03</t>
  </si>
  <si>
    <t>H2652731</t>
  </si>
  <si>
    <t>23:03-0:10</t>
  </si>
  <si>
    <t>H2652732</t>
  </si>
  <si>
    <t>0：10-1:21</t>
  </si>
  <si>
    <t>H2652733</t>
  </si>
  <si>
    <t>1：21-2:25</t>
  </si>
  <si>
    <t>H2652734</t>
  </si>
  <si>
    <t>2：25-3:37</t>
  </si>
  <si>
    <t>H2652735</t>
  </si>
  <si>
    <t>3：37-4:42</t>
  </si>
  <si>
    <t>H2652736</t>
  </si>
  <si>
    <t>4：42-5:51</t>
  </si>
  <si>
    <t>H2652737</t>
  </si>
  <si>
    <t>5：51-6:58</t>
  </si>
  <si>
    <t>H2652738</t>
  </si>
  <si>
    <t>6：58-8:31</t>
  </si>
  <si>
    <t>H2652739</t>
  </si>
  <si>
    <t>12:30-13:28</t>
  </si>
  <si>
    <t>H2652741</t>
  </si>
  <si>
    <t>13:28-14:26</t>
  </si>
  <si>
    <t>H2652742</t>
  </si>
  <si>
    <t>H2652743</t>
  </si>
  <si>
    <t>15:24-16:22</t>
  </si>
  <si>
    <t>H2652744</t>
  </si>
  <si>
    <t>H2652745</t>
  </si>
  <si>
    <t>H2652746</t>
  </si>
  <si>
    <t>H2652747</t>
  </si>
  <si>
    <t>H2652748</t>
  </si>
  <si>
    <t>H2652749</t>
  </si>
</sst>
</file>

<file path=xl/styles.xml><?xml version="1.0" encoding="utf-8"?>
<styleSheet xmlns="http://schemas.openxmlformats.org/spreadsheetml/2006/main">
  <numFmts count="8">
    <numFmt numFmtId="176" formatCode="#,##0_ "/>
    <numFmt numFmtId="42" formatCode="_ &quot;￥&quot;* #,##0_ ;_ &quot;￥&quot;* \-#,##0_ ;_ &quot;￥&quot;* &quot;-&quot;_ ;_ @_ "/>
    <numFmt numFmtId="177" formatCode="0_ "/>
    <numFmt numFmtId="41" formatCode="_ * #,##0_ ;_ * \-#,##0_ ;_ * &quot;-&quot;_ ;_ @_ "/>
    <numFmt numFmtId="178" formatCode="0.00_ "/>
    <numFmt numFmtId="44" formatCode="_ &quot;￥&quot;* #,##0.00_ ;_ &quot;￥&quot;* \-#,##0.00_ ;_ &quot;￥&quot;* &quot;-&quot;??_ ;_ @_ "/>
    <numFmt numFmtId="43" formatCode="_ * #,##0.00_ ;_ * \-#,##0.00_ ;_ * &quot;-&quot;??_ ;_ @_ "/>
    <numFmt numFmtId="179" formatCode="0_);[Red]\(0\)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1"/>
      <color theme="1"/>
      <name val="宋体"/>
      <charset val="134"/>
      <scheme val="minor"/>
    </font>
    <font>
      <sz val="12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000000"/>
      <name val="宋体"/>
      <charset val="134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4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4F37A"/>
        <bgColor indexed="64"/>
      </patternFill>
    </fill>
    <fill>
      <patternFill patternType="solid">
        <fgColor rgb="FFBD4FC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53">
    <xf numFmtId="0" fontId="0" fillId="0" borderId="0">
      <alignment vertical="center"/>
    </xf>
    <xf numFmtId="0" fontId="1" fillId="0" borderId="0"/>
    <xf numFmtId="0" fontId="5" fillId="21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1" fillId="0" borderId="0"/>
    <xf numFmtId="0" fontId="5" fillId="27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0" fillId="0" borderId="0">
      <alignment vertical="center"/>
    </xf>
    <xf numFmtId="0" fontId="5" fillId="34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6" fillId="32" borderId="10" applyNumberFormat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21" fillId="39" borderId="8" applyNumberForma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4" fillId="26" borderId="9" applyNumberFormat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2" fillId="26" borderId="8" applyNumberFormat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0" fillId="19" borderId="7" applyNumberFormat="0" applyFont="0" applyAlignment="0" applyProtection="0">
      <alignment vertical="center"/>
    </xf>
    <xf numFmtId="0" fontId="19" fillId="38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3" fillId="0" borderId="0">
      <alignment vertical="center"/>
    </xf>
    <xf numFmtId="0" fontId="5" fillId="25" borderId="0" applyNumberFormat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0" fillId="3" borderId="1" xfId="11" applyFont="1" applyFill="1" applyBorder="1" applyAlignment="1">
      <alignment horizontal="center" vertical="center"/>
    </xf>
    <xf numFmtId="0" fontId="0" fillId="3" borderId="1" xfId="11" applyFill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0" fontId="0" fillId="3" borderId="1" xfId="11" applyFont="1" applyFill="1" applyBorder="1" applyAlignment="1">
      <alignment horizontal="center" vertical="center" wrapText="1"/>
    </xf>
    <xf numFmtId="0" fontId="0" fillId="3" borderId="1" xfId="11" applyFill="1" applyBorder="1" applyAlignment="1">
      <alignment horizontal="center" vertical="center" wrapText="1"/>
    </xf>
    <xf numFmtId="179" fontId="0" fillId="3" borderId="1" xfId="11" applyNumberFormat="1" applyFill="1" applyBorder="1" applyAlignment="1">
      <alignment horizontal="center" vertical="center" wrapText="1"/>
    </xf>
    <xf numFmtId="179" fontId="0" fillId="3" borderId="1" xfId="11" applyNumberFormat="1" applyFont="1" applyFill="1" applyBorder="1" applyAlignment="1">
      <alignment horizontal="center" vertical="center" wrapText="1"/>
    </xf>
    <xf numFmtId="179" fontId="0" fillId="4" borderId="1" xfId="11" applyNumberFormat="1" applyFont="1" applyFill="1" applyBorder="1" applyAlignment="1">
      <alignment horizontal="center" vertical="center" wrapText="1"/>
    </xf>
    <xf numFmtId="179" fontId="0" fillId="5" borderId="1" xfId="11" applyNumberFormat="1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0" fillId="6" borderId="1" xfId="11" applyFill="1" applyBorder="1" applyAlignment="1">
      <alignment horizontal="center" vertical="center"/>
    </xf>
    <xf numFmtId="179" fontId="0" fillId="6" borderId="1" xfId="11" applyNumberFormat="1" applyFill="1" applyBorder="1" applyAlignment="1">
      <alignment horizontal="center" vertical="center" wrapText="1"/>
    </xf>
    <xf numFmtId="179" fontId="0" fillId="6" borderId="1" xfId="11" applyNumberFormat="1" applyFont="1" applyFill="1" applyBorder="1" applyAlignment="1">
      <alignment horizontal="center" vertical="center"/>
    </xf>
    <xf numFmtId="0" fontId="0" fillId="6" borderId="1" xfId="11" applyFill="1" applyBorder="1" applyAlignment="1">
      <alignment horizontal="center" vertical="center" wrapText="1"/>
    </xf>
    <xf numFmtId="176" fontId="0" fillId="0" borderId="1" xfId="0" applyNumberFormat="1" applyFont="1" applyFill="1" applyBorder="1" applyAlignment="1">
      <alignment horizontal="center" vertical="center"/>
    </xf>
    <xf numFmtId="177" fontId="0" fillId="0" borderId="1" xfId="0" applyNumberFormat="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178" fontId="0" fillId="4" borderId="1" xfId="11" applyNumberFormat="1" applyFill="1" applyBorder="1" applyAlignment="1">
      <alignment horizontal="center" vertical="center" wrapText="1"/>
    </xf>
    <xf numFmtId="178" fontId="0" fillId="5" borderId="1" xfId="11" applyNumberForma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177" fontId="0" fillId="8" borderId="1" xfId="0" applyNumberForma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1" xfId="6" applyFont="1" applyFill="1" applyBorder="1" applyAlignment="1">
      <alignment horizontal="center" vertical="center" wrapText="1"/>
    </xf>
    <xf numFmtId="176" fontId="0" fillId="2" borderId="1" xfId="0" applyNumberFormat="1" applyFont="1" applyFill="1" applyBorder="1" applyAlignment="1">
      <alignment horizontal="center" vertical="center"/>
    </xf>
    <xf numFmtId="177" fontId="0" fillId="2" borderId="1" xfId="0" applyNumberFormat="1" applyFont="1" applyFill="1" applyBorder="1" applyAlignment="1">
      <alignment horizontal="center" vertical="center"/>
    </xf>
    <xf numFmtId="178" fontId="0" fillId="2" borderId="1" xfId="0" applyNumberFormat="1" applyFill="1" applyBorder="1" applyAlignment="1">
      <alignment horizontal="center" vertical="center"/>
    </xf>
    <xf numFmtId="177" fontId="0" fillId="2" borderId="1" xfId="0" applyNumberForma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10" borderId="1" xfId="0" applyFill="1" applyBorder="1" applyAlignment="1">
      <alignment horizontal="center" vertical="center"/>
    </xf>
    <xf numFmtId="22" fontId="0" fillId="0" borderId="1" xfId="0" applyNumberForma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20" fontId="0" fillId="0" borderId="1" xfId="0" applyNumberFormat="1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20" fontId="0" fillId="0" borderId="0" xfId="0" applyNumberForma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Fill="1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20" fontId="0" fillId="0" borderId="1" xfId="0" applyNumberFormat="1" applyBorder="1">
      <alignment vertical="center"/>
    </xf>
    <xf numFmtId="0" fontId="0" fillId="2" borderId="1" xfId="0" applyFill="1" applyBorder="1">
      <alignment vertical="center"/>
    </xf>
    <xf numFmtId="20" fontId="0" fillId="0" borderId="1" xfId="0" applyNumberFormat="1" applyFill="1" applyBorder="1" applyAlignment="1">
      <alignment horizontal="center" vertical="center"/>
    </xf>
    <xf numFmtId="20" fontId="3" fillId="0" borderId="4" xfId="11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</cellXfs>
  <cellStyles count="53">
    <cellStyle name="常规" xfId="0" builtinId="0"/>
    <cellStyle name="常规 3 2" xfId="1"/>
    <cellStyle name="强调文字颜色 6" xfId="2" builtinId="49"/>
    <cellStyle name="20% - 强调文字颜色 5" xfId="3" builtinId="46"/>
    <cellStyle name="20% - 强调文字颜色 4" xfId="4" builtinId="42"/>
    <cellStyle name="强调文字颜色 4" xfId="5" builtinId="41"/>
    <cellStyle name="常规 3" xfId="6"/>
    <cellStyle name="60% - 强调文字颜色 6" xfId="7" builtinId="52"/>
    <cellStyle name="40% - 强调文字颜色 3" xfId="8" builtinId="39"/>
    <cellStyle name="强调文字颜色 3" xfId="9" builtinId="37"/>
    <cellStyle name="60% - 强调文字颜色 2" xfId="10" builtinId="36"/>
    <cellStyle name="常规 2" xfId="11"/>
    <cellStyle name="60% - 强调文字颜色 5" xfId="12" builtinId="48"/>
    <cellStyle name="40% - 强调文字颜色 2" xfId="13" builtinId="35"/>
    <cellStyle name="40% - 强调文字颜色 5" xfId="14" builtinId="47"/>
    <cellStyle name="20% - 强调文字颜色 2" xfId="15" builtinId="34"/>
    <cellStyle name="标题" xfId="16" builtinId="15"/>
    <cellStyle name="已访问的超链接" xfId="17" builtinId="9"/>
    <cellStyle name="检查单元格" xfId="18" builtinId="23"/>
    <cellStyle name="标题 1" xfId="19" builtinId="16"/>
    <cellStyle name="输入" xfId="20" builtinId="20"/>
    <cellStyle name="超链接" xfId="21" builtinId="8"/>
    <cellStyle name="输出" xfId="22" builtinId="21"/>
    <cellStyle name="40% - 强调文字颜色 6" xfId="23" builtinId="51"/>
    <cellStyle name="20% - 强调文字颜色 3" xfId="24" builtinId="38"/>
    <cellStyle name="货币[0]" xfId="25" builtinId="7"/>
    <cellStyle name="标题 3" xfId="26" builtinId="18"/>
    <cellStyle name="解释性文本" xfId="27" builtinId="53"/>
    <cellStyle name="计算" xfId="28" builtinId="22"/>
    <cellStyle name="60% - 强调文字颜色 1" xfId="29" builtinId="32"/>
    <cellStyle name="千位分隔[0]" xfId="30" builtinId="6"/>
    <cellStyle name="60% - 强调文字颜色 3" xfId="31" builtinId="40"/>
    <cellStyle name="注释" xfId="32" builtinId="10"/>
    <cellStyle name="好" xfId="33" builtinId="26"/>
    <cellStyle name="货币" xfId="34" builtinId="4"/>
    <cellStyle name="千位分隔" xfId="35" builtinId="3"/>
    <cellStyle name="标题 2" xfId="36" builtinId="17"/>
    <cellStyle name="标题 4" xfId="37" builtinId="19"/>
    <cellStyle name="百分比" xfId="38" builtinId="5"/>
    <cellStyle name="链接单元格" xfId="39" builtinId="24"/>
    <cellStyle name="40% - 强调文字颜色 4" xfId="40" builtinId="43"/>
    <cellStyle name="20% - 强调文字颜色 1" xfId="41" builtinId="30"/>
    <cellStyle name="常规 2 2" xfId="42"/>
    <cellStyle name="强调文字颜色 5" xfId="43" builtinId="45"/>
    <cellStyle name="汇总" xfId="44" builtinId="25"/>
    <cellStyle name="强调文字颜色 2" xfId="45" builtinId="33"/>
    <cellStyle name="差" xfId="46" builtinId="27"/>
    <cellStyle name="20% - 强调文字颜色 6" xfId="47" builtinId="50"/>
    <cellStyle name="警告文本" xfId="48" builtinId="11"/>
    <cellStyle name="适中" xfId="49" builtinId="28"/>
    <cellStyle name="强调文字颜色 1" xfId="50" builtinId="29"/>
    <cellStyle name="60% - 强调文字颜色 4" xfId="51" builtinId="44"/>
    <cellStyle name="40% - 强调文字颜色 1" xfId="52" builtinId="31"/>
  </cellStyles>
  <tableStyles count="0" defaultTableStyle="TableStyleMedium9"/>
  <colors>
    <mruColors>
      <color rgb="00E26D34"/>
      <color rgb="00FF0000"/>
      <color rgb="0066FF33"/>
      <color rgb="00FFFFFF"/>
      <color rgb="00BD4FC7"/>
      <color rgb="0074F37A"/>
      <color rgb="00FFFF00"/>
      <color rgb="0000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5512"/>
  <sheetViews>
    <sheetView tabSelected="1" topLeftCell="C1" workbookViewId="0">
      <pane ySplit="1" topLeftCell="A1716" activePane="bottomLeft" state="frozen"/>
      <selection/>
      <selection pane="bottomLeft" activeCell="AQ1733" sqref="AQ1733"/>
    </sheetView>
  </sheetViews>
  <sheetFormatPr defaultColWidth="9" defaultRowHeight="14.25"/>
  <cols>
    <col min="1" max="1" width="8.75" style="2" customWidth="1"/>
    <col min="2" max="2" width="12.75" style="2" customWidth="1"/>
    <col min="3" max="3" width="9.75" style="2" customWidth="1"/>
    <col min="4" max="4" width="3.5" style="2" customWidth="1"/>
    <col min="5" max="5" width="4.875" style="2" customWidth="1"/>
    <col min="6" max="7" width="4" style="2" customWidth="1"/>
    <col min="8" max="8" width="5" style="2" customWidth="1"/>
    <col min="9" max="9" width="5.625" style="3" customWidth="1"/>
    <col min="10" max="10" width="4.75" style="2" customWidth="1"/>
    <col min="11" max="15" width="4" style="2" customWidth="1"/>
    <col min="16" max="16" width="4" style="3" customWidth="1"/>
    <col min="17" max="17" width="4" style="2" customWidth="1"/>
    <col min="18" max="18" width="5.125" style="2" customWidth="1"/>
    <col min="19" max="21" width="4" style="2" customWidth="1"/>
    <col min="22" max="22" width="4.875" style="2" customWidth="1"/>
    <col min="23" max="23" width="3.875" style="2" customWidth="1"/>
    <col min="24" max="24" width="3.625" style="2" customWidth="1"/>
    <col min="25" max="25" width="3.75" style="2" customWidth="1"/>
    <col min="26" max="26" width="6.125" style="2" customWidth="1"/>
    <col min="27" max="27" width="5.375" style="2" customWidth="1"/>
    <col min="28" max="28" width="5.625" style="2" customWidth="1"/>
    <col min="29" max="29" width="4.375" style="2" customWidth="1"/>
    <col min="30" max="30" width="6.625" style="2" customWidth="1"/>
    <col min="31" max="32" width="4.375" style="2" customWidth="1"/>
    <col min="33" max="33" width="7.125" style="4" customWidth="1"/>
    <col min="34" max="34" width="8.75" style="4" customWidth="1"/>
    <col min="35" max="35" width="8.75" style="2" customWidth="1"/>
    <col min="36" max="41" width="5.875" style="2" customWidth="1"/>
    <col min="42" max="42" width="6.75" style="2" customWidth="1"/>
    <col min="43" max="43" width="5.25" style="2" customWidth="1"/>
    <col min="44" max="44" width="12.625" style="5"/>
    <col min="45" max="16384" width="9" style="2"/>
  </cols>
  <sheetData>
    <row r="1" ht="70" customHeight="1" spans="1:44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9" t="s">
        <v>5</v>
      </c>
      <c r="G1" s="10" t="s">
        <v>6</v>
      </c>
      <c r="H1" s="6" t="s">
        <v>7</v>
      </c>
      <c r="I1" s="6" t="s">
        <v>8</v>
      </c>
      <c r="J1" s="10" t="s">
        <v>9</v>
      </c>
      <c r="K1" s="10" t="s">
        <v>10</v>
      </c>
      <c r="L1" s="10" t="s">
        <v>11</v>
      </c>
      <c r="M1" s="11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3" t="s">
        <v>21</v>
      </c>
      <c r="W1" s="14" t="s">
        <v>22</v>
      </c>
      <c r="X1" s="14" t="s">
        <v>23</v>
      </c>
      <c r="Y1" s="14" t="s">
        <v>24</v>
      </c>
      <c r="Z1" s="13" t="s">
        <v>25</v>
      </c>
      <c r="AA1" s="15" t="s">
        <v>15</v>
      </c>
      <c r="AB1" s="16" t="s">
        <v>26</v>
      </c>
      <c r="AC1" s="17" t="s">
        <v>27</v>
      </c>
      <c r="AD1" s="18" t="s">
        <v>28</v>
      </c>
      <c r="AE1" s="18" t="s">
        <v>29</v>
      </c>
      <c r="AF1" s="19" t="s">
        <v>30</v>
      </c>
      <c r="AG1" s="23" t="s">
        <v>31</v>
      </c>
      <c r="AH1" s="24" t="s">
        <v>32</v>
      </c>
      <c r="AI1" s="25" t="s">
        <v>8</v>
      </c>
      <c r="AJ1" s="25" t="s">
        <v>33</v>
      </c>
      <c r="AK1" s="25" t="s">
        <v>4</v>
      </c>
      <c r="AL1" s="25" t="s">
        <v>34</v>
      </c>
      <c r="AM1" s="25" t="s">
        <v>35</v>
      </c>
      <c r="AN1" s="25" t="s">
        <v>36</v>
      </c>
      <c r="AO1" s="25" t="s">
        <v>37</v>
      </c>
      <c r="AP1" s="26" t="s">
        <v>15</v>
      </c>
      <c r="AQ1" s="27" t="s">
        <v>27</v>
      </c>
      <c r="AR1" s="28" t="s">
        <v>38</v>
      </c>
    </row>
    <row r="2" spans="1:34">
      <c r="A2" s="2">
        <v>20260101</v>
      </c>
      <c r="B2" s="2" t="s">
        <v>39</v>
      </c>
      <c r="C2" s="2" t="s">
        <v>40</v>
      </c>
      <c r="D2" s="2">
        <v>3</v>
      </c>
      <c r="E2" s="2">
        <v>3</v>
      </c>
      <c r="F2" s="2">
        <v>6</v>
      </c>
      <c r="G2" s="2">
        <v>7</v>
      </c>
      <c r="H2" s="2">
        <v>3</v>
      </c>
      <c r="I2" s="3">
        <v>8</v>
      </c>
      <c r="J2" s="1">
        <v>12</v>
      </c>
      <c r="K2" s="1">
        <v>2</v>
      </c>
      <c r="L2" s="1">
        <v>0</v>
      </c>
      <c r="M2" s="1">
        <v>2</v>
      </c>
      <c r="N2" s="1">
        <v>17</v>
      </c>
      <c r="O2" s="1">
        <v>1</v>
      </c>
      <c r="P2" s="3">
        <v>13</v>
      </c>
      <c r="Q2" s="2">
        <v>2</v>
      </c>
      <c r="R2" s="2">
        <v>13</v>
      </c>
      <c r="S2" s="2">
        <v>11</v>
      </c>
      <c r="T2" s="2">
        <v>11</v>
      </c>
      <c r="U2" s="2">
        <v>0</v>
      </c>
      <c r="V2" s="2">
        <v>0</v>
      </c>
      <c r="W2" s="2">
        <v>0</v>
      </c>
      <c r="X2" s="2">
        <v>2</v>
      </c>
      <c r="Y2" s="2">
        <v>0</v>
      </c>
      <c r="Z2" s="2">
        <f t="shared" ref="Z2:Z36" si="0">Y2+X2+W2+U2</f>
        <v>2</v>
      </c>
      <c r="AA2" s="2">
        <f t="shared" ref="AA2:AA65" si="1">G2+H2+I2+J2+K2+L2+M2+P2+T2+U2</f>
        <v>58</v>
      </c>
      <c r="AB2" s="2">
        <v>2154</v>
      </c>
      <c r="AC2" s="20">
        <f t="shared" ref="AC2:AC65" si="2">AA2/AB2*100</f>
        <v>2.69266480965645</v>
      </c>
      <c r="AD2" s="2" t="s">
        <v>41</v>
      </c>
      <c r="AE2" s="2">
        <v>125</v>
      </c>
      <c r="AF2" s="21">
        <f t="shared" ref="AF2:AF65" si="3">188/AE2*AC2</f>
        <v>4.04976787372331</v>
      </c>
      <c r="AG2" s="4">
        <f t="shared" ref="AG2:AG65" si="4">V2/AB2*100</f>
        <v>0</v>
      </c>
      <c r="AH2" s="4">
        <f t="shared" ref="AH2:AH65" si="5">Z2/AB2*100</f>
        <v>0.0928505106778087</v>
      </c>
    </row>
    <row r="3" spans="1:34">
      <c r="A3" s="2">
        <v>20260101</v>
      </c>
      <c r="B3" s="2" t="s">
        <v>42</v>
      </c>
      <c r="C3" s="2" t="s">
        <v>43</v>
      </c>
      <c r="D3" s="2">
        <v>4</v>
      </c>
      <c r="E3" s="2">
        <v>4</v>
      </c>
      <c r="F3" s="2">
        <v>11</v>
      </c>
      <c r="G3" s="2">
        <v>23</v>
      </c>
      <c r="H3" s="2">
        <v>18</v>
      </c>
      <c r="I3" s="3">
        <v>16</v>
      </c>
      <c r="J3" s="1">
        <v>30</v>
      </c>
      <c r="K3" s="1">
        <v>4</v>
      </c>
      <c r="L3" s="1">
        <v>0</v>
      </c>
      <c r="M3" s="1">
        <v>0</v>
      </c>
      <c r="N3" s="1">
        <v>25</v>
      </c>
      <c r="O3" s="1">
        <v>12</v>
      </c>
      <c r="P3" s="3">
        <v>18</v>
      </c>
      <c r="Q3" s="2">
        <v>9</v>
      </c>
      <c r="R3" s="2">
        <v>17</v>
      </c>
      <c r="S3" s="2">
        <v>16</v>
      </c>
      <c r="T3" s="2">
        <v>31</v>
      </c>
      <c r="U3" s="2">
        <v>0</v>
      </c>
      <c r="V3" s="2">
        <v>0</v>
      </c>
      <c r="W3" s="2">
        <v>0</v>
      </c>
      <c r="X3" s="2">
        <v>7</v>
      </c>
      <c r="Y3" s="2">
        <v>0</v>
      </c>
      <c r="Z3" s="2">
        <f t="shared" si="0"/>
        <v>7</v>
      </c>
      <c r="AA3" s="2">
        <f t="shared" si="1"/>
        <v>140</v>
      </c>
      <c r="AB3" s="2">
        <v>4160</v>
      </c>
      <c r="AC3" s="20">
        <f t="shared" si="2"/>
        <v>3.36538461538462</v>
      </c>
      <c r="AD3" s="22" t="s">
        <v>44</v>
      </c>
      <c r="AE3" s="2">
        <v>125</v>
      </c>
      <c r="AF3" s="21">
        <f t="shared" si="3"/>
        <v>5.06153846153846</v>
      </c>
      <c r="AG3" s="4">
        <f t="shared" si="4"/>
        <v>0</v>
      </c>
      <c r="AH3" s="4">
        <f t="shared" si="5"/>
        <v>0.168269230769231</v>
      </c>
    </row>
    <row r="4" spans="1:34">
      <c r="A4" s="2">
        <v>20260101</v>
      </c>
      <c r="B4" s="2" t="s">
        <v>45</v>
      </c>
      <c r="C4" s="2" t="s">
        <v>46</v>
      </c>
      <c r="D4" s="2">
        <v>2</v>
      </c>
      <c r="E4" s="2">
        <v>3</v>
      </c>
      <c r="F4" s="2">
        <v>9</v>
      </c>
      <c r="G4" s="2">
        <v>24</v>
      </c>
      <c r="H4" s="2">
        <v>12</v>
      </c>
      <c r="I4" s="3">
        <v>14</v>
      </c>
      <c r="J4" s="1">
        <v>36</v>
      </c>
      <c r="K4" s="1">
        <v>7</v>
      </c>
      <c r="L4" s="1">
        <v>1</v>
      </c>
      <c r="M4" s="1">
        <v>4</v>
      </c>
      <c r="N4" s="1">
        <v>15</v>
      </c>
      <c r="O4" s="1">
        <v>3</v>
      </c>
      <c r="P4" s="3">
        <v>12</v>
      </c>
      <c r="Q4" s="2">
        <v>11</v>
      </c>
      <c r="R4" s="2">
        <v>11</v>
      </c>
      <c r="S4" s="2">
        <v>20</v>
      </c>
      <c r="T4" s="2">
        <v>34</v>
      </c>
      <c r="U4" s="2">
        <v>1</v>
      </c>
      <c r="V4" s="2">
        <v>0</v>
      </c>
      <c r="W4" s="2">
        <v>2</v>
      </c>
      <c r="X4" s="2">
        <v>4</v>
      </c>
      <c r="Y4" s="2">
        <v>0</v>
      </c>
      <c r="Z4" s="2">
        <f t="shared" si="0"/>
        <v>7</v>
      </c>
      <c r="AA4" s="2">
        <f t="shared" si="1"/>
        <v>145</v>
      </c>
      <c r="AB4" s="2">
        <v>4159</v>
      </c>
      <c r="AC4" s="20">
        <f t="shared" si="2"/>
        <v>3.48641500360664</v>
      </c>
      <c r="AD4" s="22" t="s">
        <v>44</v>
      </c>
      <c r="AE4" s="2">
        <v>125</v>
      </c>
      <c r="AF4" s="21">
        <f t="shared" si="3"/>
        <v>5.24356816542438</v>
      </c>
      <c r="AG4" s="4">
        <f t="shared" si="4"/>
        <v>0</v>
      </c>
      <c r="AH4" s="4">
        <f t="shared" si="5"/>
        <v>0.168309689829286</v>
      </c>
    </row>
    <row r="5" spans="1:34">
      <c r="A5" s="2">
        <v>20260101</v>
      </c>
      <c r="B5" s="2" t="s">
        <v>47</v>
      </c>
      <c r="C5" s="2" t="s">
        <v>48</v>
      </c>
      <c r="D5" s="2">
        <v>6</v>
      </c>
      <c r="E5" s="2">
        <v>6</v>
      </c>
      <c r="F5" s="2">
        <v>15</v>
      </c>
      <c r="G5" s="2">
        <v>15</v>
      </c>
      <c r="H5" s="2">
        <v>11</v>
      </c>
      <c r="I5" s="3">
        <v>16</v>
      </c>
      <c r="J5" s="1">
        <v>22</v>
      </c>
      <c r="K5" s="1">
        <v>14</v>
      </c>
      <c r="L5" s="1">
        <v>0</v>
      </c>
      <c r="M5" s="1">
        <v>4</v>
      </c>
      <c r="N5" s="1">
        <v>23</v>
      </c>
      <c r="O5" s="1">
        <v>36</v>
      </c>
      <c r="P5" s="3">
        <v>21</v>
      </c>
      <c r="Q5" s="2">
        <v>22</v>
      </c>
      <c r="R5" s="2">
        <v>2</v>
      </c>
      <c r="S5" s="2">
        <v>13</v>
      </c>
      <c r="T5" s="2">
        <v>41</v>
      </c>
      <c r="U5" s="2">
        <v>1</v>
      </c>
      <c r="V5" s="2">
        <v>0</v>
      </c>
      <c r="W5" s="2">
        <v>1</v>
      </c>
      <c r="X5" s="2">
        <v>6</v>
      </c>
      <c r="Y5" s="2">
        <v>0</v>
      </c>
      <c r="Z5" s="2">
        <f t="shared" si="0"/>
        <v>8</v>
      </c>
      <c r="AA5" s="2">
        <f t="shared" si="1"/>
        <v>145</v>
      </c>
      <c r="AB5" s="2">
        <v>3324</v>
      </c>
      <c r="AC5" s="20">
        <f t="shared" si="2"/>
        <v>4.36221419975933</v>
      </c>
      <c r="AD5" s="22" t="s">
        <v>49</v>
      </c>
      <c r="AE5" s="2">
        <v>125</v>
      </c>
      <c r="AF5" s="21">
        <f t="shared" si="3"/>
        <v>6.56077015643803</v>
      </c>
      <c r="AG5" s="4">
        <f t="shared" si="4"/>
        <v>0</v>
      </c>
      <c r="AH5" s="4">
        <f t="shared" si="5"/>
        <v>0.240673886883273</v>
      </c>
    </row>
    <row r="6" spans="1:34">
      <c r="A6" s="2">
        <v>20260101</v>
      </c>
      <c r="B6" s="2" t="s">
        <v>50</v>
      </c>
      <c r="C6" s="2" t="s">
        <v>51</v>
      </c>
      <c r="D6" s="2">
        <v>3</v>
      </c>
      <c r="E6" s="2">
        <v>14</v>
      </c>
      <c r="F6" s="2">
        <v>6</v>
      </c>
      <c r="G6" s="2">
        <v>28</v>
      </c>
      <c r="H6" s="2">
        <v>25</v>
      </c>
      <c r="I6" s="3">
        <v>14</v>
      </c>
      <c r="J6" s="1">
        <v>54</v>
      </c>
      <c r="K6" s="1">
        <v>4</v>
      </c>
      <c r="L6" s="1">
        <v>0</v>
      </c>
      <c r="M6" s="1">
        <v>2</v>
      </c>
      <c r="N6" s="1">
        <v>30</v>
      </c>
      <c r="O6" s="1">
        <v>7</v>
      </c>
      <c r="P6" s="3">
        <v>18</v>
      </c>
      <c r="Q6" s="2">
        <v>10</v>
      </c>
      <c r="R6" s="2">
        <v>9</v>
      </c>
      <c r="S6" s="2">
        <v>35</v>
      </c>
      <c r="T6" s="2">
        <v>45</v>
      </c>
      <c r="U6" s="2">
        <v>0</v>
      </c>
      <c r="V6" s="2">
        <v>0</v>
      </c>
      <c r="W6" s="2">
        <v>1</v>
      </c>
      <c r="X6" s="2">
        <v>5</v>
      </c>
      <c r="Y6" s="2">
        <v>0</v>
      </c>
      <c r="Z6" s="2">
        <f t="shared" si="0"/>
        <v>6</v>
      </c>
      <c r="AA6" s="2">
        <f t="shared" si="1"/>
        <v>190</v>
      </c>
      <c r="AB6" s="2">
        <v>3510</v>
      </c>
      <c r="AC6" s="20">
        <f t="shared" si="2"/>
        <v>5.41310541310541</v>
      </c>
      <c r="AD6" s="22" t="s">
        <v>49</v>
      </c>
      <c r="AE6" s="2">
        <v>125</v>
      </c>
      <c r="AF6" s="21">
        <f t="shared" si="3"/>
        <v>8.14131054131054</v>
      </c>
      <c r="AG6" s="4">
        <f t="shared" si="4"/>
        <v>0</v>
      </c>
      <c r="AH6" s="4">
        <f t="shared" si="5"/>
        <v>0.170940170940171</v>
      </c>
    </row>
    <row r="7" spans="1:34">
      <c r="A7" s="2">
        <v>20260101</v>
      </c>
      <c r="B7" s="2" t="s">
        <v>52</v>
      </c>
      <c r="C7" s="2" t="s">
        <v>53</v>
      </c>
      <c r="D7" s="2">
        <v>5</v>
      </c>
      <c r="E7" s="2">
        <v>10</v>
      </c>
      <c r="F7" s="2">
        <v>7</v>
      </c>
      <c r="G7" s="2">
        <v>24</v>
      </c>
      <c r="H7" s="2">
        <v>19</v>
      </c>
      <c r="I7" s="3">
        <v>13</v>
      </c>
      <c r="J7" s="1">
        <v>48</v>
      </c>
      <c r="K7" s="1">
        <v>7</v>
      </c>
      <c r="L7" s="1">
        <v>1</v>
      </c>
      <c r="M7" s="1">
        <v>3</v>
      </c>
      <c r="N7" s="1">
        <v>41</v>
      </c>
      <c r="O7" s="1">
        <v>5</v>
      </c>
      <c r="P7" s="3">
        <v>22</v>
      </c>
      <c r="Q7" s="2">
        <v>14</v>
      </c>
      <c r="R7" s="2">
        <v>6</v>
      </c>
      <c r="S7" s="2">
        <v>24</v>
      </c>
      <c r="T7" s="2">
        <v>5</v>
      </c>
      <c r="U7" s="2">
        <v>1</v>
      </c>
      <c r="V7" s="2">
        <v>0</v>
      </c>
      <c r="W7" s="2">
        <v>4</v>
      </c>
      <c r="X7" s="2">
        <v>2</v>
      </c>
      <c r="Y7" s="2">
        <v>0</v>
      </c>
      <c r="Z7" s="2">
        <f t="shared" si="0"/>
        <v>7</v>
      </c>
      <c r="AA7" s="2">
        <f t="shared" si="1"/>
        <v>143</v>
      </c>
      <c r="AB7" s="2">
        <v>3550</v>
      </c>
      <c r="AC7" s="20">
        <f t="shared" si="2"/>
        <v>4.02816901408451</v>
      </c>
      <c r="AD7" s="22" t="s">
        <v>49</v>
      </c>
      <c r="AE7" s="2">
        <v>125</v>
      </c>
      <c r="AF7" s="21">
        <f t="shared" si="3"/>
        <v>6.0583661971831</v>
      </c>
      <c r="AG7" s="4">
        <f t="shared" si="4"/>
        <v>0</v>
      </c>
      <c r="AH7" s="4">
        <f t="shared" si="5"/>
        <v>0.197183098591549</v>
      </c>
    </row>
    <row r="8" spans="1:34">
      <c r="A8" s="2">
        <v>20260101</v>
      </c>
      <c r="B8" s="2" t="s">
        <v>54</v>
      </c>
      <c r="C8" s="2" t="s">
        <v>55</v>
      </c>
      <c r="D8" s="2">
        <v>2</v>
      </c>
      <c r="E8" s="2">
        <v>5</v>
      </c>
      <c r="F8" s="2">
        <v>2</v>
      </c>
      <c r="G8" s="2">
        <v>11</v>
      </c>
      <c r="H8" s="1">
        <v>17</v>
      </c>
      <c r="I8" s="3">
        <v>13</v>
      </c>
      <c r="J8" s="1">
        <v>35</v>
      </c>
      <c r="K8" s="1">
        <v>12</v>
      </c>
      <c r="L8" s="1">
        <v>0</v>
      </c>
      <c r="M8" s="1">
        <v>2</v>
      </c>
      <c r="N8" s="1">
        <v>30</v>
      </c>
      <c r="O8" s="1">
        <v>4</v>
      </c>
      <c r="P8" s="3">
        <v>7</v>
      </c>
      <c r="Q8" s="1">
        <v>11</v>
      </c>
      <c r="R8" s="2">
        <v>16</v>
      </c>
      <c r="S8" s="2">
        <v>12</v>
      </c>
      <c r="T8" s="2">
        <v>32</v>
      </c>
      <c r="U8" s="2">
        <v>0</v>
      </c>
      <c r="V8" s="2">
        <v>0</v>
      </c>
      <c r="W8" s="2">
        <v>9</v>
      </c>
      <c r="X8" s="2">
        <v>7</v>
      </c>
      <c r="Y8" s="2">
        <v>0</v>
      </c>
      <c r="Z8" s="2">
        <f t="shared" si="0"/>
        <v>16</v>
      </c>
      <c r="AA8" s="2">
        <f t="shared" si="1"/>
        <v>129</v>
      </c>
      <c r="AB8" s="2">
        <v>3500</v>
      </c>
      <c r="AC8" s="20">
        <f t="shared" si="2"/>
        <v>3.68571428571429</v>
      </c>
      <c r="AD8" s="22" t="s">
        <v>49</v>
      </c>
      <c r="AE8" s="2">
        <v>125</v>
      </c>
      <c r="AF8" s="21">
        <f t="shared" si="3"/>
        <v>5.54331428571429</v>
      </c>
      <c r="AG8" s="4">
        <f t="shared" si="4"/>
        <v>0</v>
      </c>
      <c r="AH8" s="4">
        <f t="shared" si="5"/>
        <v>0.457142857142857</v>
      </c>
    </row>
    <row r="9" spans="1:34">
      <c r="A9" s="2">
        <v>20260101</v>
      </c>
      <c r="B9" s="2" t="s">
        <v>56</v>
      </c>
      <c r="C9" s="2" t="s">
        <v>57</v>
      </c>
      <c r="D9" s="2">
        <v>10</v>
      </c>
      <c r="E9" s="2">
        <v>659</v>
      </c>
      <c r="F9" s="2">
        <v>147</v>
      </c>
      <c r="G9" s="2">
        <v>10</v>
      </c>
      <c r="H9" s="1">
        <v>41</v>
      </c>
      <c r="I9" s="3">
        <v>31</v>
      </c>
      <c r="J9" s="1">
        <v>240</v>
      </c>
      <c r="K9" s="1">
        <v>20</v>
      </c>
      <c r="L9" s="1">
        <v>0</v>
      </c>
      <c r="M9" s="1">
        <v>7</v>
      </c>
      <c r="N9" s="1">
        <v>80</v>
      </c>
      <c r="O9" s="1">
        <v>69</v>
      </c>
      <c r="P9" s="3">
        <v>12</v>
      </c>
      <c r="Q9" s="1">
        <v>24</v>
      </c>
      <c r="R9" s="2">
        <v>183</v>
      </c>
      <c r="S9" s="2">
        <v>11</v>
      </c>
      <c r="T9" s="2">
        <v>36</v>
      </c>
      <c r="U9" s="2">
        <v>2</v>
      </c>
      <c r="V9" s="2">
        <v>0</v>
      </c>
      <c r="W9" s="2">
        <v>10</v>
      </c>
      <c r="X9" s="2">
        <v>3</v>
      </c>
      <c r="Y9" s="2">
        <v>0</v>
      </c>
      <c r="Z9" s="2">
        <f t="shared" si="0"/>
        <v>15</v>
      </c>
      <c r="AA9" s="2">
        <f t="shared" si="1"/>
        <v>399</v>
      </c>
      <c r="AB9" s="2">
        <v>2672</v>
      </c>
      <c r="AC9" s="20">
        <f t="shared" si="2"/>
        <v>14.9326347305389</v>
      </c>
      <c r="AD9" s="22" t="s">
        <v>58</v>
      </c>
      <c r="AE9" s="2">
        <v>125</v>
      </c>
      <c r="AF9" s="21">
        <f t="shared" si="3"/>
        <v>22.4586826347305</v>
      </c>
      <c r="AG9" s="4">
        <f t="shared" si="4"/>
        <v>0</v>
      </c>
      <c r="AH9" s="4">
        <f t="shared" si="5"/>
        <v>0.561377245508982</v>
      </c>
    </row>
    <row r="10" spans="1:34">
      <c r="A10" s="2">
        <v>20260101</v>
      </c>
      <c r="B10" s="2" t="s">
        <v>59</v>
      </c>
      <c r="C10" s="2" t="s">
        <v>60</v>
      </c>
      <c r="D10" s="2">
        <v>5</v>
      </c>
      <c r="E10" s="2">
        <v>2</v>
      </c>
      <c r="F10" s="2">
        <v>3</v>
      </c>
      <c r="G10" s="2">
        <v>5</v>
      </c>
      <c r="H10" s="1">
        <v>5</v>
      </c>
      <c r="I10" s="3">
        <v>8</v>
      </c>
      <c r="J10" s="1">
        <v>16</v>
      </c>
      <c r="K10" s="1">
        <v>3</v>
      </c>
      <c r="L10" s="1">
        <v>0</v>
      </c>
      <c r="M10" s="1">
        <v>4</v>
      </c>
      <c r="N10" s="1">
        <v>19</v>
      </c>
      <c r="O10" s="1">
        <v>2</v>
      </c>
      <c r="P10" s="3">
        <v>5</v>
      </c>
      <c r="Q10" s="1">
        <v>11</v>
      </c>
      <c r="R10" s="2">
        <v>20</v>
      </c>
      <c r="S10" s="2">
        <v>4</v>
      </c>
      <c r="T10" s="2">
        <v>6</v>
      </c>
      <c r="U10" s="2">
        <v>0</v>
      </c>
      <c r="W10" s="2">
        <v>20</v>
      </c>
      <c r="X10" s="2">
        <v>0</v>
      </c>
      <c r="Y10" s="2">
        <v>0</v>
      </c>
      <c r="Z10" s="2">
        <f t="shared" si="0"/>
        <v>20</v>
      </c>
      <c r="AA10" s="2">
        <f t="shared" si="1"/>
        <v>52</v>
      </c>
      <c r="AB10" s="2">
        <v>2362</v>
      </c>
      <c r="AC10" s="20">
        <f t="shared" si="2"/>
        <v>2.20152413209145</v>
      </c>
      <c r="AD10" s="22" t="s">
        <v>58</v>
      </c>
      <c r="AE10" s="2">
        <v>125</v>
      </c>
      <c r="AF10" s="21">
        <f t="shared" si="3"/>
        <v>3.31109229466554</v>
      </c>
      <c r="AG10" s="4">
        <f t="shared" si="4"/>
        <v>0</v>
      </c>
      <c r="AH10" s="4">
        <f t="shared" si="5"/>
        <v>0.846740050804403</v>
      </c>
    </row>
    <row r="11" spans="1:34">
      <c r="A11" s="2">
        <v>20260101</v>
      </c>
      <c r="B11" s="2" t="s">
        <v>61</v>
      </c>
      <c r="C11" s="2" t="s">
        <v>62</v>
      </c>
      <c r="D11" s="2">
        <v>34</v>
      </c>
      <c r="E11" s="2">
        <v>1</v>
      </c>
      <c r="F11" s="2">
        <v>11</v>
      </c>
      <c r="G11" s="2">
        <v>43</v>
      </c>
      <c r="H11" s="1">
        <v>80</v>
      </c>
      <c r="I11" s="3">
        <v>435</v>
      </c>
      <c r="J11" s="1">
        <v>387</v>
      </c>
      <c r="K11" s="1">
        <v>52</v>
      </c>
      <c r="L11" s="1">
        <v>6</v>
      </c>
      <c r="M11" s="1">
        <v>303</v>
      </c>
      <c r="N11" s="1">
        <v>250</v>
      </c>
      <c r="O11" s="1">
        <v>8</v>
      </c>
      <c r="P11" s="3">
        <v>71</v>
      </c>
      <c r="Q11" s="1">
        <v>15</v>
      </c>
      <c r="R11" s="2">
        <v>29</v>
      </c>
      <c r="S11" s="2">
        <v>18</v>
      </c>
      <c r="T11" s="2">
        <v>8</v>
      </c>
      <c r="U11" s="2">
        <v>6</v>
      </c>
      <c r="V11" s="2">
        <v>0</v>
      </c>
      <c r="W11" s="2">
        <v>4</v>
      </c>
      <c r="X11" s="2">
        <v>0</v>
      </c>
      <c r="Y11" s="2">
        <v>0</v>
      </c>
      <c r="Z11" s="2">
        <f t="shared" si="0"/>
        <v>10</v>
      </c>
      <c r="AA11" s="2">
        <f t="shared" si="1"/>
        <v>1391</v>
      </c>
      <c r="AB11" s="2">
        <v>2552</v>
      </c>
      <c r="AC11" s="20">
        <f t="shared" si="2"/>
        <v>54.5062695924765</v>
      </c>
      <c r="AD11" s="22" t="s">
        <v>58</v>
      </c>
      <c r="AE11" s="2">
        <v>125</v>
      </c>
      <c r="AF11" s="21">
        <f t="shared" si="3"/>
        <v>81.9774294670846</v>
      </c>
      <c r="AG11" s="4">
        <f t="shared" si="4"/>
        <v>0</v>
      </c>
      <c r="AH11" s="4">
        <f t="shared" si="5"/>
        <v>0.391849529780564</v>
      </c>
    </row>
    <row r="12" spans="1:34">
      <c r="A12" s="2">
        <v>20260101</v>
      </c>
      <c r="B12" s="2" t="s">
        <v>63</v>
      </c>
      <c r="C12" s="2" t="s">
        <v>64</v>
      </c>
      <c r="D12" s="2">
        <v>0</v>
      </c>
      <c r="E12" s="2">
        <v>1</v>
      </c>
      <c r="F12" s="2">
        <v>8</v>
      </c>
      <c r="G12" s="2">
        <v>3</v>
      </c>
      <c r="H12" s="1">
        <v>7</v>
      </c>
      <c r="I12" s="3">
        <v>8</v>
      </c>
      <c r="J12" s="1">
        <v>6</v>
      </c>
      <c r="K12" s="1">
        <v>3</v>
      </c>
      <c r="L12" s="1">
        <v>1</v>
      </c>
      <c r="M12" s="1">
        <v>0</v>
      </c>
      <c r="N12" s="1">
        <v>21</v>
      </c>
      <c r="O12" s="1">
        <v>9</v>
      </c>
      <c r="P12" s="3">
        <v>4</v>
      </c>
      <c r="Q12" s="1">
        <v>8</v>
      </c>
      <c r="R12" s="2">
        <v>21</v>
      </c>
      <c r="S12" s="2">
        <v>2</v>
      </c>
      <c r="T12" s="2">
        <v>0</v>
      </c>
      <c r="U12" s="2">
        <v>0</v>
      </c>
      <c r="V12" s="2">
        <v>0</v>
      </c>
      <c r="W12" s="2">
        <v>0</v>
      </c>
      <c r="X12" s="2">
        <v>2</v>
      </c>
      <c r="Y12" s="2">
        <v>0</v>
      </c>
      <c r="Z12" s="2">
        <f t="shared" si="0"/>
        <v>2</v>
      </c>
      <c r="AA12" s="2">
        <f t="shared" si="1"/>
        <v>32</v>
      </c>
      <c r="AB12" s="2">
        <v>2203</v>
      </c>
      <c r="AC12" s="20">
        <f t="shared" si="2"/>
        <v>1.45256468452111</v>
      </c>
      <c r="AD12" s="22" t="s">
        <v>44</v>
      </c>
      <c r="AE12" s="2">
        <v>125</v>
      </c>
      <c r="AF12" s="21">
        <f t="shared" si="3"/>
        <v>2.18465728551975</v>
      </c>
      <c r="AG12" s="4">
        <f t="shared" si="4"/>
        <v>0</v>
      </c>
      <c r="AH12" s="4">
        <f t="shared" si="5"/>
        <v>0.0907852927825692</v>
      </c>
    </row>
    <row r="13" spans="1:34">
      <c r="A13" s="2">
        <v>20260101</v>
      </c>
      <c r="B13" s="2" t="s">
        <v>65</v>
      </c>
      <c r="C13" s="2" t="s">
        <v>66</v>
      </c>
      <c r="D13" s="2">
        <v>4</v>
      </c>
      <c r="E13" s="2">
        <v>8</v>
      </c>
      <c r="F13" s="2">
        <v>47</v>
      </c>
      <c r="G13" s="2">
        <v>5</v>
      </c>
      <c r="H13" s="2">
        <v>20</v>
      </c>
      <c r="I13" s="1">
        <v>13</v>
      </c>
      <c r="J13" s="3">
        <v>7</v>
      </c>
      <c r="K13" s="1">
        <v>8</v>
      </c>
      <c r="L13" s="1">
        <v>1</v>
      </c>
      <c r="M13" s="1">
        <v>34</v>
      </c>
      <c r="N13" s="1">
        <v>90</v>
      </c>
      <c r="O13" s="1">
        <v>11</v>
      </c>
      <c r="P13" s="1">
        <v>13</v>
      </c>
      <c r="Q13" s="3">
        <v>83</v>
      </c>
      <c r="R13" s="1">
        <v>2</v>
      </c>
      <c r="S13" s="2">
        <v>9</v>
      </c>
      <c r="T13" s="2">
        <v>0</v>
      </c>
      <c r="U13" s="2">
        <v>0</v>
      </c>
      <c r="V13" s="2">
        <v>1</v>
      </c>
      <c r="W13" s="2">
        <v>3</v>
      </c>
      <c r="X13" s="2">
        <v>1</v>
      </c>
      <c r="Y13" s="2">
        <v>0</v>
      </c>
      <c r="Z13" s="2">
        <f t="shared" si="0"/>
        <v>4</v>
      </c>
      <c r="AA13" s="2">
        <f t="shared" si="1"/>
        <v>101</v>
      </c>
      <c r="AB13" s="2">
        <v>2582</v>
      </c>
      <c r="AC13" s="20">
        <f t="shared" si="2"/>
        <v>3.91169635941131</v>
      </c>
      <c r="AD13" s="22" t="s">
        <v>44</v>
      </c>
      <c r="AE13" s="2">
        <v>125</v>
      </c>
      <c r="AF13" s="21">
        <f t="shared" si="3"/>
        <v>5.88319132455461</v>
      </c>
      <c r="AG13" s="4">
        <f t="shared" si="4"/>
        <v>0.0387296669248645</v>
      </c>
      <c r="AH13" s="4">
        <f t="shared" si="5"/>
        <v>0.154918667699458</v>
      </c>
    </row>
    <row r="14" spans="1:34">
      <c r="A14" s="2">
        <v>20260101</v>
      </c>
      <c r="B14" s="2" t="s">
        <v>67</v>
      </c>
      <c r="C14" s="2" t="s">
        <v>68</v>
      </c>
      <c r="D14" s="2">
        <v>14</v>
      </c>
      <c r="E14" s="2">
        <v>4</v>
      </c>
      <c r="F14" s="2">
        <v>7</v>
      </c>
      <c r="G14" s="2">
        <v>14</v>
      </c>
      <c r="H14" s="1">
        <v>12</v>
      </c>
      <c r="I14" s="3">
        <v>23</v>
      </c>
      <c r="J14" s="1">
        <v>21</v>
      </c>
      <c r="K14" s="1">
        <v>4</v>
      </c>
      <c r="L14" s="1">
        <v>1</v>
      </c>
      <c r="M14" s="1">
        <v>3</v>
      </c>
      <c r="N14" s="1">
        <v>24</v>
      </c>
      <c r="O14" s="1">
        <v>12</v>
      </c>
      <c r="P14" s="3">
        <v>10</v>
      </c>
      <c r="Q14" s="1">
        <v>15</v>
      </c>
      <c r="R14" s="2">
        <v>45</v>
      </c>
      <c r="S14" s="2">
        <v>4</v>
      </c>
      <c r="T14" s="2">
        <v>10</v>
      </c>
      <c r="U14" s="2">
        <v>1</v>
      </c>
      <c r="V14" s="2">
        <v>2</v>
      </c>
      <c r="W14" s="2">
        <v>6</v>
      </c>
      <c r="X14" s="2">
        <v>7</v>
      </c>
      <c r="Y14" s="2">
        <v>0</v>
      </c>
      <c r="Z14" s="2">
        <f t="shared" si="0"/>
        <v>14</v>
      </c>
      <c r="AA14" s="2">
        <f t="shared" si="1"/>
        <v>99</v>
      </c>
      <c r="AB14" s="2">
        <v>4590</v>
      </c>
      <c r="AC14" s="20">
        <f t="shared" si="2"/>
        <v>2.15686274509804</v>
      </c>
      <c r="AD14" s="22" t="s">
        <v>44</v>
      </c>
      <c r="AE14" s="2">
        <v>125</v>
      </c>
      <c r="AF14" s="21">
        <f t="shared" si="3"/>
        <v>3.24392156862745</v>
      </c>
      <c r="AG14" s="4">
        <f t="shared" si="4"/>
        <v>0.0435729847494553</v>
      </c>
      <c r="AH14" s="4">
        <f t="shared" si="5"/>
        <v>0.305010893246187</v>
      </c>
    </row>
    <row r="15" spans="1:34">
      <c r="A15" s="2">
        <v>20260101</v>
      </c>
      <c r="B15" s="2" t="s">
        <v>69</v>
      </c>
      <c r="C15" s="2" t="s">
        <v>70</v>
      </c>
      <c r="D15" s="2">
        <v>16</v>
      </c>
      <c r="E15" s="2">
        <v>12</v>
      </c>
      <c r="F15" s="2">
        <v>37</v>
      </c>
      <c r="G15" s="2">
        <v>13</v>
      </c>
      <c r="H15" s="1">
        <v>15</v>
      </c>
      <c r="I15" s="3">
        <v>27</v>
      </c>
      <c r="J15" s="1">
        <v>29</v>
      </c>
      <c r="K15" s="1">
        <v>10</v>
      </c>
      <c r="L15" s="1">
        <v>0</v>
      </c>
      <c r="M15" s="1">
        <v>2</v>
      </c>
      <c r="N15" s="1">
        <v>56</v>
      </c>
      <c r="O15" s="1">
        <v>36</v>
      </c>
      <c r="P15" s="3">
        <v>19</v>
      </c>
      <c r="Q15" s="1">
        <v>39</v>
      </c>
      <c r="R15" s="2">
        <v>5</v>
      </c>
      <c r="S15" s="2">
        <v>4</v>
      </c>
      <c r="T15" s="2">
        <v>0</v>
      </c>
      <c r="U15" s="2">
        <v>0</v>
      </c>
      <c r="V15" s="2">
        <v>3</v>
      </c>
      <c r="W15" s="2">
        <v>8</v>
      </c>
      <c r="X15" s="2">
        <v>3</v>
      </c>
      <c r="Y15" s="2">
        <v>0</v>
      </c>
      <c r="Z15" s="2">
        <f t="shared" si="0"/>
        <v>11</v>
      </c>
      <c r="AA15" s="2">
        <f t="shared" si="1"/>
        <v>115</v>
      </c>
      <c r="AB15" s="2">
        <v>2852</v>
      </c>
      <c r="AC15" s="20">
        <f t="shared" si="2"/>
        <v>4.03225806451613</v>
      </c>
      <c r="AD15" s="22" t="s">
        <v>44</v>
      </c>
      <c r="AE15" s="2">
        <v>125</v>
      </c>
      <c r="AF15" s="21">
        <f t="shared" si="3"/>
        <v>6.06451612903226</v>
      </c>
      <c r="AG15" s="4">
        <f t="shared" si="4"/>
        <v>0.105189340813464</v>
      </c>
      <c r="AH15" s="4">
        <f t="shared" si="5"/>
        <v>0.385694249649369</v>
      </c>
    </row>
    <row r="16" spans="1:34">
      <c r="A16" s="2">
        <v>20260101</v>
      </c>
      <c r="B16" s="2" t="s">
        <v>71</v>
      </c>
      <c r="C16" s="2" t="s">
        <v>72</v>
      </c>
      <c r="D16" s="2">
        <v>4</v>
      </c>
      <c r="E16" s="2">
        <v>7</v>
      </c>
      <c r="F16" s="2">
        <v>5</v>
      </c>
      <c r="G16" s="2">
        <v>6</v>
      </c>
      <c r="H16" s="1">
        <v>3</v>
      </c>
      <c r="I16" s="3">
        <v>15</v>
      </c>
      <c r="J16" s="1">
        <v>23</v>
      </c>
      <c r="K16" s="1">
        <v>4</v>
      </c>
      <c r="L16" s="1">
        <v>2</v>
      </c>
      <c r="M16" s="1">
        <v>2</v>
      </c>
      <c r="N16" s="1">
        <v>33</v>
      </c>
      <c r="O16" s="1">
        <v>7</v>
      </c>
      <c r="P16" s="3">
        <v>5</v>
      </c>
      <c r="Q16" s="1">
        <v>14</v>
      </c>
      <c r="R16" s="2">
        <v>24</v>
      </c>
      <c r="S16" s="2">
        <v>3</v>
      </c>
      <c r="T16" s="2">
        <v>4</v>
      </c>
      <c r="U16" s="2">
        <v>0</v>
      </c>
      <c r="V16" s="2">
        <v>4</v>
      </c>
      <c r="W16" s="2">
        <v>3</v>
      </c>
      <c r="X16" s="2">
        <v>12</v>
      </c>
      <c r="Y16" s="2">
        <v>0</v>
      </c>
      <c r="Z16" s="2">
        <f t="shared" si="0"/>
        <v>15</v>
      </c>
      <c r="AA16" s="2">
        <f t="shared" si="1"/>
        <v>64</v>
      </c>
      <c r="AB16" s="2">
        <v>4459</v>
      </c>
      <c r="AC16" s="20">
        <f t="shared" si="2"/>
        <v>1.43529939448307</v>
      </c>
      <c r="AD16" s="22" t="s">
        <v>44</v>
      </c>
      <c r="AE16" s="2">
        <v>125</v>
      </c>
      <c r="AF16" s="21">
        <f t="shared" si="3"/>
        <v>2.15869028930253</v>
      </c>
      <c r="AG16" s="4">
        <f t="shared" si="4"/>
        <v>0.0897062121551918</v>
      </c>
      <c r="AH16" s="4">
        <f t="shared" si="5"/>
        <v>0.336398295581969</v>
      </c>
    </row>
    <row r="17" spans="1:34">
      <c r="A17" s="2">
        <v>20260101</v>
      </c>
      <c r="B17" s="2" t="s">
        <v>73</v>
      </c>
      <c r="C17" s="2" t="s">
        <v>74</v>
      </c>
      <c r="D17" s="2">
        <v>2</v>
      </c>
      <c r="E17" s="2">
        <v>2</v>
      </c>
      <c r="F17" s="2">
        <v>6</v>
      </c>
      <c r="G17" s="2">
        <v>5</v>
      </c>
      <c r="H17" s="1">
        <v>6</v>
      </c>
      <c r="I17" s="3">
        <v>21</v>
      </c>
      <c r="J17" s="1">
        <v>8</v>
      </c>
      <c r="K17" s="1">
        <v>4</v>
      </c>
      <c r="L17" s="1">
        <v>0</v>
      </c>
      <c r="M17" s="1">
        <v>5</v>
      </c>
      <c r="N17" s="1">
        <v>20</v>
      </c>
      <c r="O17" s="1">
        <v>5</v>
      </c>
      <c r="P17" s="3">
        <v>7</v>
      </c>
      <c r="Q17" s="1">
        <v>12</v>
      </c>
      <c r="R17" s="2">
        <v>5</v>
      </c>
      <c r="S17" s="2">
        <v>3</v>
      </c>
      <c r="T17" s="2">
        <v>3</v>
      </c>
      <c r="U17" s="2">
        <v>0</v>
      </c>
      <c r="V17" s="2">
        <v>5</v>
      </c>
      <c r="W17" s="2">
        <v>2</v>
      </c>
      <c r="X17" s="2">
        <v>8</v>
      </c>
      <c r="Y17" s="2">
        <v>0</v>
      </c>
      <c r="Z17" s="2">
        <f t="shared" si="0"/>
        <v>10</v>
      </c>
      <c r="AA17" s="2">
        <f t="shared" si="1"/>
        <v>59</v>
      </c>
      <c r="AB17" s="2">
        <v>3461</v>
      </c>
      <c r="AC17" s="20">
        <f t="shared" si="2"/>
        <v>1.70470962149668</v>
      </c>
      <c r="AD17" s="22" t="s">
        <v>49</v>
      </c>
      <c r="AE17" s="2">
        <v>125</v>
      </c>
      <c r="AF17" s="21">
        <f t="shared" si="3"/>
        <v>2.563883270731</v>
      </c>
      <c r="AG17" s="4">
        <f t="shared" si="4"/>
        <v>0.14446691707599</v>
      </c>
      <c r="AH17" s="4">
        <f t="shared" si="5"/>
        <v>0.288933834151979</v>
      </c>
    </row>
    <row r="18" spans="1:34">
      <c r="A18" s="2">
        <v>20260101</v>
      </c>
      <c r="B18" s="2" t="s">
        <v>75</v>
      </c>
      <c r="C18" s="2" t="s">
        <v>76</v>
      </c>
      <c r="D18" s="2">
        <v>3</v>
      </c>
      <c r="E18" s="2">
        <v>5</v>
      </c>
      <c r="F18" s="2">
        <v>6</v>
      </c>
      <c r="G18" s="2">
        <v>3</v>
      </c>
      <c r="H18" s="1">
        <v>3</v>
      </c>
      <c r="I18" s="3">
        <v>15</v>
      </c>
      <c r="J18" s="1">
        <v>15</v>
      </c>
      <c r="K18" s="1">
        <v>7</v>
      </c>
      <c r="L18" s="1">
        <v>0</v>
      </c>
      <c r="M18" s="1">
        <v>3</v>
      </c>
      <c r="N18" s="1">
        <v>31</v>
      </c>
      <c r="O18" s="1">
        <v>17</v>
      </c>
      <c r="P18" s="3">
        <v>2</v>
      </c>
      <c r="Q18" s="1">
        <v>9</v>
      </c>
      <c r="R18" s="2">
        <v>6</v>
      </c>
      <c r="S18" s="2">
        <v>1</v>
      </c>
      <c r="T18" s="2">
        <v>4</v>
      </c>
      <c r="U18" s="2">
        <v>0</v>
      </c>
      <c r="V18" s="2">
        <f t="shared" ref="V18:V79" si="6">AA18-Y18-X18-W18-U18</f>
        <v>50</v>
      </c>
      <c r="W18" s="2">
        <v>2</v>
      </c>
      <c r="X18" s="2">
        <v>0</v>
      </c>
      <c r="Y18" s="2">
        <v>0</v>
      </c>
      <c r="Z18" s="2">
        <f t="shared" si="0"/>
        <v>2</v>
      </c>
      <c r="AA18" s="2">
        <f t="shared" si="1"/>
        <v>52</v>
      </c>
      <c r="AB18" s="2">
        <v>3261</v>
      </c>
      <c r="AC18" s="20">
        <f t="shared" si="2"/>
        <v>1.59460288255136</v>
      </c>
      <c r="AD18" s="22" t="s">
        <v>49</v>
      </c>
      <c r="AE18" s="2">
        <v>125</v>
      </c>
      <c r="AF18" s="21">
        <f t="shared" si="3"/>
        <v>2.39828273535725</v>
      </c>
      <c r="AG18" s="4">
        <f t="shared" si="4"/>
        <v>1.53327200245324</v>
      </c>
      <c r="AH18" s="4">
        <f t="shared" si="5"/>
        <v>0.0613308800981294</v>
      </c>
    </row>
    <row r="19" spans="1:34">
      <c r="A19" s="2">
        <v>20260101</v>
      </c>
      <c r="B19" s="2" t="s">
        <v>77</v>
      </c>
      <c r="C19" s="2" t="s">
        <v>78</v>
      </c>
      <c r="D19" s="2">
        <v>2</v>
      </c>
      <c r="E19" s="2">
        <v>3</v>
      </c>
      <c r="F19" s="2">
        <v>12</v>
      </c>
      <c r="G19" s="2">
        <v>3</v>
      </c>
      <c r="H19" s="1">
        <v>3</v>
      </c>
      <c r="I19" s="3">
        <v>22</v>
      </c>
      <c r="J19" s="1">
        <v>10</v>
      </c>
      <c r="K19" s="1">
        <v>6</v>
      </c>
      <c r="L19" s="1">
        <v>1</v>
      </c>
      <c r="M19" s="1">
        <v>5</v>
      </c>
      <c r="N19" s="1">
        <v>32</v>
      </c>
      <c r="O19" s="1">
        <v>11</v>
      </c>
      <c r="P19" s="3">
        <v>4</v>
      </c>
      <c r="Q19" s="1">
        <v>16</v>
      </c>
      <c r="R19" s="2">
        <v>6</v>
      </c>
      <c r="S19" s="2">
        <v>4</v>
      </c>
      <c r="T19" s="2">
        <v>4</v>
      </c>
      <c r="U19" s="2">
        <v>0</v>
      </c>
      <c r="V19" s="2">
        <f t="shared" si="6"/>
        <v>53</v>
      </c>
      <c r="W19" s="2">
        <v>2</v>
      </c>
      <c r="X19" s="2">
        <v>3</v>
      </c>
      <c r="Y19" s="2">
        <v>0</v>
      </c>
      <c r="Z19" s="2">
        <f t="shared" si="0"/>
        <v>5</v>
      </c>
      <c r="AA19" s="2">
        <f t="shared" si="1"/>
        <v>58</v>
      </c>
      <c r="AB19" s="2">
        <v>3261</v>
      </c>
      <c r="AC19" s="20">
        <f t="shared" si="2"/>
        <v>1.77859552284575</v>
      </c>
      <c r="AD19" s="22" t="s">
        <v>49</v>
      </c>
      <c r="AE19" s="2">
        <v>125</v>
      </c>
      <c r="AF19" s="21">
        <f t="shared" si="3"/>
        <v>2.67500766636001</v>
      </c>
      <c r="AG19" s="4">
        <f t="shared" si="4"/>
        <v>1.62526832260043</v>
      </c>
      <c r="AH19" s="4">
        <f t="shared" si="5"/>
        <v>0.153327200245324</v>
      </c>
    </row>
    <row r="20" spans="1:34">
      <c r="A20" s="2">
        <v>20260101</v>
      </c>
      <c r="B20" s="2" t="s">
        <v>79</v>
      </c>
      <c r="C20" s="2" t="s">
        <v>80</v>
      </c>
      <c r="D20" s="2">
        <v>0</v>
      </c>
      <c r="E20" s="2">
        <v>3</v>
      </c>
      <c r="F20" s="2">
        <v>5</v>
      </c>
      <c r="G20" s="2">
        <v>0</v>
      </c>
      <c r="H20" s="1">
        <v>4</v>
      </c>
      <c r="I20" s="3">
        <v>16</v>
      </c>
      <c r="J20" s="1">
        <v>15</v>
      </c>
      <c r="K20" s="1">
        <v>3</v>
      </c>
      <c r="L20" s="1">
        <v>0</v>
      </c>
      <c r="M20" s="1">
        <v>4</v>
      </c>
      <c r="N20" s="1">
        <v>22</v>
      </c>
      <c r="O20" s="1">
        <v>3</v>
      </c>
      <c r="P20" s="3">
        <v>2</v>
      </c>
      <c r="Q20" s="1">
        <v>14</v>
      </c>
      <c r="R20" s="2">
        <v>4</v>
      </c>
      <c r="S20" s="2">
        <v>1</v>
      </c>
      <c r="T20" s="2">
        <v>4</v>
      </c>
      <c r="U20" s="2">
        <v>0</v>
      </c>
      <c r="V20" s="2">
        <f t="shared" si="6"/>
        <v>46</v>
      </c>
      <c r="W20" s="2">
        <v>2</v>
      </c>
      <c r="X20" s="2">
        <v>0</v>
      </c>
      <c r="Y20" s="2">
        <v>0</v>
      </c>
      <c r="Z20" s="2">
        <f t="shared" si="0"/>
        <v>2</v>
      </c>
      <c r="AA20" s="2">
        <f t="shared" si="1"/>
        <v>48</v>
      </c>
      <c r="AB20" s="2">
        <v>3261</v>
      </c>
      <c r="AC20" s="20">
        <f t="shared" si="2"/>
        <v>1.47194112235511</v>
      </c>
      <c r="AD20" s="22" t="s">
        <v>49</v>
      </c>
      <c r="AE20" s="2">
        <v>125</v>
      </c>
      <c r="AF20" s="21">
        <f t="shared" si="3"/>
        <v>2.21379944802208</v>
      </c>
      <c r="AG20" s="4">
        <f t="shared" si="4"/>
        <v>1.41061024225698</v>
      </c>
      <c r="AH20" s="4">
        <f t="shared" si="5"/>
        <v>0.0613308800981294</v>
      </c>
    </row>
    <row r="21" spans="1:34">
      <c r="A21" s="2">
        <v>20260101</v>
      </c>
      <c r="B21" s="2" t="s">
        <v>81</v>
      </c>
      <c r="C21" s="2" t="s">
        <v>82</v>
      </c>
      <c r="D21" s="2">
        <v>3</v>
      </c>
      <c r="E21" s="2">
        <v>2</v>
      </c>
      <c r="F21" s="2">
        <v>16</v>
      </c>
      <c r="G21" s="2">
        <v>0</v>
      </c>
      <c r="H21" s="1">
        <v>1</v>
      </c>
      <c r="I21" s="3">
        <v>10</v>
      </c>
      <c r="J21" s="1">
        <v>12</v>
      </c>
      <c r="K21" s="1">
        <v>5</v>
      </c>
      <c r="L21" s="1">
        <v>0</v>
      </c>
      <c r="M21" s="1">
        <v>1</v>
      </c>
      <c r="N21" s="1">
        <v>15</v>
      </c>
      <c r="O21" s="1">
        <v>3</v>
      </c>
      <c r="P21" s="3">
        <v>3</v>
      </c>
      <c r="Q21" s="1">
        <v>6</v>
      </c>
      <c r="R21" s="2">
        <v>34</v>
      </c>
      <c r="S21" s="2">
        <v>3</v>
      </c>
      <c r="T21" s="2">
        <v>4</v>
      </c>
      <c r="U21" s="2">
        <v>0</v>
      </c>
      <c r="V21" s="2">
        <f t="shared" si="6"/>
        <v>30</v>
      </c>
      <c r="W21" s="2">
        <v>5</v>
      </c>
      <c r="X21" s="2">
        <v>1</v>
      </c>
      <c r="Y21" s="2">
        <v>0</v>
      </c>
      <c r="Z21" s="2">
        <f t="shared" si="0"/>
        <v>6</v>
      </c>
      <c r="AA21" s="2">
        <f t="shared" si="1"/>
        <v>36</v>
      </c>
      <c r="AB21" s="2">
        <v>2153</v>
      </c>
      <c r="AC21" s="20">
        <f t="shared" si="2"/>
        <v>1.67208546214584</v>
      </c>
      <c r="AD21" s="22" t="s">
        <v>83</v>
      </c>
      <c r="AE21" s="2">
        <v>125</v>
      </c>
      <c r="AF21" s="21">
        <f t="shared" si="3"/>
        <v>2.51481653506735</v>
      </c>
      <c r="AG21" s="4">
        <f t="shared" si="4"/>
        <v>1.3934045517882</v>
      </c>
      <c r="AH21" s="4">
        <f t="shared" si="5"/>
        <v>0.278680910357641</v>
      </c>
    </row>
    <row r="22" spans="1:34">
      <c r="A22" s="2">
        <v>20260102</v>
      </c>
      <c r="B22" s="2" t="s">
        <v>84</v>
      </c>
      <c r="C22" s="2" t="s">
        <v>85</v>
      </c>
      <c r="D22" s="2">
        <v>3</v>
      </c>
      <c r="E22" s="2">
        <v>4</v>
      </c>
      <c r="F22" s="2">
        <v>6</v>
      </c>
      <c r="G22" s="2">
        <v>6</v>
      </c>
      <c r="H22" s="1">
        <v>1</v>
      </c>
      <c r="I22" s="3">
        <v>10</v>
      </c>
      <c r="J22" s="1">
        <v>11</v>
      </c>
      <c r="K22" s="1">
        <v>7</v>
      </c>
      <c r="L22" s="1">
        <v>1</v>
      </c>
      <c r="M22" s="1">
        <v>2</v>
      </c>
      <c r="N22" s="1">
        <v>36</v>
      </c>
      <c r="O22" s="1">
        <v>10</v>
      </c>
      <c r="P22" s="3">
        <v>6</v>
      </c>
      <c r="Q22" s="1">
        <v>12</v>
      </c>
      <c r="R22" s="2">
        <v>17</v>
      </c>
      <c r="S22" s="2">
        <v>6</v>
      </c>
      <c r="T22" s="2">
        <v>9</v>
      </c>
      <c r="U22" s="2">
        <v>1</v>
      </c>
      <c r="V22" s="2">
        <f t="shared" si="6"/>
        <v>50</v>
      </c>
      <c r="W22" s="2">
        <v>3</v>
      </c>
      <c r="X22" s="2">
        <v>0</v>
      </c>
      <c r="Y22" s="2">
        <v>0</v>
      </c>
      <c r="Z22" s="2">
        <f t="shared" si="0"/>
        <v>4</v>
      </c>
      <c r="AA22" s="2">
        <f t="shared" si="1"/>
        <v>54</v>
      </c>
      <c r="AB22" s="2">
        <v>4210</v>
      </c>
      <c r="AC22" s="20">
        <f t="shared" si="2"/>
        <v>1.28266033254157</v>
      </c>
      <c r="AD22" s="22" t="s">
        <v>83</v>
      </c>
      <c r="AE22" s="2">
        <v>125</v>
      </c>
      <c r="AF22" s="21">
        <f t="shared" si="3"/>
        <v>1.92912114014252</v>
      </c>
      <c r="AG22" s="4">
        <f t="shared" si="4"/>
        <v>1.18764845605701</v>
      </c>
      <c r="AH22" s="4">
        <f t="shared" si="5"/>
        <v>0.0950118764845606</v>
      </c>
    </row>
    <row r="23" spans="1:34">
      <c r="A23" s="2">
        <v>20260102</v>
      </c>
      <c r="B23" s="2" t="s">
        <v>86</v>
      </c>
      <c r="C23" s="2" t="s">
        <v>87</v>
      </c>
      <c r="D23" s="2">
        <v>5</v>
      </c>
      <c r="E23" s="2">
        <v>4</v>
      </c>
      <c r="F23" s="2">
        <v>8</v>
      </c>
      <c r="G23" s="2">
        <v>6</v>
      </c>
      <c r="H23" s="1">
        <v>6</v>
      </c>
      <c r="I23" s="3">
        <v>15</v>
      </c>
      <c r="J23" s="1">
        <v>10</v>
      </c>
      <c r="K23" s="1">
        <v>8</v>
      </c>
      <c r="L23" s="1">
        <v>0</v>
      </c>
      <c r="M23" s="1">
        <v>5</v>
      </c>
      <c r="N23" s="1">
        <v>40</v>
      </c>
      <c r="O23" s="1">
        <v>9</v>
      </c>
      <c r="P23" s="3">
        <v>8</v>
      </c>
      <c r="Q23" s="1">
        <v>16</v>
      </c>
      <c r="R23" s="2">
        <v>21</v>
      </c>
      <c r="S23" s="2">
        <v>4</v>
      </c>
      <c r="T23" s="2">
        <v>5</v>
      </c>
      <c r="U23" s="2">
        <v>0</v>
      </c>
      <c r="V23" s="2">
        <f t="shared" si="6"/>
        <v>59</v>
      </c>
      <c r="W23" s="2">
        <v>0</v>
      </c>
      <c r="X23" s="2">
        <v>4</v>
      </c>
      <c r="Y23" s="2">
        <v>0</v>
      </c>
      <c r="Z23" s="2">
        <f t="shared" si="0"/>
        <v>4</v>
      </c>
      <c r="AA23" s="2">
        <f t="shared" si="1"/>
        <v>63</v>
      </c>
      <c r="AB23" s="2">
        <v>4210</v>
      </c>
      <c r="AC23" s="20">
        <f t="shared" si="2"/>
        <v>1.49643705463183</v>
      </c>
      <c r="AD23" s="22" t="s">
        <v>83</v>
      </c>
      <c r="AE23" s="2">
        <v>125</v>
      </c>
      <c r="AF23" s="21">
        <f t="shared" si="3"/>
        <v>2.25064133016627</v>
      </c>
      <c r="AG23" s="4">
        <f t="shared" si="4"/>
        <v>1.40142517814727</v>
      </c>
      <c r="AH23" s="4">
        <f t="shared" si="5"/>
        <v>0.0950118764845606</v>
      </c>
    </row>
    <row r="24" spans="1:34">
      <c r="A24" s="2">
        <v>20260102</v>
      </c>
      <c r="B24" s="2" t="s">
        <v>88</v>
      </c>
      <c r="C24" s="2" t="s">
        <v>89</v>
      </c>
      <c r="D24" s="2">
        <v>1</v>
      </c>
      <c r="E24" s="2">
        <v>7</v>
      </c>
      <c r="F24" s="2">
        <v>5</v>
      </c>
      <c r="G24" s="2">
        <v>5</v>
      </c>
      <c r="H24" s="1">
        <v>5</v>
      </c>
      <c r="I24" s="3">
        <v>19</v>
      </c>
      <c r="J24" s="1">
        <v>15</v>
      </c>
      <c r="K24" s="1">
        <v>9</v>
      </c>
      <c r="L24" s="1">
        <v>1</v>
      </c>
      <c r="M24" s="1">
        <v>8</v>
      </c>
      <c r="N24" s="1">
        <v>38</v>
      </c>
      <c r="O24" s="1">
        <v>8</v>
      </c>
      <c r="P24" s="3">
        <v>10</v>
      </c>
      <c r="Q24" s="1">
        <v>21</v>
      </c>
      <c r="R24" s="2">
        <v>27</v>
      </c>
      <c r="S24" s="2">
        <v>4</v>
      </c>
      <c r="T24" s="2">
        <v>4</v>
      </c>
      <c r="U24" s="2">
        <v>0</v>
      </c>
      <c r="V24" s="2">
        <f t="shared" si="6"/>
        <v>74</v>
      </c>
      <c r="W24" s="2">
        <v>2</v>
      </c>
      <c r="X24" s="2">
        <v>0</v>
      </c>
      <c r="Y24" s="2">
        <v>0</v>
      </c>
      <c r="Z24" s="2">
        <f t="shared" si="0"/>
        <v>2</v>
      </c>
      <c r="AA24" s="2">
        <f t="shared" si="1"/>
        <v>76</v>
      </c>
      <c r="AB24" s="2">
        <v>4210</v>
      </c>
      <c r="AC24" s="20">
        <f t="shared" si="2"/>
        <v>1.80522565320665</v>
      </c>
      <c r="AD24" s="22" t="s">
        <v>83</v>
      </c>
      <c r="AE24" s="2">
        <v>125</v>
      </c>
      <c r="AF24" s="21">
        <f t="shared" si="3"/>
        <v>2.7150593824228</v>
      </c>
      <c r="AG24" s="4">
        <f t="shared" si="4"/>
        <v>1.75771971496437</v>
      </c>
      <c r="AH24" s="4">
        <f t="shared" si="5"/>
        <v>0.0475059382422803</v>
      </c>
    </row>
    <row r="25" spans="1:34">
      <c r="A25" s="2">
        <v>20260102</v>
      </c>
      <c r="B25" s="2" t="s">
        <v>90</v>
      </c>
      <c r="C25" s="2" t="s">
        <v>91</v>
      </c>
      <c r="D25" s="2">
        <v>1</v>
      </c>
      <c r="E25" s="2">
        <v>1</v>
      </c>
      <c r="F25" s="2">
        <v>3</v>
      </c>
      <c r="G25" s="2">
        <v>2</v>
      </c>
      <c r="H25" s="1">
        <v>2</v>
      </c>
      <c r="I25" s="3">
        <v>17</v>
      </c>
      <c r="J25" s="1">
        <v>15</v>
      </c>
      <c r="K25" s="1">
        <v>9</v>
      </c>
      <c r="L25" s="1">
        <v>0</v>
      </c>
      <c r="M25" s="1">
        <v>10</v>
      </c>
      <c r="N25" s="1">
        <v>36</v>
      </c>
      <c r="O25" s="1">
        <v>5</v>
      </c>
      <c r="P25" s="3">
        <v>10</v>
      </c>
      <c r="Q25" s="1">
        <v>13</v>
      </c>
      <c r="R25" s="2">
        <v>17</v>
      </c>
      <c r="S25" s="2">
        <v>4</v>
      </c>
      <c r="T25" s="2">
        <v>5</v>
      </c>
      <c r="U25" s="2">
        <v>0</v>
      </c>
      <c r="V25" s="2">
        <f t="shared" si="6"/>
        <v>58</v>
      </c>
      <c r="W25" s="2">
        <v>8</v>
      </c>
      <c r="X25" s="2">
        <v>4</v>
      </c>
      <c r="Y25" s="2">
        <v>0</v>
      </c>
      <c r="Z25" s="2">
        <f t="shared" si="0"/>
        <v>12</v>
      </c>
      <c r="AA25" s="2">
        <f t="shared" si="1"/>
        <v>70</v>
      </c>
      <c r="AB25" s="2">
        <v>4210</v>
      </c>
      <c r="AC25" s="20">
        <f t="shared" si="2"/>
        <v>1.66270783847981</v>
      </c>
      <c r="AD25" s="22" t="s">
        <v>83</v>
      </c>
      <c r="AE25" s="2">
        <v>125</v>
      </c>
      <c r="AF25" s="21">
        <f t="shared" si="3"/>
        <v>2.50071258907363</v>
      </c>
      <c r="AG25" s="4">
        <f t="shared" si="4"/>
        <v>1.37767220902613</v>
      </c>
      <c r="AH25" s="4">
        <f t="shared" si="5"/>
        <v>0.285035629453682</v>
      </c>
    </row>
    <row r="26" spans="1:34">
      <c r="A26" s="2">
        <v>20260102</v>
      </c>
      <c r="B26" s="8" t="s">
        <v>92</v>
      </c>
      <c r="C26" s="2" t="s">
        <v>93</v>
      </c>
      <c r="D26" s="2">
        <v>2</v>
      </c>
      <c r="E26" s="2">
        <v>4</v>
      </c>
      <c r="F26" s="2">
        <v>3</v>
      </c>
      <c r="G26" s="2">
        <v>6</v>
      </c>
      <c r="H26" s="1">
        <v>6</v>
      </c>
      <c r="I26" s="3">
        <v>22</v>
      </c>
      <c r="J26" s="1">
        <v>12</v>
      </c>
      <c r="K26" s="1">
        <v>9</v>
      </c>
      <c r="L26" s="1">
        <v>0</v>
      </c>
      <c r="M26" s="1">
        <v>72</v>
      </c>
      <c r="N26" s="1">
        <v>45</v>
      </c>
      <c r="O26" s="1">
        <v>5</v>
      </c>
      <c r="P26" s="3">
        <v>8</v>
      </c>
      <c r="Q26" s="1">
        <v>18</v>
      </c>
      <c r="R26" s="2">
        <v>20</v>
      </c>
      <c r="S26" s="2">
        <v>4</v>
      </c>
      <c r="T26" s="2">
        <v>6</v>
      </c>
      <c r="U26" s="2">
        <v>0</v>
      </c>
      <c r="V26" s="2">
        <f t="shared" si="6"/>
        <v>133</v>
      </c>
      <c r="W26" s="2">
        <v>6</v>
      </c>
      <c r="X26" s="2">
        <v>2</v>
      </c>
      <c r="Y26" s="2">
        <v>0</v>
      </c>
      <c r="Z26" s="2">
        <f t="shared" si="0"/>
        <v>8</v>
      </c>
      <c r="AA26" s="2">
        <f t="shared" si="1"/>
        <v>141</v>
      </c>
      <c r="AB26" s="2">
        <v>4260</v>
      </c>
      <c r="AC26" s="20">
        <f t="shared" si="2"/>
        <v>3.30985915492958</v>
      </c>
      <c r="AD26" s="22" t="s">
        <v>83</v>
      </c>
      <c r="AE26" s="2">
        <v>125</v>
      </c>
      <c r="AF26" s="21">
        <f t="shared" si="3"/>
        <v>4.97802816901408</v>
      </c>
      <c r="AG26" s="4">
        <f t="shared" si="4"/>
        <v>3.12206572769953</v>
      </c>
      <c r="AH26" s="4">
        <f t="shared" si="5"/>
        <v>0.187793427230047</v>
      </c>
    </row>
    <row r="27" spans="1:34">
      <c r="A27" s="2">
        <v>20260102</v>
      </c>
      <c r="B27" s="8" t="s">
        <v>94</v>
      </c>
      <c r="C27" s="2" t="s">
        <v>95</v>
      </c>
      <c r="D27" s="2">
        <v>3</v>
      </c>
      <c r="E27" s="2">
        <v>4</v>
      </c>
      <c r="F27" s="2">
        <v>21</v>
      </c>
      <c r="G27" s="2">
        <v>12</v>
      </c>
      <c r="H27" s="1">
        <v>4</v>
      </c>
      <c r="I27" s="3">
        <v>13</v>
      </c>
      <c r="J27" s="1">
        <v>17</v>
      </c>
      <c r="K27" s="1">
        <v>8</v>
      </c>
      <c r="L27" s="1">
        <v>1</v>
      </c>
      <c r="M27" s="1">
        <v>1</v>
      </c>
      <c r="N27" s="1">
        <v>40</v>
      </c>
      <c r="O27" s="1">
        <v>8</v>
      </c>
      <c r="P27" s="3">
        <v>7</v>
      </c>
      <c r="Q27" s="1">
        <v>24</v>
      </c>
      <c r="R27" s="2">
        <v>24</v>
      </c>
      <c r="S27" s="2">
        <v>11</v>
      </c>
      <c r="T27" s="2">
        <v>3</v>
      </c>
      <c r="U27" s="2">
        <v>0</v>
      </c>
      <c r="V27" s="2">
        <f t="shared" si="6"/>
        <v>57</v>
      </c>
      <c r="W27" s="2">
        <v>7</v>
      </c>
      <c r="X27" s="2">
        <v>2</v>
      </c>
      <c r="Y27" s="2">
        <v>0</v>
      </c>
      <c r="Z27" s="2">
        <f t="shared" si="0"/>
        <v>9</v>
      </c>
      <c r="AA27" s="2">
        <f t="shared" si="1"/>
        <v>66</v>
      </c>
      <c r="AB27" s="2">
        <v>4210</v>
      </c>
      <c r="AC27" s="20">
        <f t="shared" si="2"/>
        <v>1.56769596199525</v>
      </c>
      <c r="AD27" s="22" t="s">
        <v>83</v>
      </c>
      <c r="AE27" s="2">
        <v>125</v>
      </c>
      <c r="AF27" s="21">
        <f t="shared" si="3"/>
        <v>2.35781472684085</v>
      </c>
      <c r="AG27" s="4">
        <f t="shared" si="4"/>
        <v>1.35391923990499</v>
      </c>
      <c r="AH27" s="4">
        <f t="shared" si="5"/>
        <v>0.213776722090261</v>
      </c>
    </row>
    <row r="28" spans="1:34">
      <c r="A28" s="2">
        <v>20260102</v>
      </c>
      <c r="B28" s="8" t="s">
        <v>96</v>
      </c>
      <c r="C28" s="2" t="s">
        <v>97</v>
      </c>
      <c r="D28" s="2">
        <v>4</v>
      </c>
      <c r="E28" s="2">
        <v>11</v>
      </c>
      <c r="F28" s="2">
        <v>12</v>
      </c>
      <c r="G28" s="2">
        <v>8</v>
      </c>
      <c r="H28" s="1">
        <v>6</v>
      </c>
      <c r="I28" s="3">
        <v>14</v>
      </c>
      <c r="J28" s="1">
        <v>14</v>
      </c>
      <c r="K28" s="1">
        <v>12</v>
      </c>
      <c r="L28" s="1">
        <v>0</v>
      </c>
      <c r="M28" s="1">
        <v>6</v>
      </c>
      <c r="N28" s="1">
        <v>52</v>
      </c>
      <c r="O28" s="1">
        <v>1</v>
      </c>
      <c r="P28" s="3">
        <v>10</v>
      </c>
      <c r="Q28" s="1">
        <v>17</v>
      </c>
      <c r="R28" s="2">
        <v>40</v>
      </c>
      <c r="S28" s="2">
        <v>4</v>
      </c>
      <c r="T28" s="2">
        <v>2</v>
      </c>
      <c r="U28" s="2">
        <v>0</v>
      </c>
      <c r="V28" s="2">
        <f t="shared" si="6"/>
        <v>59</v>
      </c>
      <c r="W28" s="2">
        <v>8</v>
      </c>
      <c r="X28" s="2">
        <v>5</v>
      </c>
      <c r="Y28" s="2">
        <v>0</v>
      </c>
      <c r="Z28" s="2">
        <f t="shared" si="0"/>
        <v>13</v>
      </c>
      <c r="AA28" s="2">
        <f t="shared" si="1"/>
        <v>72</v>
      </c>
      <c r="AB28" s="2">
        <v>4210</v>
      </c>
      <c r="AC28" s="20">
        <f t="shared" si="2"/>
        <v>1.71021377672209</v>
      </c>
      <c r="AD28" s="22" t="s">
        <v>83</v>
      </c>
      <c r="AE28" s="2">
        <v>125</v>
      </c>
      <c r="AF28" s="21">
        <f t="shared" si="3"/>
        <v>2.57216152019002</v>
      </c>
      <c r="AG28" s="4">
        <f t="shared" si="4"/>
        <v>1.40142517814727</v>
      </c>
      <c r="AH28" s="4">
        <f t="shared" si="5"/>
        <v>0.308788598574822</v>
      </c>
    </row>
    <row r="29" spans="1:34">
      <c r="A29" s="2">
        <v>20260102</v>
      </c>
      <c r="B29" s="8" t="s">
        <v>98</v>
      </c>
      <c r="C29" s="2" t="s">
        <v>99</v>
      </c>
      <c r="D29" s="2">
        <v>1</v>
      </c>
      <c r="E29" s="2">
        <v>8</v>
      </c>
      <c r="F29" s="2">
        <v>6</v>
      </c>
      <c r="G29" s="2">
        <v>2</v>
      </c>
      <c r="H29" s="1">
        <v>1</v>
      </c>
      <c r="I29" s="3">
        <v>11</v>
      </c>
      <c r="J29" s="1">
        <v>10</v>
      </c>
      <c r="K29" s="1">
        <v>0</v>
      </c>
      <c r="L29" s="1">
        <v>0</v>
      </c>
      <c r="M29" s="1">
        <v>2</v>
      </c>
      <c r="N29" s="1">
        <v>18</v>
      </c>
      <c r="O29" s="1">
        <v>3</v>
      </c>
      <c r="P29" s="3">
        <v>3</v>
      </c>
      <c r="Q29" s="1">
        <v>8</v>
      </c>
      <c r="R29" s="2">
        <v>18</v>
      </c>
      <c r="S29" s="2">
        <v>4</v>
      </c>
      <c r="T29" s="2">
        <v>0</v>
      </c>
      <c r="U29" s="2">
        <v>0</v>
      </c>
      <c r="V29" s="2">
        <f t="shared" si="6"/>
        <v>21</v>
      </c>
      <c r="W29" s="2">
        <v>1</v>
      </c>
      <c r="X29" s="2">
        <v>7</v>
      </c>
      <c r="Y29" s="2">
        <v>0</v>
      </c>
      <c r="Z29" s="2">
        <f t="shared" si="0"/>
        <v>8</v>
      </c>
      <c r="AA29" s="2">
        <f t="shared" si="1"/>
        <v>29</v>
      </c>
      <c r="AB29" s="2">
        <v>2703</v>
      </c>
      <c r="AC29" s="20">
        <f t="shared" si="2"/>
        <v>1.07288198298187</v>
      </c>
      <c r="AD29" s="22" t="s">
        <v>83</v>
      </c>
      <c r="AE29" s="2">
        <v>125</v>
      </c>
      <c r="AF29" s="21">
        <f t="shared" si="3"/>
        <v>1.61361450240474</v>
      </c>
      <c r="AG29" s="4">
        <f t="shared" si="4"/>
        <v>0.776914539400666</v>
      </c>
      <c r="AH29" s="4">
        <f t="shared" si="5"/>
        <v>0.295967443581206</v>
      </c>
    </row>
    <row r="30" spans="1:34">
      <c r="A30" s="2">
        <v>20260102</v>
      </c>
      <c r="B30" s="8" t="s">
        <v>100</v>
      </c>
      <c r="C30" s="2" t="s">
        <v>101</v>
      </c>
      <c r="D30" s="2">
        <v>0</v>
      </c>
      <c r="E30" s="2">
        <v>7</v>
      </c>
      <c r="F30" s="2">
        <v>6</v>
      </c>
      <c r="G30" s="2">
        <v>7</v>
      </c>
      <c r="H30" s="2">
        <v>20</v>
      </c>
      <c r="I30" s="3">
        <v>16</v>
      </c>
      <c r="J30" s="2">
        <v>55</v>
      </c>
      <c r="K30" s="2">
        <v>17</v>
      </c>
      <c r="L30" s="2">
        <v>4</v>
      </c>
      <c r="M30" s="2">
        <v>15</v>
      </c>
      <c r="N30" s="2">
        <v>44</v>
      </c>
      <c r="O30" s="2">
        <v>8</v>
      </c>
      <c r="P30" s="3">
        <v>3</v>
      </c>
      <c r="Q30" s="2">
        <v>21</v>
      </c>
      <c r="R30" s="2">
        <v>35</v>
      </c>
      <c r="S30" s="2">
        <v>10</v>
      </c>
      <c r="T30" s="2">
        <v>8</v>
      </c>
      <c r="U30" s="2">
        <v>0</v>
      </c>
      <c r="V30" s="2">
        <f t="shared" si="6"/>
        <v>139</v>
      </c>
      <c r="W30" s="2">
        <v>3</v>
      </c>
      <c r="X30" s="2">
        <v>3</v>
      </c>
      <c r="Y30" s="2">
        <v>0</v>
      </c>
      <c r="Z30" s="2">
        <f t="shared" si="0"/>
        <v>6</v>
      </c>
      <c r="AA30" s="2">
        <f t="shared" si="1"/>
        <v>145</v>
      </c>
      <c r="AB30" s="2">
        <v>4510</v>
      </c>
      <c r="AC30" s="20">
        <f t="shared" si="2"/>
        <v>3.21507760532151</v>
      </c>
      <c r="AD30" s="22" t="s">
        <v>83</v>
      </c>
      <c r="AE30" s="2">
        <v>125</v>
      </c>
      <c r="AF30" s="21">
        <f t="shared" si="3"/>
        <v>4.83547671840355</v>
      </c>
      <c r="AG30" s="4">
        <f t="shared" si="4"/>
        <v>3.0820399113082</v>
      </c>
      <c r="AH30" s="4">
        <f t="shared" si="5"/>
        <v>0.133037694013304</v>
      </c>
    </row>
    <row r="31" spans="1:34">
      <c r="A31" s="2">
        <v>20260102</v>
      </c>
      <c r="B31" s="8" t="s">
        <v>102</v>
      </c>
      <c r="C31" s="2" t="s">
        <v>103</v>
      </c>
      <c r="D31" s="2">
        <v>6</v>
      </c>
      <c r="E31" s="2">
        <v>4</v>
      </c>
      <c r="F31" s="2">
        <v>16</v>
      </c>
      <c r="G31" s="2">
        <v>5</v>
      </c>
      <c r="H31" s="2">
        <v>4</v>
      </c>
      <c r="I31" s="3">
        <v>18</v>
      </c>
      <c r="J31" s="2">
        <v>13</v>
      </c>
      <c r="K31" s="2">
        <v>6</v>
      </c>
      <c r="L31" s="2">
        <v>0</v>
      </c>
      <c r="M31" s="2">
        <v>5</v>
      </c>
      <c r="N31" s="2">
        <v>52</v>
      </c>
      <c r="O31" s="2">
        <v>7</v>
      </c>
      <c r="P31" s="3">
        <v>6</v>
      </c>
      <c r="Q31" s="2">
        <v>15</v>
      </c>
      <c r="R31" s="2">
        <v>29</v>
      </c>
      <c r="S31" s="2">
        <v>4</v>
      </c>
      <c r="T31" s="2">
        <v>7</v>
      </c>
      <c r="U31" s="2">
        <v>0</v>
      </c>
      <c r="V31" s="2">
        <f t="shared" si="6"/>
        <v>53</v>
      </c>
      <c r="W31" s="2">
        <v>5</v>
      </c>
      <c r="X31" s="2">
        <v>6</v>
      </c>
      <c r="Y31" s="2">
        <v>0</v>
      </c>
      <c r="Z31" s="2">
        <f t="shared" si="0"/>
        <v>11</v>
      </c>
      <c r="AA31" s="2">
        <f t="shared" si="1"/>
        <v>64</v>
      </c>
      <c r="AB31" s="2">
        <v>4223</v>
      </c>
      <c r="AC31" s="20">
        <f t="shared" si="2"/>
        <v>1.51551030073408</v>
      </c>
      <c r="AD31" s="22" t="s">
        <v>83</v>
      </c>
      <c r="AE31" s="2">
        <v>125</v>
      </c>
      <c r="AF31" s="21">
        <f t="shared" si="3"/>
        <v>2.27932749230405</v>
      </c>
      <c r="AG31" s="4">
        <f t="shared" si="4"/>
        <v>1.25503196779541</v>
      </c>
      <c r="AH31" s="4">
        <f t="shared" si="5"/>
        <v>0.260478332938669</v>
      </c>
    </row>
    <row r="32" spans="1:34">
      <c r="A32" s="2">
        <v>20260102</v>
      </c>
      <c r="B32" s="2" t="s">
        <v>104</v>
      </c>
      <c r="C32" s="2" t="s">
        <v>105</v>
      </c>
      <c r="D32" s="2">
        <v>2</v>
      </c>
      <c r="E32" s="2">
        <v>606</v>
      </c>
      <c r="F32" s="2">
        <v>21</v>
      </c>
      <c r="G32" s="2">
        <v>7</v>
      </c>
      <c r="H32" s="2">
        <v>3</v>
      </c>
      <c r="I32" s="3">
        <v>15</v>
      </c>
      <c r="J32" s="2">
        <v>28</v>
      </c>
      <c r="K32" s="2">
        <v>7</v>
      </c>
      <c r="L32" s="2">
        <v>0</v>
      </c>
      <c r="M32" s="2">
        <v>7</v>
      </c>
      <c r="N32" s="2">
        <v>19</v>
      </c>
      <c r="O32" s="2">
        <v>25</v>
      </c>
      <c r="P32" s="3">
        <v>22</v>
      </c>
      <c r="Q32" s="2">
        <v>9</v>
      </c>
      <c r="R32" s="2">
        <v>20</v>
      </c>
      <c r="S32" s="2">
        <v>12</v>
      </c>
      <c r="T32" s="2">
        <v>8</v>
      </c>
      <c r="U32" s="2">
        <v>0</v>
      </c>
      <c r="V32" s="2">
        <f t="shared" si="6"/>
        <v>88</v>
      </c>
      <c r="W32" s="2">
        <v>1</v>
      </c>
      <c r="X32" s="2">
        <v>8</v>
      </c>
      <c r="Y32" s="2">
        <v>0</v>
      </c>
      <c r="Z32" s="2">
        <f t="shared" si="0"/>
        <v>9</v>
      </c>
      <c r="AA32" s="2">
        <f t="shared" si="1"/>
        <v>97</v>
      </c>
      <c r="AB32" s="2">
        <v>2403</v>
      </c>
      <c r="AC32" s="20">
        <f t="shared" si="2"/>
        <v>4.03662089055347</v>
      </c>
      <c r="AD32" s="22" t="s">
        <v>106</v>
      </c>
      <c r="AE32" s="2">
        <v>188</v>
      </c>
      <c r="AF32" s="21">
        <f t="shared" si="3"/>
        <v>4.03662089055347</v>
      </c>
      <c r="AG32" s="4">
        <f t="shared" si="4"/>
        <v>3.66208905534748</v>
      </c>
      <c r="AH32" s="4">
        <f t="shared" si="5"/>
        <v>0.374531835205993</v>
      </c>
    </row>
    <row r="33" spans="1:34">
      <c r="A33" s="2">
        <v>20260102</v>
      </c>
      <c r="B33" s="2" t="s">
        <v>107</v>
      </c>
      <c r="C33" s="2" t="s">
        <v>108</v>
      </c>
      <c r="D33" s="2">
        <v>3</v>
      </c>
      <c r="E33" s="2">
        <v>3</v>
      </c>
      <c r="F33" s="2">
        <v>48</v>
      </c>
      <c r="G33" s="2">
        <v>23</v>
      </c>
      <c r="H33" s="2">
        <v>19</v>
      </c>
      <c r="I33" s="2">
        <v>19</v>
      </c>
      <c r="J33" s="3">
        <v>14</v>
      </c>
      <c r="K33" s="2">
        <v>22</v>
      </c>
      <c r="L33" s="2">
        <v>3</v>
      </c>
      <c r="M33" s="2">
        <v>6</v>
      </c>
      <c r="N33" s="2">
        <v>34</v>
      </c>
      <c r="O33" s="2">
        <v>64</v>
      </c>
      <c r="P33" s="2">
        <v>14</v>
      </c>
      <c r="Q33" s="3">
        <v>20</v>
      </c>
      <c r="R33" s="2">
        <v>35</v>
      </c>
      <c r="S33" s="2">
        <v>10</v>
      </c>
      <c r="T33" s="2">
        <v>17</v>
      </c>
      <c r="U33" s="2">
        <v>4</v>
      </c>
      <c r="V33" s="2">
        <f t="shared" si="6"/>
        <v>130</v>
      </c>
      <c r="W33" s="2">
        <v>0</v>
      </c>
      <c r="X33" s="2">
        <v>7</v>
      </c>
      <c r="Y33" s="2">
        <v>0</v>
      </c>
      <c r="Z33" s="2">
        <f t="shared" si="0"/>
        <v>11</v>
      </c>
      <c r="AA33" s="2">
        <f t="shared" si="1"/>
        <v>141</v>
      </c>
      <c r="AB33" s="2">
        <v>2463</v>
      </c>
      <c r="AC33" s="20">
        <f t="shared" si="2"/>
        <v>5.72472594397077</v>
      </c>
      <c r="AD33" s="22" t="s">
        <v>106</v>
      </c>
      <c r="AE33" s="2">
        <v>188</v>
      </c>
      <c r="AF33" s="21">
        <f t="shared" si="3"/>
        <v>5.72472594397077</v>
      </c>
      <c r="AG33" s="4">
        <f t="shared" si="4"/>
        <v>5.27811611855461</v>
      </c>
      <c r="AH33" s="4">
        <f t="shared" si="5"/>
        <v>0.446609825416159</v>
      </c>
    </row>
    <row r="34" spans="1:34">
      <c r="A34" s="2">
        <v>20260102</v>
      </c>
      <c r="B34" s="2" t="s">
        <v>109</v>
      </c>
      <c r="C34" s="2" t="s">
        <v>110</v>
      </c>
      <c r="D34" s="2">
        <v>25</v>
      </c>
      <c r="E34" s="2">
        <v>8</v>
      </c>
      <c r="F34" s="2">
        <v>62</v>
      </c>
      <c r="G34" s="2">
        <v>15</v>
      </c>
      <c r="H34" s="2">
        <v>16</v>
      </c>
      <c r="I34" s="3">
        <v>23</v>
      </c>
      <c r="J34" s="2">
        <v>21</v>
      </c>
      <c r="K34" s="2">
        <v>38</v>
      </c>
      <c r="L34" s="2">
        <v>1</v>
      </c>
      <c r="M34" s="2">
        <v>5</v>
      </c>
      <c r="N34" s="2">
        <v>79</v>
      </c>
      <c r="O34" s="2">
        <v>76</v>
      </c>
      <c r="P34" s="3">
        <v>19</v>
      </c>
      <c r="Q34" s="2">
        <v>22</v>
      </c>
      <c r="R34" s="2">
        <v>22</v>
      </c>
      <c r="S34" s="2">
        <v>5</v>
      </c>
      <c r="T34" s="2">
        <v>15</v>
      </c>
      <c r="U34" s="2">
        <v>0</v>
      </c>
      <c r="V34" s="2">
        <f t="shared" si="6"/>
        <v>134</v>
      </c>
      <c r="W34" s="2">
        <v>10</v>
      </c>
      <c r="X34" s="2">
        <v>9</v>
      </c>
      <c r="Y34" s="2">
        <v>0</v>
      </c>
      <c r="Z34" s="2">
        <f t="shared" si="0"/>
        <v>19</v>
      </c>
      <c r="AA34" s="2">
        <f t="shared" si="1"/>
        <v>153</v>
      </c>
      <c r="AB34" s="2">
        <v>2464</v>
      </c>
      <c r="AC34" s="20">
        <f t="shared" si="2"/>
        <v>6.20941558441559</v>
      </c>
      <c r="AD34" s="22" t="s">
        <v>106</v>
      </c>
      <c r="AE34" s="2">
        <v>188</v>
      </c>
      <c r="AF34" s="21">
        <f t="shared" si="3"/>
        <v>6.20941558441559</v>
      </c>
      <c r="AG34" s="4">
        <f t="shared" si="4"/>
        <v>5.43831168831169</v>
      </c>
      <c r="AH34" s="4">
        <f t="shared" si="5"/>
        <v>0.771103896103896</v>
      </c>
    </row>
    <row r="35" spans="1:34">
      <c r="A35" s="2">
        <v>20260102</v>
      </c>
      <c r="B35" s="2" t="s">
        <v>111</v>
      </c>
      <c r="C35" s="2" t="s">
        <v>112</v>
      </c>
      <c r="D35" s="2">
        <v>4</v>
      </c>
      <c r="E35" s="2">
        <v>9</v>
      </c>
      <c r="F35" s="2">
        <v>44</v>
      </c>
      <c r="G35" s="2">
        <v>8</v>
      </c>
      <c r="H35" s="2">
        <v>13</v>
      </c>
      <c r="I35" s="3">
        <v>25</v>
      </c>
      <c r="J35" s="2">
        <v>21</v>
      </c>
      <c r="K35" s="2">
        <v>4</v>
      </c>
      <c r="L35" s="2">
        <v>0</v>
      </c>
      <c r="M35" s="2">
        <v>3</v>
      </c>
      <c r="N35" s="2">
        <v>79</v>
      </c>
      <c r="O35" s="2">
        <v>52</v>
      </c>
      <c r="P35" s="3">
        <v>9</v>
      </c>
      <c r="Q35" s="2">
        <v>20</v>
      </c>
      <c r="R35" s="2">
        <v>25</v>
      </c>
      <c r="S35" s="2">
        <v>9</v>
      </c>
      <c r="T35" s="2">
        <v>10</v>
      </c>
      <c r="U35" s="2">
        <v>0</v>
      </c>
      <c r="V35" s="2">
        <f t="shared" si="6"/>
        <v>89</v>
      </c>
      <c r="W35" s="2">
        <v>1</v>
      </c>
      <c r="X35" s="2">
        <v>3</v>
      </c>
      <c r="Y35" s="2">
        <v>0</v>
      </c>
      <c r="Z35" s="2">
        <f t="shared" si="0"/>
        <v>4</v>
      </c>
      <c r="AA35" s="2">
        <f t="shared" si="1"/>
        <v>93</v>
      </c>
      <c r="AB35" s="2">
        <v>2662</v>
      </c>
      <c r="AC35" s="20">
        <f t="shared" si="2"/>
        <v>3.49361382419234</v>
      </c>
      <c r="AD35" s="22" t="s">
        <v>106</v>
      </c>
      <c r="AE35" s="2">
        <v>188</v>
      </c>
      <c r="AF35" s="21">
        <f t="shared" si="3"/>
        <v>3.49361382419234</v>
      </c>
      <c r="AG35" s="4">
        <f t="shared" si="4"/>
        <v>3.34335086401202</v>
      </c>
      <c r="AH35" s="4">
        <f t="shared" si="5"/>
        <v>0.150262960180316</v>
      </c>
    </row>
    <row r="36" spans="1:34">
      <c r="A36" s="2">
        <v>20260102</v>
      </c>
      <c r="B36" s="2" t="s">
        <v>113</v>
      </c>
      <c r="C36" s="2" t="s">
        <v>114</v>
      </c>
      <c r="D36" s="2">
        <v>6</v>
      </c>
      <c r="E36" s="2">
        <v>4</v>
      </c>
      <c r="F36" s="2">
        <v>15</v>
      </c>
      <c r="G36" s="2">
        <v>18</v>
      </c>
      <c r="H36" s="2">
        <v>10</v>
      </c>
      <c r="I36" s="3">
        <v>11</v>
      </c>
      <c r="J36" s="2">
        <v>18</v>
      </c>
      <c r="K36" s="2">
        <v>4</v>
      </c>
      <c r="L36" s="2">
        <v>1</v>
      </c>
      <c r="M36" s="2">
        <v>1</v>
      </c>
      <c r="N36" s="2">
        <v>4</v>
      </c>
      <c r="O36" s="2">
        <v>28</v>
      </c>
      <c r="P36" s="3">
        <v>9</v>
      </c>
      <c r="Q36" s="2">
        <v>13</v>
      </c>
      <c r="R36" s="2">
        <v>19</v>
      </c>
      <c r="S36" s="2">
        <v>9</v>
      </c>
      <c r="T36" s="2">
        <v>8</v>
      </c>
      <c r="U36" s="2">
        <v>0</v>
      </c>
      <c r="V36" s="2">
        <f t="shared" si="6"/>
        <v>73</v>
      </c>
      <c r="W36" s="2">
        <v>3</v>
      </c>
      <c r="X36" s="2">
        <v>4</v>
      </c>
      <c r="Y36" s="2">
        <v>0</v>
      </c>
      <c r="Z36" s="2">
        <f t="shared" si="0"/>
        <v>7</v>
      </c>
      <c r="AA36" s="2">
        <f t="shared" si="1"/>
        <v>80</v>
      </c>
      <c r="AB36" s="2">
        <v>2467</v>
      </c>
      <c r="AC36" s="20">
        <f t="shared" si="2"/>
        <v>3.24280502634779</v>
      </c>
      <c r="AD36" s="22" t="s">
        <v>106</v>
      </c>
      <c r="AE36" s="2">
        <v>188</v>
      </c>
      <c r="AF36" s="21">
        <f t="shared" si="3"/>
        <v>3.24280502634779</v>
      </c>
      <c r="AG36" s="4">
        <f t="shared" si="4"/>
        <v>2.95905958654236</v>
      </c>
      <c r="AH36" s="4">
        <f t="shared" si="5"/>
        <v>0.283745439805432</v>
      </c>
    </row>
    <row r="37" spans="1:34">
      <c r="A37" s="2">
        <v>20260103</v>
      </c>
      <c r="B37" s="2" t="s">
        <v>115</v>
      </c>
      <c r="C37" s="2" t="s">
        <v>116</v>
      </c>
      <c r="D37" s="2">
        <v>5</v>
      </c>
      <c r="E37" s="2">
        <v>1</v>
      </c>
      <c r="F37" s="2">
        <v>10</v>
      </c>
      <c r="G37" s="2">
        <v>8</v>
      </c>
      <c r="H37" s="2">
        <v>4</v>
      </c>
      <c r="I37" s="3">
        <v>15</v>
      </c>
      <c r="J37" s="2">
        <v>24</v>
      </c>
      <c r="K37" s="2">
        <v>0</v>
      </c>
      <c r="L37" s="2">
        <v>1</v>
      </c>
      <c r="M37" s="2">
        <v>6</v>
      </c>
      <c r="N37" s="2">
        <v>8</v>
      </c>
      <c r="O37" s="2">
        <v>44</v>
      </c>
      <c r="P37" s="3">
        <v>3</v>
      </c>
      <c r="Q37" s="2">
        <v>7</v>
      </c>
      <c r="R37" s="2">
        <v>4</v>
      </c>
      <c r="S37" s="2">
        <v>6</v>
      </c>
      <c r="T37" s="2">
        <v>1</v>
      </c>
      <c r="U37" s="2">
        <v>0</v>
      </c>
      <c r="V37" s="2">
        <f t="shared" si="6"/>
        <v>44</v>
      </c>
      <c r="W37" s="2">
        <v>4</v>
      </c>
      <c r="X37" s="2">
        <v>14</v>
      </c>
      <c r="Y37" s="2">
        <v>0</v>
      </c>
      <c r="Z37" s="2">
        <v>0</v>
      </c>
      <c r="AA37" s="2">
        <f t="shared" si="1"/>
        <v>62</v>
      </c>
      <c r="AB37" s="2">
        <v>2269</v>
      </c>
      <c r="AC37" s="20">
        <f t="shared" si="2"/>
        <v>2.73248126928162</v>
      </c>
      <c r="AD37" s="22" t="s">
        <v>106</v>
      </c>
      <c r="AE37" s="2">
        <v>188</v>
      </c>
      <c r="AF37" s="21">
        <f t="shared" si="3"/>
        <v>2.73248126928162</v>
      </c>
      <c r="AG37" s="4">
        <f t="shared" si="4"/>
        <v>1.93918025561922</v>
      </c>
      <c r="AH37" s="4">
        <f t="shared" si="5"/>
        <v>0</v>
      </c>
    </row>
    <row r="38" spans="1:34">
      <c r="A38" s="2">
        <v>20260103</v>
      </c>
      <c r="B38" s="2" t="s">
        <v>117</v>
      </c>
      <c r="C38" s="2" t="s">
        <v>118</v>
      </c>
      <c r="D38" s="2">
        <v>6</v>
      </c>
      <c r="E38" s="2">
        <v>481</v>
      </c>
      <c r="F38" s="2">
        <v>21</v>
      </c>
      <c r="G38" s="2">
        <v>7</v>
      </c>
      <c r="H38" s="2">
        <v>9</v>
      </c>
      <c r="I38" s="3">
        <v>4</v>
      </c>
      <c r="J38" s="2">
        <v>19</v>
      </c>
      <c r="K38" s="2">
        <v>2</v>
      </c>
      <c r="L38" s="2">
        <v>1</v>
      </c>
      <c r="M38" s="2">
        <v>1</v>
      </c>
      <c r="N38" s="2">
        <v>17</v>
      </c>
      <c r="O38" s="2">
        <v>40</v>
      </c>
      <c r="P38" s="3">
        <v>0</v>
      </c>
      <c r="Q38" s="2">
        <v>13</v>
      </c>
      <c r="R38" s="2">
        <v>14</v>
      </c>
      <c r="S38" s="2">
        <v>7</v>
      </c>
      <c r="T38" s="2">
        <v>2</v>
      </c>
      <c r="U38" s="2">
        <v>1</v>
      </c>
      <c r="V38" s="2">
        <f t="shared" si="6"/>
        <v>29</v>
      </c>
      <c r="W38" s="2">
        <v>14</v>
      </c>
      <c r="X38" s="2">
        <v>2</v>
      </c>
      <c r="Y38" s="2">
        <v>0</v>
      </c>
      <c r="Z38" s="2">
        <f t="shared" ref="Z38:Z101" si="7">Y38+X38+W38+U38</f>
        <v>17</v>
      </c>
      <c r="AA38" s="2">
        <f t="shared" si="1"/>
        <v>46</v>
      </c>
      <c r="AB38" s="2">
        <v>1541</v>
      </c>
      <c r="AC38" s="20">
        <f t="shared" si="2"/>
        <v>2.98507462686567</v>
      </c>
      <c r="AD38" s="22" t="s">
        <v>106</v>
      </c>
      <c r="AE38" s="2">
        <v>188</v>
      </c>
      <c r="AF38" s="21">
        <f t="shared" si="3"/>
        <v>2.98507462686567</v>
      </c>
      <c r="AG38" s="4">
        <f t="shared" si="4"/>
        <v>1.88189487345879</v>
      </c>
      <c r="AH38" s="4">
        <f t="shared" si="5"/>
        <v>1.10317975340688</v>
      </c>
    </row>
    <row r="39" spans="1:34">
      <c r="A39" s="2">
        <v>20260103</v>
      </c>
      <c r="B39" s="2" t="s">
        <v>119</v>
      </c>
      <c r="C39" s="2" t="s">
        <v>120</v>
      </c>
      <c r="D39" s="2">
        <v>8</v>
      </c>
      <c r="E39" s="2">
        <v>13</v>
      </c>
      <c r="F39" s="2">
        <v>34</v>
      </c>
      <c r="G39" s="2">
        <v>9</v>
      </c>
      <c r="H39" s="2">
        <v>4</v>
      </c>
      <c r="I39" s="3">
        <v>15</v>
      </c>
      <c r="J39" s="2">
        <v>24</v>
      </c>
      <c r="K39" s="2">
        <v>2</v>
      </c>
      <c r="L39" s="2">
        <v>2</v>
      </c>
      <c r="M39" s="2">
        <v>12</v>
      </c>
      <c r="N39" s="2">
        <v>82</v>
      </c>
      <c r="O39" s="2">
        <v>36</v>
      </c>
      <c r="P39" s="3">
        <v>6</v>
      </c>
      <c r="Q39" s="2">
        <v>19</v>
      </c>
      <c r="R39" s="2">
        <v>39</v>
      </c>
      <c r="S39" s="2">
        <v>6</v>
      </c>
      <c r="T39" s="2">
        <v>1</v>
      </c>
      <c r="U39" s="2">
        <v>0</v>
      </c>
      <c r="V39" s="2">
        <f t="shared" si="6"/>
        <v>41</v>
      </c>
      <c r="W39" s="2">
        <v>30</v>
      </c>
      <c r="X39" s="2">
        <v>4</v>
      </c>
      <c r="Y39" s="2">
        <v>0</v>
      </c>
      <c r="Z39" s="2">
        <f t="shared" si="7"/>
        <v>34</v>
      </c>
      <c r="AA39" s="2">
        <f t="shared" si="1"/>
        <v>75</v>
      </c>
      <c r="AB39" s="2">
        <v>2264</v>
      </c>
      <c r="AC39" s="20">
        <f t="shared" si="2"/>
        <v>3.31272084805654</v>
      </c>
      <c r="AD39" s="22" t="s">
        <v>106</v>
      </c>
      <c r="AE39" s="2">
        <v>188</v>
      </c>
      <c r="AF39" s="21">
        <f t="shared" si="3"/>
        <v>3.31272084805654</v>
      </c>
      <c r="AG39" s="4">
        <f t="shared" si="4"/>
        <v>1.81095406360424</v>
      </c>
      <c r="AH39" s="4">
        <f t="shared" si="5"/>
        <v>1.5017667844523</v>
      </c>
    </row>
    <row r="40" spans="1:34">
      <c r="A40" s="2">
        <v>20260103</v>
      </c>
      <c r="B40" s="2" t="s">
        <v>121</v>
      </c>
      <c r="C40" s="2" t="s">
        <v>122</v>
      </c>
      <c r="D40" s="2">
        <v>10</v>
      </c>
      <c r="E40" s="2">
        <v>2</v>
      </c>
      <c r="F40" s="2">
        <v>18</v>
      </c>
      <c r="G40" s="2">
        <v>3</v>
      </c>
      <c r="H40" s="2">
        <v>2</v>
      </c>
      <c r="I40" s="3">
        <v>14</v>
      </c>
      <c r="J40" s="2">
        <v>7</v>
      </c>
      <c r="K40" s="2">
        <v>3</v>
      </c>
      <c r="L40" s="2">
        <v>0</v>
      </c>
      <c r="M40" s="2">
        <v>15</v>
      </c>
      <c r="N40" s="2">
        <v>27</v>
      </c>
      <c r="O40" s="2">
        <v>33</v>
      </c>
      <c r="P40" s="3">
        <v>4</v>
      </c>
      <c r="Q40" s="2">
        <v>12</v>
      </c>
      <c r="R40" s="2">
        <v>23</v>
      </c>
      <c r="S40" s="2">
        <v>6</v>
      </c>
      <c r="T40" s="2">
        <v>0</v>
      </c>
      <c r="U40" s="2">
        <v>0</v>
      </c>
      <c r="V40" s="2">
        <f t="shared" si="6"/>
        <v>35</v>
      </c>
      <c r="W40" s="2">
        <v>9</v>
      </c>
      <c r="X40" s="2">
        <v>4</v>
      </c>
      <c r="Y40" s="2">
        <v>0</v>
      </c>
      <c r="Z40" s="2">
        <f t="shared" si="7"/>
        <v>13</v>
      </c>
      <c r="AA40" s="2">
        <f t="shared" si="1"/>
        <v>48</v>
      </c>
      <c r="AB40" s="2">
        <v>2354</v>
      </c>
      <c r="AC40" s="20">
        <f t="shared" si="2"/>
        <v>2.03908241291419</v>
      </c>
      <c r="AD40" s="22" t="s">
        <v>106</v>
      </c>
      <c r="AE40" s="2">
        <v>188</v>
      </c>
      <c r="AF40" s="21">
        <f t="shared" si="3"/>
        <v>2.03908241291419</v>
      </c>
      <c r="AG40" s="4">
        <f t="shared" si="4"/>
        <v>1.48683092608326</v>
      </c>
      <c r="AH40" s="4">
        <f t="shared" si="5"/>
        <v>0.552251486830926</v>
      </c>
    </row>
    <row r="41" spans="1:34">
      <c r="A41" s="2">
        <v>20260103</v>
      </c>
      <c r="B41" s="2" t="s">
        <v>123</v>
      </c>
      <c r="C41" s="2" t="s">
        <v>124</v>
      </c>
      <c r="D41" s="2">
        <v>24</v>
      </c>
      <c r="E41" s="2">
        <v>11</v>
      </c>
      <c r="F41" s="2">
        <v>26</v>
      </c>
      <c r="G41" s="2">
        <v>6</v>
      </c>
      <c r="H41" s="2">
        <v>13</v>
      </c>
      <c r="I41" s="3">
        <v>23</v>
      </c>
      <c r="J41" s="2">
        <v>22</v>
      </c>
      <c r="K41" s="2">
        <v>7</v>
      </c>
      <c r="L41" s="2">
        <v>0</v>
      </c>
      <c r="M41" s="2">
        <v>12</v>
      </c>
      <c r="N41" s="2">
        <v>39</v>
      </c>
      <c r="O41" s="2">
        <v>58</v>
      </c>
      <c r="P41" s="3">
        <v>12</v>
      </c>
      <c r="Q41" s="2">
        <v>26</v>
      </c>
      <c r="R41" s="2">
        <v>17</v>
      </c>
      <c r="S41" s="2">
        <v>5</v>
      </c>
      <c r="T41" s="2">
        <v>5</v>
      </c>
      <c r="U41" s="2">
        <v>0</v>
      </c>
      <c r="V41" s="2">
        <f t="shared" si="6"/>
        <v>90</v>
      </c>
      <c r="W41" s="2">
        <v>4</v>
      </c>
      <c r="X41" s="2">
        <v>6</v>
      </c>
      <c r="Y41" s="2">
        <v>0</v>
      </c>
      <c r="Z41" s="2">
        <f t="shared" si="7"/>
        <v>10</v>
      </c>
      <c r="AA41" s="2">
        <f t="shared" si="1"/>
        <v>100</v>
      </c>
      <c r="AB41" s="2">
        <v>2463</v>
      </c>
      <c r="AC41" s="20">
        <f t="shared" si="2"/>
        <v>4.06008932196508</v>
      </c>
      <c r="AD41" s="22" t="s">
        <v>106</v>
      </c>
      <c r="AE41" s="2">
        <v>188</v>
      </c>
      <c r="AF41" s="21">
        <f t="shared" si="3"/>
        <v>4.06008932196508</v>
      </c>
      <c r="AG41" s="4">
        <f t="shared" si="4"/>
        <v>3.65408038976857</v>
      </c>
      <c r="AH41" s="4">
        <f t="shared" si="5"/>
        <v>0.406008932196508</v>
      </c>
    </row>
    <row r="42" spans="1:34">
      <c r="A42" s="2">
        <v>20260103</v>
      </c>
      <c r="B42" s="2" t="s">
        <v>125</v>
      </c>
      <c r="C42" s="2" t="s">
        <v>126</v>
      </c>
      <c r="D42" s="2">
        <v>18</v>
      </c>
      <c r="E42" s="2">
        <v>5</v>
      </c>
      <c r="F42" s="2">
        <v>45</v>
      </c>
      <c r="G42" s="2">
        <v>4</v>
      </c>
      <c r="H42" s="2">
        <v>5</v>
      </c>
      <c r="I42" s="3">
        <v>28</v>
      </c>
      <c r="J42" s="2">
        <v>12</v>
      </c>
      <c r="K42" s="2">
        <v>7</v>
      </c>
      <c r="L42" s="2">
        <v>0</v>
      </c>
      <c r="M42" s="2">
        <v>21</v>
      </c>
      <c r="N42" s="2">
        <v>15</v>
      </c>
      <c r="O42" s="2">
        <v>57</v>
      </c>
      <c r="P42" s="3">
        <v>9</v>
      </c>
      <c r="Q42" s="2">
        <v>24</v>
      </c>
      <c r="R42" s="2">
        <v>47</v>
      </c>
      <c r="S42" s="2">
        <v>5</v>
      </c>
      <c r="T42" s="2">
        <v>1</v>
      </c>
      <c r="U42" s="2">
        <v>0</v>
      </c>
      <c r="V42" s="2">
        <f t="shared" si="6"/>
        <v>70</v>
      </c>
      <c r="W42" s="2">
        <v>2</v>
      </c>
      <c r="X42" s="2">
        <v>15</v>
      </c>
      <c r="Y42" s="2">
        <v>0</v>
      </c>
      <c r="Z42" s="2">
        <f t="shared" si="7"/>
        <v>17</v>
      </c>
      <c r="AA42" s="2">
        <f t="shared" si="1"/>
        <v>87</v>
      </c>
      <c r="AB42" s="2">
        <v>3533</v>
      </c>
      <c r="AC42" s="20">
        <f t="shared" si="2"/>
        <v>2.46249646193037</v>
      </c>
      <c r="AD42" s="22" t="s">
        <v>106</v>
      </c>
      <c r="AE42" s="2">
        <v>188</v>
      </c>
      <c r="AF42" s="21">
        <f t="shared" si="3"/>
        <v>2.46249646193037</v>
      </c>
      <c r="AG42" s="4">
        <f t="shared" si="4"/>
        <v>1.98131899235777</v>
      </c>
      <c r="AH42" s="4">
        <f t="shared" si="5"/>
        <v>0.481177469572601</v>
      </c>
    </row>
    <row r="43" spans="1:34">
      <c r="A43" s="2">
        <v>20260103</v>
      </c>
      <c r="B43" s="2" t="s">
        <v>127</v>
      </c>
      <c r="C43" s="2" t="s">
        <v>128</v>
      </c>
      <c r="D43" s="2">
        <v>2</v>
      </c>
      <c r="E43" s="2">
        <v>1</v>
      </c>
      <c r="F43" s="2">
        <v>8</v>
      </c>
      <c r="G43" s="2">
        <v>13</v>
      </c>
      <c r="H43" s="2">
        <v>6</v>
      </c>
      <c r="I43" s="3">
        <v>10</v>
      </c>
      <c r="J43" s="2">
        <v>8</v>
      </c>
      <c r="K43" s="2">
        <v>3</v>
      </c>
      <c r="L43" s="2">
        <v>0</v>
      </c>
      <c r="M43" s="2">
        <v>2</v>
      </c>
      <c r="N43" s="2">
        <v>12</v>
      </c>
      <c r="O43" s="2">
        <v>2</v>
      </c>
      <c r="P43" s="3">
        <v>11</v>
      </c>
      <c r="Q43" s="2">
        <v>3</v>
      </c>
      <c r="R43" s="2">
        <v>20</v>
      </c>
      <c r="S43" s="2">
        <v>17</v>
      </c>
      <c r="T43" s="2">
        <v>43</v>
      </c>
      <c r="U43" s="2">
        <v>0</v>
      </c>
      <c r="V43" s="2">
        <f t="shared" si="6"/>
        <v>96</v>
      </c>
      <c r="W43" s="2">
        <v>0</v>
      </c>
      <c r="X43" s="2">
        <v>0</v>
      </c>
      <c r="Y43" s="2">
        <v>0</v>
      </c>
      <c r="Z43" s="2">
        <f t="shared" si="7"/>
        <v>0</v>
      </c>
      <c r="AA43" s="2">
        <f t="shared" si="1"/>
        <v>96</v>
      </c>
      <c r="AB43" s="2">
        <v>2154</v>
      </c>
      <c r="AC43" s="20">
        <f t="shared" si="2"/>
        <v>4.45682451253482</v>
      </c>
      <c r="AD43" s="22" t="s">
        <v>83</v>
      </c>
      <c r="AE43" s="2">
        <v>125</v>
      </c>
      <c r="AF43" s="21">
        <f t="shared" si="3"/>
        <v>6.70306406685237</v>
      </c>
      <c r="AG43" s="4">
        <f t="shared" si="4"/>
        <v>4.45682451253482</v>
      </c>
      <c r="AH43" s="4">
        <f t="shared" si="5"/>
        <v>0</v>
      </c>
    </row>
    <row r="44" spans="1:34">
      <c r="A44" s="2">
        <v>20260103</v>
      </c>
      <c r="B44" s="2" t="s">
        <v>129</v>
      </c>
      <c r="C44" s="2" t="s">
        <v>130</v>
      </c>
      <c r="D44" s="2">
        <v>3</v>
      </c>
      <c r="E44" s="2">
        <v>0</v>
      </c>
      <c r="F44" s="2">
        <v>11</v>
      </c>
      <c r="G44" s="2">
        <v>28</v>
      </c>
      <c r="H44" s="2">
        <v>223</v>
      </c>
      <c r="I44" s="3">
        <v>28</v>
      </c>
      <c r="J44" s="2">
        <v>17</v>
      </c>
      <c r="K44" s="2">
        <v>6</v>
      </c>
      <c r="L44" s="2">
        <v>0</v>
      </c>
      <c r="M44" s="2">
        <v>5</v>
      </c>
      <c r="N44" s="2">
        <v>34</v>
      </c>
      <c r="O44" s="2">
        <v>10</v>
      </c>
      <c r="P44" s="3">
        <v>28</v>
      </c>
      <c r="Q44" s="2">
        <v>21</v>
      </c>
      <c r="R44" s="2">
        <v>21</v>
      </c>
      <c r="S44" s="2">
        <v>15</v>
      </c>
      <c r="T44" s="2">
        <v>66</v>
      </c>
      <c r="U44" s="2">
        <v>0</v>
      </c>
      <c r="V44" s="2">
        <f t="shared" si="6"/>
        <v>388</v>
      </c>
      <c r="W44" s="2">
        <v>1</v>
      </c>
      <c r="X44" s="2">
        <v>12</v>
      </c>
      <c r="Y44" s="2">
        <v>0</v>
      </c>
      <c r="Z44" s="2">
        <f t="shared" si="7"/>
        <v>13</v>
      </c>
      <c r="AA44" s="2">
        <f t="shared" si="1"/>
        <v>401</v>
      </c>
      <c r="AB44" s="2">
        <v>4210</v>
      </c>
      <c r="AC44" s="20">
        <f t="shared" si="2"/>
        <v>9.5249406175772</v>
      </c>
      <c r="AD44" s="22" t="s">
        <v>83</v>
      </c>
      <c r="AE44" s="2">
        <v>125</v>
      </c>
      <c r="AF44" s="21">
        <f t="shared" si="3"/>
        <v>14.3255106888361</v>
      </c>
      <c r="AG44" s="4">
        <f t="shared" si="4"/>
        <v>9.21615201900238</v>
      </c>
      <c r="AH44" s="4">
        <f t="shared" si="5"/>
        <v>0.308788598574822</v>
      </c>
    </row>
    <row r="45" spans="1:34">
      <c r="A45" s="2">
        <v>20260103</v>
      </c>
      <c r="B45" s="2" t="s">
        <v>131</v>
      </c>
      <c r="C45" s="2" t="s">
        <v>132</v>
      </c>
      <c r="D45" s="2">
        <v>2</v>
      </c>
      <c r="E45" s="2">
        <v>60</v>
      </c>
      <c r="F45" s="2">
        <v>10</v>
      </c>
      <c r="G45" s="2">
        <v>3</v>
      </c>
      <c r="H45" s="2">
        <v>13</v>
      </c>
      <c r="I45" s="3">
        <v>18</v>
      </c>
      <c r="J45" s="2">
        <v>13</v>
      </c>
      <c r="K45" s="2">
        <v>1</v>
      </c>
      <c r="L45" s="2">
        <v>0</v>
      </c>
      <c r="M45" s="2">
        <v>3</v>
      </c>
      <c r="N45" s="2">
        <v>16</v>
      </c>
      <c r="O45" s="2">
        <v>60</v>
      </c>
      <c r="P45" s="3">
        <v>12</v>
      </c>
      <c r="Q45" s="2">
        <v>9</v>
      </c>
      <c r="R45" s="2">
        <v>50</v>
      </c>
      <c r="S45" s="2">
        <v>10</v>
      </c>
      <c r="T45" s="2">
        <v>18</v>
      </c>
      <c r="U45" s="2">
        <v>0</v>
      </c>
      <c r="V45" s="2">
        <f t="shared" si="6"/>
        <v>81</v>
      </c>
      <c r="W45" s="2">
        <v>0</v>
      </c>
      <c r="X45" s="2">
        <v>0</v>
      </c>
      <c r="Y45" s="2">
        <v>0</v>
      </c>
      <c r="Z45" s="2">
        <f t="shared" si="7"/>
        <v>0</v>
      </c>
      <c r="AA45" s="2">
        <f t="shared" si="1"/>
        <v>81</v>
      </c>
      <c r="AB45" s="2">
        <v>2414</v>
      </c>
      <c r="AC45" s="20">
        <f t="shared" si="2"/>
        <v>3.35542667771334</v>
      </c>
      <c r="AD45" s="22" t="s">
        <v>83</v>
      </c>
      <c r="AE45" s="2">
        <v>125</v>
      </c>
      <c r="AF45" s="21">
        <f t="shared" si="3"/>
        <v>5.04656172328086</v>
      </c>
      <c r="AG45" s="4">
        <f t="shared" si="4"/>
        <v>3.35542667771334</v>
      </c>
      <c r="AH45" s="4">
        <f t="shared" si="5"/>
        <v>0</v>
      </c>
    </row>
    <row r="46" spans="1:34">
      <c r="A46" s="2">
        <v>20260103</v>
      </c>
      <c r="B46" s="2" t="s">
        <v>133</v>
      </c>
      <c r="C46" s="2" t="s">
        <v>134</v>
      </c>
      <c r="D46" s="2">
        <v>4</v>
      </c>
      <c r="E46" s="2">
        <v>1</v>
      </c>
      <c r="F46" s="2">
        <v>9</v>
      </c>
      <c r="G46" s="2">
        <v>12</v>
      </c>
      <c r="H46" s="2">
        <v>9</v>
      </c>
      <c r="I46" s="3">
        <v>35</v>
      </c>
      <c r="J46" s="2">
        <v>13</v>
      </c>
      <c r="K46" s="2">
        <v>2</v>
      </c>
      <c r="L46" s="2">
        <v>1</v>
      </c>
      <c r="M46" s="2">
        <v>8</v>
      </c>
      <c r="N46" s="2">
        <v>22</v>
      </c>
      <c r="O46" s="2">
        <v>7</v>
      </c>
      <c r="P46" s="3">
        <v>16</v>
      </c>
      <c r="Q46" s="2">
        <v>9</v>
      </c>
      <c r="R46" s="2">
        <v>30</v>
      </c>
      <c r="S46" s="2">
        <v>14</v>
      </c>
      <c r="T46" s="2">
        <v>20</v>
      </c>
      <c r="U46" s="2">
        <v>0</v>
      </c>
      <c r="V46" s="2">
        <f t="shared" si="6"/>
        <v>108</v>
      </c>
      <c r="W46" s="2">
        <v>0</v>
      </c>
      <c r="X46" s="2">
        <v>8</v>
      </c>
      <c r="Y46" s="2">
        <v>0</v>
      </c>
      <c r="Z46" s="2">
        <f t="shared" si="7"/>
        <v>8</v>
      </c>
      <c r="AA46" s="2">
        <f t="shared" si="1"/>
        <v>116</v>
      </c>
      <c r="AB46" s="2">
        <v>4211</v>
      </c>
      <c r="AC46" s="20">
        <f t="shared" si="2"/>
        <v>2.75469009736405</v>
      </c>
      <c r="AD46" s="22" t="s">
        <v>83</v>
      </c>
      <c r="AE46" s="2">
        <v>125</v>
      </c>
      <c r="AF46" s="21">
        <f t="shared" si="3"/>
        <v>4.14305390643553</v>
      </c>
      <c r="AG46" s="4">
        <f t="shared" si="4"/>
        <v>2.56471146995963</v>
      </c>
      <c r="AH46" s="4">
        <f t="shared" si="5"/>
        <v>0.189978627404417</v>
      </c>
    </row>
    <row r="47" spans="1:34">
      <c r="A47" s="2">
        <v>20260103</v>
      </c>
      <c r="B47" s="2" t="s">
        <v>135</v>
      </c>
      <c r="C47" s="2" t="s">
        <v>136</v>
      </c>
      <c r="D47" s="2">
        <v>4</v>
      </c>
      <c r="E47" s="2">
        <v>0</v>
      </c>
      <c r="F47" s="2">
        <v>16</v>
      </c>
      <c r="G47" s="2">
        <v>10</v>
      </c>
      <c r="H47" s="2">
        <v>4</v>
      </c>
      <c r="I47" s="3">
        <v>33</v>
      </c>
      <c r="J47" s="2">
        <v>19</v>
      </c>
      <c r="K47" s="2">
        <v>6</v>
      </c>
      <c r="L47" s="2">
        <v>1</v>
      </c>
      <c r="M47" s="2">
        <v>1</v>
      </c>
      <c r="N47" s="2">
        <v>32</v>
      </c>
      <c r="O47" s="2">
        <v>12</v>
      </c>
      <c r="P47" s="3">
        <v>17</v>
      </c>
      <c r="Q47" s="2">
        <v>35</v>
      </c>
      <c r="R47" s="2">
        <v>20</v>
      </c>
      <c r="S47" s="2">
        <v>6</v>
      </c>
      <c r="T47" s="2">
        <v>17</v>
      </c>
      <c r="U47" s="2">
        <v>0</v>
      </c>
      <c r="V47" s="2">
        <f t="shared" si="6"/>
        <v>108</v>
      </c>
      <c r="W47" s="2">
        <v>0</v>
      </c>
      <c r="X47" s="2">
        <v>0</v>
      </c>
      <c r="Y47" s="2">
        <v>0</v>
      </c>
      <c r="Z47" s="2">
        <f t="shared" si="7"/>
        <v>0</v>
      </c>
      <c r="AA47" s="2">
        <f t="shared" si="1"/>
        <v>108</v>
      </c>
      <c r="AB47" s="2">
        <v>4211</v>
      </c>
      <c r="AC47" s="20">
        <f t="shared" si="2"/>
        <v>2.56471146995963</v>
      </c>
      <c r="AD47" s="22" t="s">
        <v>83</v>
      </c>
      <c r="AE47" s="2">
        <v>125</v>
      </c>
      <c r="AF47" s="21">
        <f t="shared" si="3"/>
        <v>3.85732605081928</v>
      </c>
      <c r="AG47" s="4">
        <f t="shared" si="4"/>
        <v>2.56471146995963</v>
      </c>
      <c r="AH47" s="4">
        <f t="shared" si="5"/>
        <v>0</v>
      </c>
    </row>
    <row r="48" spans="1:34">
      <c r="A48" s="2">
        <v>20260103</v>
      </c>
      <c r="B48" s="2" t="s">
        <v>137</v>
      </c>
      <c r="C48" s="2" t="s">
        <v>138</v>
      </c>
      <c r="D48" s="2">
        <v>0</v>
      </c>
      <c r="E48" s="2">
        <v>0</v>
      </c>
      <c r="F48" s="2">
        <v>13</v>
      </c>
      <c r="G48" s="2">
        <v>11</v>
      </c>
      <c r="H48" s="2">
        <v>13</v>
      </c>
      <c r="I48" s="3">
        <v>29</v>
      </c>
      <c r="J48" s="2">
        <v>16</v>
      </c>
      <c r="K48" s="2">
        <v>13</v>
      </c>
      <c r="L48" s="2">
        <v>1</v>
      </c>
      <c r="M48" s="2">
        <v>5</v>
      </c>
      <c r="N48" s="2">
        <v>35</v>
      </c>
      <c r="O48" s="2">
        <v>7</v>
      </c>
      <c r="P48" s="3">
        <v>10</v>
      </c>
      <c r="Q48" s="2">
        <v>23</v>
      </c>
      <c r="R48" s="2">
        <v>36</v>
      </c>
      <c r="S48" s="2">
        <v>8</v>
      </c>
      <c r="T48" s="2">
        <v>5</v>
      </c>
      <c r="U48" s="2">
        <v>0</v>
      </c>
      <c r="V48" s="2">
        <f t="shared" si="6"/>
        <v>98</v>
      </c>
      <c r="W48" s="2">
        <v>0</v>
      </c>
      <c r="X48" s="2">
        <v>5</v>
      </c>
      <c r="Y48" s="2">
        <v>0</v>
      </c>
      <c r="Z48" s="2">
        <f t="shared" si="7"/>
        <v>5</v>
      </c>
      <c r="AA48" s="2">
        <f t="shared" si="1"/>
        <v>103</v>
      </c>
      <c r="AB48" s="2">
        <v>4211</v>
      </c>
      <c r="AC48" s="20">
        <f t="shared" si="2"/>
        <v>2.44597482783187</v>
      </c>
      <c r="AD48" s="22" t="s">
        <v>83</v>
      </c>
      <c r="AE48" s="2">
        <v>125</v>
      </c>
      <c r="AF48" s="21">
        <f t="shared" si="3"/>
        <v>3.67874614105913</v>
      </c>
      <c r="AG48" s="4">
        <f t="shared" si="4"/>
        <v>2.32723818570411</v>
      </c>
      <c r="AH48" s="4">
        <f t="shared" si="5"/>
        <v>0.118736642127761</v>
      </c>
    </row>
    <row r="49" spans="1:34">
      <c r="A49" s="2">
        <v>20260103</v>
      </c>
      <c r="B49" s="2" t="s">
        <v>139</v>
      </c>
      <c r="C49" s="2" t="s">
        <v>140</v>
      </c>
      <c r="D49" s="2">
        <v>3</v>
      </c>
      <c r="E49" s="2">
        <v>2</v>
      </c>
      <c r="F49" s="2">
        <v>13</v>
      </c>
      <c r="G49" s="2">
        <v>3</v>
      </c>
      <c r="H49" s="2">
        <v>4</v>
      </c>
      <c r="I49" s="3">
        <v>22</v>
      </c>
      <c r="J49" s="2">
        <v>12</v>
      </c>
      <c r="K49" s="2">
        <v>4</v>
      </c>
      <c r="L49" s="2">
        <v>0</v>
      </c>
      <c r="M49" s="2">
        <v>4</v>
      </c>
      <c r="N49" s="2">
        <v>26</v>
      </c>
      <c r="O49" s="2">
        <v>15</v>
      </c>
      <c r="P49" s="3">
        <v>2</v>
      </c>
      <c r="Q49" s="2">
        <v>12</v>
      </c>
      <c r="R49" s="2">
        <v>5</v>
      </c>
      <c r="S49" s="2">
        <v>6</v>
      </c>
      <c r="T49" s="2">
        <v>0</v>
      </c>
      <c r="U49" s="2">
        <v>0</v>
      </c>
      <c r="V49" s="2">
        <f t="shared" si="6"/>
        <v>41</v>
      </c>
      <c r="W49" s="2">
        <v>4</v>
      </c>
      <c r="X49" s="2">
        <v>6</v>
      </c>
      <c r="Y49" s="2">
        <v>0</v>
      </c>
      <c r="Z49" s="2">
        <f t="shared" si="7"/>
        <v>10</v>
      </c>
      <c r="AA49" s="2">
        <f t="shared" si="1"/>
        <v>51</v>
      </c>
      <c r="AB49" s="2">
        <v>2154</v>
      </c>
      <c r="AC49" s="20">
        <f t="shared" si="2"/>
        <v>2.36768802228412</v>
      </c>
      <c r="AD49" s="22" t="s">
        <v>83</v>
      </c>
      <c r="AE49" s="2">
        <v>125</v>
      </c>
      <c r="AF49" s="21">
        <f t="shared" si="3"/>
        <v>3.56100278551532</v>
      </c>
      <c r="AG49" s="4">
        <f t="shared" si="4"/>
        <v>1.90343546889508</v>
      </c>
      <c r="AH49" s="4">
        <f t="shared" si="5"/>
        <v>0.464252553389044</v>
      </c>
    </row>
    <row r="50" spans="1:34">
      <c r="A50" s="2">
        <v>20260103</v>
      </c>
      <c r="B50" s="2" t="s">
        <v>141</v>
      </c>
      <c r="C50" s="2" t="s">
        <v>142</v>
      </c>
      <c r="D50" s="2">
        <v>7</v>
      </c>
      <c r="E50" s="2">
        <v>1</v>
      </c>
      <c r="F50" s="2">
        <v>16</v>
      </c>
      <c r="G50" s="2">
        <v>12</v>
      </c>
      <c r="H50" s="2">
        <v>5</v>
      </c>
      <c r="I50" s="3">
        <v>30</v>
      </c>
      <c r="J50" s="2">
        <v>9</v>
      </c>
      <c r="K50" s="2">
        <v>5</v>
      </c>
      <c r="L50" s="2">
        <v>1</v>
      </c>
      <c r="M50" s="2">
        <v>11</v>
      </c>
      <c r="N50" s="2">
        <v>46</v>
      </c>
      <c r="O50" s="2">
        <v>19</v>
      </c>
      <c r="P50" s="3">
        <v>10</v>
      </c>
      <c r="Q50" s="2">
        <v>14</v>
      </c>
      <c r="R50" s="2">
        <v>22</v>
      </c>
      <c r="S50" s="2">
        <v>7</v>
      </c>
      <c r="T50" s="2">
        <v>10</v>
      </c>
      <c r="U50" s="2">
        <v>0</v>
      </c>
      <c r="V50" s="2">
        <f t="shared" si="6"/>
        <v>89</v>
      </c>
      <c r="W50" s="2">
        <v>0</v>
      </c>
      <c r="X50" s="2">
        <v>4</v>
      </c>
      <c r="Y50" s="2">
        <v>0</v>
      </c>
      <c r="Z50" s="2">
        <f t="shared" si="7"/>
        <v>4</v>
      </c>
      <c r="AA50" s="2">
        <f t="shared" si="1"/>
        <v>93</v>
      </c>
      <c r="AB50" s="2">
        <v>4211</v>
      </c>
      <c r="AC50" s="20">
        <f t="shared" si="2"/>
        <v>2.20850154357635</v>
      </c>
      <c r="AD50" s="22" t="s">
        <v>83</v>
      </c>
      <c r="AE50" s="2">
        <v>125</v>
      </c>
      <c r="AF50" s="21">
        <f t="shared" si="3"/>
        <v>3.32158632153883</v>
      </c>
      <c r="AG50" s="4">
        <f t="shared" si="4"/>
        <v>2.11351222987414</v>
      </c>
      <c r="AH50" s="4">
        <f t="shared" si="5"/>
        <v>0.0949893137022085</v>
      </c>
    </row>
    <row r="51" spans="1:34">
      <c r="A51" s="2">
        <v>20260103</v>
      </c>
      <c r="B51" s="2" t="s">
        <v>143</v>
      </c>
      <c r="C51" s="2" t="s">
        <v>144</v>
      </c>
      <c r="D51" s="2">
        <v>4</v>
      </c>
      <c r="E51" s="2">
        <v>0</v>
      </c>
      <c r="F51" s="2">
        <v>13</v>
      </c>
      <c r="G51" s="2">
        <v>8</v>
      </c>
      <c r="H51" s="2">
        <v>10</v>
      </c>
      <c r="I51" s="3">
        <v>32</v>
      </c>
      <c r="J51" s="2">
        <v>12</v>
      </c>
      <c r="K51" s="2">
        <v>3</v>
      </c>
      <c r="L51" s="2">
        <v>2</v>
      </c>
      <c r="M51" s="2">
        <v>3</v>
      </c>
      <c r="N51" s="2">
        <v>45</v>
      </c>
      <c r="O51" s="2">
        <v>9</v>
      </c>
      <c r="P51" s="3">
        <v>15</v>
      </c>
      <c r="Q51" s="2">
        <v>27</v>
      </c>
      <c r="R51" s="2">
        <v>47</v>
      </c>
      <c r="S51" s="2">
        <v>5</v>
      </c>
      <c r="T51" s="2">
        <v>11</v>
      </c>
      <c r="U51" s="2">
        <v>0</v>
      </c>
      <c r="V51" s="2">
        <f t="shared" si="6"/>
        <v>91</v>
      </c>
      <c r="W51" s="2">
        <v>0</v>
      </c>
      <c r="X51" s="2">
        <v>5</v>
      </c>
      <c r="Y51" s="2">
        <v>0</v>
      </c>
      <c r="Z51" s="2">
        <f t="shared" si="7"/>
        <v>5</v>
      </c>
      <c r="AA51" s="2">
        <f t="shared" si="1"/>
        <v>96</v>
      </c>
      <c r="AB51" s="2">
        <v>4211</v>
      </c>
      <c r="AC51" s="20">
        <f t="shared" si="2"/>
        <v>2.279743528853</v>
      </c>
      <c r="AD51" s="22" t="s">
        <v>83</v>
      </c>
      <c r="AE51" s="2">
        <v>125</v>
      </c>
      <c r="AF51" s="21">
        <f t="shared" si="3"/>
        <v>3.42873426739492</v>
      </c>
      <c r="AG51" s="4">
        <f t="shared" si="4"/>
        <v>2.16100688672524</v>
      </c>
      <c r="AH51" s="4">
        <f t="shared" si="5"/>
        <v>0.118736642127761</v>
      </c>
    </row>
    <row r="52" spans="1:34">
      <c r="A52" s="2">
        <v>20260103</v>
      </c>
      <c r="B52" s="2" t="s">
        <v>145</v>
      </c>
      <c r="C52" s="2" t="s">
        <v>146</v>
      </c>
      <c r="D52" s="2">
        <v>11</v>
      </c>
      <c r="E52" s="2">
        <v>1</v>
      </c>
      <c r="F52" s="2">
        <v>29</v>
      </c>
      <c r="G52" s="2">
        <v>14</v>
      </c>
      <c r="H52" s="2">
        <v>17</v>
      </c>
      <c r="I52" s="3">
        <v>29</v>
      </c>
      <c r="J52" s="2">
        <v>16</v>
      </c>
      <c r="K52" s="2">
        <v>29</v>
      </c>
      <c r="L52" s="2">
        <v>0</v>
      </c>
      <c r="M52" s="2">
        <v>5</v>
      </c>
      <c r="N52" s="2">
        <v>51</v>
      </c>
      <c r="O52" s="2">
        <v>60</v>
      </c>
      <c r="P52" s="3">
        <v>33</v>
      </c>
      <c r="Q52" s="2">
        <v>29</v>
      </c>
      <c r="R52" s="2">
        <v>77</v>
      </c>
      <c r="S52" s="2">
        <v>6</v>
      </c>
      <c r="T52" s="2">
        <v>24</v>
      </c>
      <c r="U52" s="2">
        <v>1</v>
      </c>
      <c r="V52" s="2">
        <f t="shared" si="6"/>
        <v>160</v>
      </c>
      <c r="W52" s="2">
        <v>0</v>
      </c>
      <c r="X52" s="2">
        <v>7</v>
      </c>
      <c r="Y52" s="2">
        <v>0</v>
      </c>
      <c r="Z52" s="2">
        <f t="shared" si="7"/>
        <v>8</v>
      </c>
      <c r="AA52" s="2">
        <f t="shared" si="1"/>
        <v>168</v>
      </c>
      <c r="AB52" s="2">
        <v>4561</v>
      </c>
      <c r="AC52" s="20">
        <f t="shared" si="2"/>
        <v>3.68340276255207</v>
      </c>
      <c r="AD52" s="22" t="s">
        <v>83</v>
      </c>
      <c r="AE52" s="2">
        <v>125</v>
      </c>
      <c r="AF52" s="21">
        <f t="shared" si="3"/>
        <v>5.53983775487832</v>
      </c>
      <c r="AG52" s="4">
        <f t="shared" si="4"/>
        <v>3.50800263100197</v>
      </c>
      <c r="AH52" s="4">
        <f t="shared" si="5"/>
        <v>0.175400131550099</v>
      </c>
    </row>
    <row r="53" spans="1:34">
      <c r="A53" s="2">
        <v>20260104</v>
      </c>
      <c r="B53" s="2" t="s">
        <v>147</v>
      </c>
      <c r="C53" s="2" t="s">
        <v>148</v>
      </c>
      <c r="D53" s="2">
        <v>2</v>
      </c>
      <c r="E53" s="2">
        <v>3</v>
      </c>
      <c r="F53" s="2">
        <v>16</v>
      </c>
      <c r="G53" s="2">
        <v>10</v>
      </c>
      <c r="H53" s="2">
        <v>5</v>
      </c>
      <c r="I53" s="3">
        <v>36</v>
      </c>
      <c r="J53" s="2">
        <v>11</v>
      </c>
      <c r="K53" s="2">
        <v>10</v>
      </c>
      <c r="L53" s="2">
        <v>0</v>
      </c>
      <c r="M53" s="2">
        <v>4</v>
      </c>
      <c r="N53" s="2">
        <v>40</v>
      </c>
      <c r="O53" s="2">
        <v>16</v>
      </c>
      <c r="P53" s="3">
        <v>12</v>
      </c>
      <c r="Q53" s="2">
        <v>28</v>
      </c>
      <c r="R53" s="2">
        <v>89</v>
      </c>
      <c r="S53" s="2">
        <v>10</v>
      </c>
      <c r="T53" s="2">
        <v>7</v>
      </c>
      <c r="U53" s="2">
        <v>0</v>
      </c>
      <c r="V53" s="2">
        <f t="shared" si="6"/>
        <v>85</v>
      </c>
      <c r="W53" s="2">
        <v>1</v>
      </c>
      <c r="X53" s="2">
        <v>9</v>
      </c>
      <c r="Y53" s="2">
        <v>0</v>
      </c>
      <c r="Z53" s="2">
        <f t="shared" si="7"/>
        <v>10</v>
      </c>
      <c r="AA53" s="2">
        <f t="shared" si="1"/>
        <v>95</v>
      </c>
      <c r="AB53" s="2">
        <v>4531</v>
      </c>
      <c r="AC53" s="20">
        <f t="shared" si="2"/>
        <v>2.09666740233944</v>
      </c>
      <c r="AD53" s="22" t="s">
        <v>83</v>
      </c>
      <c r="AE53" s="2">
        <v>125</v>
      </c>
      <c r="AF53" s="21">
        <f t="shared" si="3"/>
        <v>3.15338777311852</v>
      </c>
      <c r="AG53" s="4">
        <f t="shared" si="4"/>
        <v>1.87596557051424</v>
      </c>
      <c r="AH53" s="4">
        <f t="shared" si="5"/>
        <v>0.220701831825204</v>
      </c>
    </row>
    <row r="54" spans="1:34">
      <c r="A54" s="2">
        <v>20260104</v>
      </c>
      <c r="B54" s="2" t="s">
        <v>149</v>
      </c>
      <c r="C54" s="2" t="s">
        <v>150</v>
      </c>
      <c r="D54" s="2">
        <v>5</v>
      </c>
      <c r="E54" s="2">
        <v>1</v>
      </c>
      <c r="F54" s="2">
        <v>14</v>
      </c>
      <c r="G54" s="2">
        <v>7</v>
      </c>
      <c r="H54" s="2">
        <v>6</v>
      </c>
      <c r="I54" s="3">
        <v>26</v>
      </c>
      <c r="J54" s="2">
        <v>11</v>
      </c>
      <c r="K54" s="2">
        <v>7</v>
      </c>
      <c r="L54" s="2">
        <v>1</v>
      </c>
      <c r="M54" s="2">
        <v>4</v>
      </c>
      <c r="N54" s="2">
        <v>32</v>
      </c>
      <c r="O54" s="2">
        <v>22</v>
      </c>
      <c r="P54" s="3">
        <v>5</v>
      </c>
      <c r="Q54" s="2">
        <v>12</v>
      </c>
      <c r="R54" s="2">
        <v>84</v>
      </c>
      <c r="S54" s="2">
        <v>5</v>
      </c>
      <c r="T54" s="2">
        <v>9</v>
      </c>
      <c r="U54" s="2">
        <v>2</v>
      </c>
      <c r="V54" s="2">
        <f t="shared" si="6"/>
        <v>62</v>
      </c>
      <c r="W54" s="2">
        <v>0</v>
      </c>
      <c r="X54" s="2">
        <v>14</v>
      </c>
      <c r="Y54" s="2">
        <v>0</v>
      </c>
      <c r="Z54" s="2">
        <f t="shared" si="7"/>
        <v>16</v>
      </c>
      <c r="AA54" s="2">
        <f t="shared" si="1"/>
        <v>78</v>
      </c>
      <c r="AB54" s="2">
        <v>4211</v>
      </c>
      <c r="AC54" s="20">
        <f t="shared" si="2"/>
        <v>1.85229161719307</v>
      </c>
      <c r="AD54" s="22" t="s">
        <v>83</v>
      </c>
      <c r="AE54" s="2">
        <v>125</v>
      </c>
      <c r="AF54" s="21">
        <f t="shared" si="3"/>
        <v>2.78584659225837</v>
      </c>
      <c r="AG54" s="4">
        <f t="shared" si="4"/>
        <v>1.47233436238423</v>
      </c>
      <c r="AH54" s="4">
        <f t="shared" si="5"/>
        <v>0.379957254808834</v>
      </c>
    </row>
    <row r="55" spans="1:34">
      <c r="A55" s="2">
        <v>20260104</v>
      </c>
      <c r="B55" s="2" t="s">
        <v>151</v>
      </c>
      <c r="C55" s="2" t="s">
        <v>152</v>
      </c>
      <c r="D55" s="2">
        <v>5</v>
      </c>
      <c r="E55" s="2">
        <v>3</v>
      </c>
      <c r="F55" s="2">
        <v>10</v>
      </c>
      <c r="G55" s="2">
        <v>1</v>
      </c>
      <c r="H55" s="2">
        <v>8</v>
      </c>
      <c r="I55" s="3">
        <v>27</v>
      </c>
      <c r="J55" s="2">
        <v>7</v>
      </c>
      <c r="K55" s="2">
        <v>9</v>
      </c>
      <c r="L55" s="2">
        <v>0</v>
      </c>
      <c r="M55" s="2">
        <v>7</v>
      </c>
      <c r="N55" s="2">
        <v>26</v>
      </c>
      <c r="O55" s="2">
        <v>10</v>
      </c>
      <c r="P55" s="3">
        <v>8</v>
      </c>
      <c r="Q55" s="2">
        <v>9</v>
      </c>
      <c r="R55" s="2">
        <v>143</v>
      </c>
      <c r="S55" s="2">
        <v>0</v>
      </c>
      <c r="T55" s="2">
        <v>5</v>
      </c>
      <c r="U55" s="2">
        <v>0</v>
      </c>
      <c r="V55" s="2">
        <f t="shared" si="6"/>
        <v>63</v>
      </c>
      <c r="W55" s="2">
        <v>0</v>
      </c>
      <c r="X55" s="2">
        <v>9</v>
      </c>
      <c r="Y55" s="2">
        <v>0</v>
      </c>
      <c r="Z55" s="2">
        <f t="shared" si="7"/>
        <v>9</v>
      </c>
      <c r="AA55" s="2">
        <f t="shared" si="1"/>
        <v>72</v>
      </c>
      <c r="AB55" s="2">
        <v>4211</v>
      </c>
      <c r="AC55" s="20">
        <f t="shared" si="2"/>
        <v>1.70980764663975</v>
      </c>
      <c r="AD55" s="22" t="s">
        <v>83</v>
      </c>
      <c r="AE55" s="2">
        <v>125</v>
      </c>
      <c r="AF55" s="21">
        <f t="shared" si="3"/>
        <v>2.57155070054619</v>
      </c>
      <c r="AG55" s="4">
        <f t="shared" si="4"/>
        <v>1.49608169080978</v>
      </c>
      <c r="AH55" s="4">
        <f t="shared" si="5"/>
        <v>0.213725955829969</v>
      </c>
    </row>
    <row r="56" spans="1:34">
      <c r="A56" s="2">
        <v>20260104</v>
      </c>
      <c r="B56" s="2" t="s">
        <v>153</v>
      </c>
      <c r="C56" s="2" t="s">
        <v>154</v>
      </c>
      <c r="D56" s="2">
        <v>1</v>
      </c>
      <c r="E56" s="2">
        <v>4</v>
      </c>
      <c r="F56" s="2">
        <v>4</v>
      </c>
      <c r="G56" s="2">
        <v>24</v>
      </c>
      <c r="H56" s="2">
        <v>1</v>
      </c>
      <c r="I56" s="3">
        <v>18</v>
      </c>
      <c r="J56" s="2">
        <v>35</v>
      </c>
      <c r="K56" s="2">
        <v>5</v>
      </c>
      <c r="L56" s="2">
        <v>0</v>
      </c>
      <c r="M56" s="2">
        <v>2</v>
      </c>
      <c r="N56" s="2">
        <v>22</v>
      </c>
      <c r="O56" s="2">
        <v>6</v>
      </c>
      <c r="P56" s="3">
        <v>6</v>
      </c>
      <c r="Q56" s="2">
        <v>10</v>
      </c>
      <c r="R56" s="2">
        <v>166</v>
      </c>
      <c r="S56" s="2">
        <v>1</v>
      </c>
      <c r="T56" s="2">
        <v>2</v>
      </c>
      <c r="U56" s="2">
        <v>4</v>
      </c>
      <c r="V56" s="2">
        <f t="shared" si="6"/>
        <v>90</v>
      </c>
      <c r="W56" s="2">
        <v>0</v>
      </c>
      <c r="X56" s="2">
        <v>3</v>
      </c>
      <c r="Y56" s="2">
        <v>0</v>
      </c>
      <c r="Z56" s="2">
        <f t="shared" si="7"/>
        <v>7</v>
      </c>
      <c r="AA56" s="2">
        <f t="shared" si="1"/>
        <v>97</v>
      </c>
      <c r="AB56" s="2">
        <v>2165</v>
      </c>
      <c r="AC56" s="20">
        <f t="shared" si="2"/>
        <v>4.48036951501155</v>
      </c>
      <c r="AD56" s="22" t="s">
        <v>83</v>
      </c>
      <c r="AE56" s="2">
        <v>125</v>
      </c>
      <c r="AF56" s="21">
        <f t="shared" si="3"/>
        <v>6.73847575057737</v>
      </c>
      <c r="AG56" s="4">
        <f t="shared" si="4"/>
        <v>4.15704387990762</v>
      </c>
      <c r="AH56" s="4">
        <f t="shared" si="5"/>
        <v>0.323325635103926</v>
      </c>
    </row>
    <row r="57" spans="1:34">
      <c r="A57" s="2">
        <v>20260104</v>
      </c>
      <c r="B57" s="2" t="s">
        <v>155</v>
      </c>
      <c r="C57" s="2" t="s">
        <v>156</v>
      </c>
      <c r="D57" s="2">
        <v>3</v>
      </c>
      <c r="E57" s="2">
        <v>6</v>
      </c>
      <c r="F57" s="2">
        <v>14</v>
      </c>
      <c r="G57" s="2">
        <v>5</v>
      </c>
      <c r="H57" s="2">
        <v>10</v>
      </c>
      <c r="I57" s="3">
        <v>18</v>
      </c>
      <c r="J57" s="2">
        <v>13</v>
      </c>
      <c r="K57" s="2">
        <v>6</v>
      </c>
      <c r="L57" s="2">
        <v>1</v>
      </c>
      <c r="M57" s="2">
        <v>3</v>
      </c>
      <c r="N57" s="2">
        <v>20</v>
      </c>
      <c r="O57" s="2">
        <v>29</v>
      </c>
      <c r="P57" s="3">
        <v>6</v>
      </c>
      <c r="Q57" s="2">
        <v>12</v>
      </c>
      <c r="R57" s="2">
        <v>188</v>
      </c>
      <c r="S57" s="2">
        <v>3</v>
      </c>
      <c r="T57" s="2">
        <v>3</v>
      </c>
      <c r="U57" s="2">
        <v>0</v>
      </c>
      <c r="V57" s="2">
        <f t="shared" si="6"/>
        <v>65</v>
      </c>
      <c r="W57" s="2">
        <v>0</v>
      </c>
      <c r="X57" s="2">
        <v>0</v>
      </c>
      <c r="Y57" s="2">
        <v>0</v>
      </c>
      <c r="Z57" s="2">
        <f t="shared" si="7"/>
        <v>0</v>
      </c>
      <c r="AA57" s="2">
        <f t="shared" si="1"/>
        <v>65</v>
      </c>
      <c r="AB57" s="2">
        <v>2665</v>
      </c>
      <c r="AC57" s="20">
        <f t="shared" si="2"/>
        <v>2.4390243902439</v>
      </c>
      <c r="AD57" s="22" t="s">
        <v>83</v>
      </c>
      <c r="AE57" s="2">
        <v>125</v>
      </c>
      <c r="AF57" s="21">
        <f t="shared" si="3"/>
        <v>3.66829268292683</v>
      </c>
      <c r="AG57" s="4">
        <f t="shared" si="4"/>
        <v>2.4390243902439</v>
      </c>
      <c r="AH57" s="4">
        <f t="shared" si="5"/>
        <v>0</v>
      </c>
    </row>
    <row r="58" spans="1:34">
      <c r="A58" s="2">
        <v>20260104</v>
      </c>
      <c r="B58" s="2" t="s">
        <v>157</v>
      </c>
      <c r="C58" s="2" t="s">
        <v>158</v>
      </c>
      <c r="D58" s="2">
        <v>2</v>
      </c>
      <c r="E58" s="2">
        <v>7</v>
      </c>
      <c r="F58" s="2">
        <v>2</v>
      </c>
      <c r="G58" s="2">
        <v>4</v>
      </c>
      <c r="H58" s="2">
        <v>9</v>
      </c>
      <c r="I58" s="3">
        <v>24</v>
      </c>
      <c r="J58" s="2">
        <v>11</v>
      </c>
      <c r="K58" s="2">
        <v>4</v>
      </c>
      <c r="L58" s="2">
        <v>1</v>
      </c>
      <c r="M58" s="2">
        <v>6</v>
      </c>
      <c r="N58" s="2">
        <v>25</v>
      </c>
      <c r="O58" s="2">
        <v>4</v>
      </c>
      <c r="P58" s="3">
        <v>4</v>
      </c>
      <c r="Q58" s="2">
        <v>10</v>
      </c>
      <c r="R58" s="2">
        <v>92</v>
      </c>
      <c r="S58" s="2">
        <v>1</v>
      </c>
      <c r="T58" s="2">
        <v>2</v>
      </c>
      <c r="U58" s="2">
        <v>0</v>
      </c>
      <c r="V58" s="2">
        <f t="shared" si="6"/>
        <v>62</v>
      </c>
      <c r="W58" s="2">
        <v>1</v>
      </c>
      <c r="X58" s="2">
        <v>2</v>
      </c>
      <c r="Y58" s="2">
        <v>0</v>
      </c>
      <c r="Z58" s="2">
        <f t="shared" si="7"/>
        <v>3</v>
      </c>
      <c r="AA58" s="2">
        <f t="shared" si="1"/>
        <v>65</v>
      </c>
      <c r="AB58" s="2">
        <v>2544</v>
      </c>
      <c r="AC58" s="20">
        <f t="shared" si="2"/>
        <v>2.55503144654088</v>
      </c>
      <c r="AD58" s="22" t="s">
        <v>83</v>
      </c>
      <c r="AE58" s="2">
        <v>125</v>
      </c>
      <c r="AF58" s="21">
        <f t="shared" si="3"/>
        <v>3.84276729559748</v>
      </c>
      <c r="AG58" s="4">
        <f t="shared" si="4"/>
        <v>2.43710691823899</v>
      </c>
      <c r="AH58" s="4">
        <f t="shared" si="5"/>
        <v>0.117924528301887</v>
      </c>
    </row>
    <row r="59" spans="1:34">
      <c r="A59" s="2">
        <v>20260104</v>
      </c>
      <c r="B59" s="2" t="s">
        <v>159</v>
      </c>
      <c r="C59" s="2" t="s">
        <v>160</v>
      </c>
      <c r="D59" s="2">
        <v>8</v>
      </c>
      <c r="E59" s="2">
        <v>3</v>
      </c>
      <c r="F59" s="2">
        <v>40</v>
      </c>
      <c r="G59" s="2">
        <v>18</v>
      </c>
      <c r="H59" s="2">
        <v>23</v>
      </c>
      <c r="I59" s="3">
        <v>17</v>
      </c>
      <c r="J59" s="2">
        <v>8</v>
      </c>
      <c r="K59" s="2">
        <v>60</v>
      </c>
      <c r="L59" s="2">
        <v>1</v>
      </c>
      <c r="M59" s="2">
        <v>4</v>
      </c>
      <c r="N59" s="2">
        <v>39</v>
      </c>
      <c r="O59" s="2">
        <v>133</v>
      </c>
      <c r="P59" s="3">
        <v>21</v>
      </c>
      <c r="Q59" s="2">
        <v>27</v>
      </c>
      <c r="R59" s="2">
        <v>98</v>
      </c>
      <c r="S59" s="2">
        <v>1</v>
      </c>
      <c r="T59" s="2">
        <v>52</v>
      </c>
      <c r="U59" s="2">
        <v>10</v>
      </c>
      <c r="V59" s="2">
        <f t="shared" si="6"/>
        <v>202</v>
      </c>
      <c r="W59" s="2">
        <v>1</v>
      </c>
      <c r="X59" s="2">
        <v>1</v>
      </c>
      <c r="Y59" s="2">
        <v>0</v>
      </c>
      <c r="Z59" s="2">
        <f t="shared" si="7"/>
        <v>12</v>
      </c>
      <c r="AA59" s="2">
        <f t="shared" si="1"/>
        <v>214</v>
      </c>
      <c r="AB59" s="2">
        <v>2765</v>
      </c>
      <c r="AC59" s="20">
        <f t="shared" si="2"/>
        <v>7.73960216998192</v>
      </c>
      <c r="AD59" s="22" t="s">
        <v>83</v>
      </c>
      <c r="AE59" s="2">
        <v>125</v>
      </c>
      <c r="AF59" s="21">
        <f t="shared" si="3"/>
        <v>11.6403616636528</v>
      </c>
      <c r="AG59" s="4">
        <f t="shared" si="4"/>
        <v>7.30560578661844</v>
      </c>
      <c r="AH59" s="4">
        <f t="shared" si="5"/>
        <v>0.433996383363472</v>
      </c>
    </row>
    <row r="60" spans="1:34">
      <c r="A60" s="2">
        <v>20260104</v>
      </c>
      <c r="C60" s="2" t="s">
        <v>161</v>
      </c>
      <c r="D60" s="2">
        <v>5</v>
      </c>
      <c r="E60" s="2">
        <v>5</v>
      </c>
      <c r="F60" s="2">
        <v>21</v>
      </c>
      <c r="G60" s="2">
        <v>3</v>
      </c>
      <c r="H60" s="2">
        <v>10</v>
      </c>
      <c r="I60" s="3">
        <v>31</v>
      </c>
      <c r="J60" s="2">
        <v>17</v>
      </c>
      <c r="K60" s="2">
        <v>4</v>
      </c>
      <c r="L60" s="2">
        <v>0</v>
      </c>
      <c r="M60" s="2">
        <v>12</v>
      </c>
      <c r="N60" s="2">
        <v>39</v>
      </c>
      <c r="O60" s="2">
        <v>33</v>
      </c>
      <c r="P60" s="3">
        <v>9</v>
      </c>
      <c r="Q60" s="2">
        <v>16</v>
      </c>
      <c r="R60" s="2">
        <v>168</v>
      </c>
      <c r="S60" s="2">
        <v>4</v>
      </c>
      <c r="T60" s="2">
        <v>3</v>
      </c>
      <c r="U60" s="2">
        <v>0</v>
      </c>
      <c r="V60" s="2">
        <f t="shared" si="6"/>
        <v>85</v>
      </c>
      <c r="W60" s="2">
        <v>1</v>
      </c>
      <c r="X60" s="2">
        <v>3</v>
      </c>
      <c r="Y60" s="2">
        <v>0</v>
      </c>
      <c r="Z60" s="2">
        <f t="shared" si="7"/>
        <v>4</v>
      </c>
      <c r="AA60" s="2">
        <f t="shared" si="1"/>
        <v>89</v>
      </c>
      <c r="AB60" s="2">
        <v>4590</v>
      </c>
      <c r="AC60" s="20">
        <f t="shared" si="2"/>
        <v>1.93899782135076</v>
      </c>
      <c r="AD60" s="22" t="s">
        <v>83</v>
      </c>
      <c r="AE60" s="2">
        <v>125</v>
      </c>
      <c r="AF60" s="21">
        <f t="shared" si="3"/>
        <v>2.91625272331155</v>
      </c>
      <c r="AG60" s="4">
        <f t="shared" si="4"/>
        <v>1.85185185185185</v>
      </c>
      <c r="AH60" s="4">
        <f t="shared" si="5"/>
        <v>0.0871459694989107</v>
      </c>
    </row>
    <row r="61" spans="1:34">
      <c r="A61" s="2">
        <v>20260104</v>
      </c>
      <c r="B61" s="2" t="s">
        <v>162</v>
      </c>
      <c r="C61" s="2" t="s">
        <v>163</v>
      </c>
      <c r="D61" s="2">
        <v>3</v>
      </c>
      <c r="E61" s="2">
        <v>3</v>
      </c>
      <c r="F61" s="2">
        <v>10</v>
      </c>
      <c r="G61" s="2">
        <v>6</v>
      </c>
      <c r="H61" s="2">
        <v>7</v>
      </c>
      <c r="I61" s="3">
        <v>27</v>
      </c>
      <c r="J61" s="2">
        <v>16</v>
      </c>
      <c r="K61" s="2">
        <v>5</v>
      </c>
      <c r="L61" s="2">
        <v>0</v>
      </c>
      <c r="M61" s="2">
        <v>3</v>
      </c>
      <c r="N61" s="2">
        <v>28</v>
      </c>
      <c r="O61" s="2">
        <v>12</v>
      </c>
      <c r="P61" s="3">
        <v>5</v>
      </c>
      <c r="Q61" s="2">
        <v>12</v>
      </c>
      <c r="R61" s="2">
        <v>124</v>
      </c>
      <c r="S61" s="2">
        <v>6</v>
      </c>
      <c r="T61" s="2">
        <v>5</v>
      </c>
      <c r="U61" s="2">
        <v>1</v>
      </c>
      <c r="V61" s="2">
        <f t="shared" si="6"/>
        <v>63</v>
      </c>
      <c r="W61" s="2">
        <v>1</v>
      </c>
      <c r="X61" s="2">
        <v>10</v>
      </c>
      <c r="Y61" s="2">
        <v>0</v>
      </c>
      <c r="Z61" s="2">
        <f t="shared" si="7"/>
        <v>12</v>
      </c>
      <c r="AA61" s="2">
        <f t="shared" si="1"/>
        <v>75</v>
      </c>
      <c r="AB61" s="2">
        <v>4210</v>
      </c>
      <c r="AC61" s="20">
        <f t="shared" si="2"/>
        <v>1.78147268408551</v>
      </c>
      <c r="AD61" s="22" t="s">
        <v>83</v>
      </c>
      <c r="AE61" s="2">
        <v>125</v>
      </c>
      <c r="AF61" s="21">
        <f t="shared" si="3"/>
        <v>2.67933491686461</v>
      </c>
      <c r="AG61" s="4">
        <f t="shared" si="4"/>
        <v>1.49643705463183</v>
      </c>
      <c r="AH61" s="4">
        <f t="shared" si="5"/>
        <v>0.285035629453682</v>
      </c>
    </row>
    <row r="62" spans="1:34">
      <c r="A62" s="2">
        <v>20260104</v>
      </c>
      <c r="B62" s="2" t="s">
        <v>164</v>
      </c>
      <c r="C62" s="2" t="s">
        <v>165</v>
      </c>
      <c r="D62" s="2">
        <v>2</v>
      </c>
      <c r="E62" s="2">
        <v>2</v>
      </c>
      <c r="F62" s="2">
        <v>15</v>
      </c>
      <c r="G62" s="2">
        <v>3</v>
      </c>
      <c r="H62" s="2">
        <v>7</v>
      </c>
      <c r="I62" s="3">
        <v>38</v>
      </c>
      <c r="J62" s="2">
        <v>15</v>
      </c>
      <c r="K62" s="2">
        <v>9</v>
      </c>
      <c r="L62" s="2">
        <v>2</v>
      </c>
      <c r="M62" s="2">
        <v>6</v>
      </c>
      <c r="N62" s="2">
        <v>52</v>
      </c>
      <c r="O62" s="2">
        <v>24</v>
      </c>
      <c r="P62" s="3">
        <v>2</v>
      </c>
      <c r="Q62" s="2">
        <v>19</v>
      </c>
      <c r="R62" s="2">
        <v>87</v>
      </c>
      <c r="S62" s="2">
        <v>5</v>
      </c>
      <c r="T62" s="2">
        <v>4</v>
      </c>
      <c r="U62" s="2">
        <v>0</v>
      </c>
      <c r="V62" s="2">
        <f t="shared" si="6"/>
        <v>83</v>
      </c>
      <c r="W62" s="2">
        <v>0</v>
      </c>
      <c r="X62" s="2">
        <v>3</v>
      </c>
      <c r="Y62" s="2">
        <v>0</v>
      </c>
      <c r="Z62" s="2">
        <f t="shared" si="7"/>
        <v>3</v>
      </c>
      <c r="AA62" s="2">
        <f t="shared" si="1"/>
        <v>86</v>
      </c>
      <c r="AB62" s="2">
        <v>4210</v>
      </c>
      <c r="AC62" s="20">
        <f t="shared" si="2"/>
        <v>2.04275534441805</v>
      </c>
      <c r="AD62" s="22" t="s">
        <v>83</v>
      </c>
      <c r="AE62" s="2">
        <v>125</v>
      </c>
      <c r="AF62" s="21">
        <f t="shared" si="3"/>
        <v>3.07230403800475</v>
      </c>
      <c r="AG62" s="4">
        <f t="shared" si="4"/>
        <v>1.97149643705463</v>
      </c>
      <c r="AH62" s="4">
        <f t="shared" si="5"/>
        <v>0.0712589073634204</v>
      </c>
    </row>
    <row r="63" spans="1:34">
      <c r="A63" s="2">
        <v>20260104</v>
      </c>
      <c r="B63" s="2" t="s">
        <v>166</v>
      </c>
      <c r="C63" s="2" t="s">
        <v>167</v>
      </c>
      <c r="D63" s="2">
        <v>0</v>
      </c>
      <c r="E63" s="2">
        <v>4</v>
      </c>
      <c r="F63" s="2">
        <v>9</v>
      </c>
      <c r="G63" s="2">
        <v>5</v>
      </c>
      <c r="H63" s="2">
        <v>4</v>
      </c>
      <c r="I63" s="3">
        <v>18</v>
      </c>
      <c r="J63" s="2">
        <v>18</v>
      </c>
      <c r="K63" s="2">
        <v>8</v>
      </c>
      <c r="L63" s="2">
        <v>0</v>
      </c>
      <c r="M63" s="2">
        <v>1</v>
      </c>
      <c r="N63" s="2">
        <v>42</v>
      </c>
      <c r="O63" s="2">
        <v>8</v>
      </c>
      <c r="P63" s="3">
        <v>2</v>
      </c>
      <c r="Q63" s="2">
        <v>24</v>
      </c>
      <c r="R63" s="2">
        <v>37</v>
      </c>
      <c r="S63" s="2">
        <v>0</v>
      </c>
      <c r="T63" s="2">
        <v>6</v>
      </c>
      <c r="U63" s="2">
        <v>1</v>
      </c>
      <c r="V63" s="2">
        <f t="shared" si="6"/>
        <v>50</v>
      </c>
      <c r="W63" s="2">
        <v>2</v>
      </c>
      <c r="X63" s="2">
        <v>10</v>
      </c>
      <c r="Y63" s="2">
        <v>0</v>
      </c>
      <c r="Z63" s="2">
        <f t="shared" si="7"/>
        <v>13</v>
      </c>
      <c r="AA63" s="2">
        <f t="shared" si="1"/>
        <v>63</v>
      </c>
      <c r="AB63" s="2">
        <v>2504</v>
      </c>
      <c r="AC63" s="20">
        <f t="shared" si="2"/>
        <v>2.51597444089457</v>
      </c>
      <c r="AD63" s="22" t="s">
        <v>83</v>
      </c>
      <c r="AE63" s="2">
        <v>125</v>
      </c>
      <c r="AF63" s="21">
        <f t="shared" si="3"/>
        <v>3.78402555910543</v>
      </c>
      <c r="AG63" s="4">
        <f t="shared" si="4"/>
        <v>1.99680511182109</v>
      </c>
      <c r="AH63" s="4">
        <f t="shared" si="5"/>
        <v>0.519169329073482</v>
      </c>
    </row>
    <row r="64" spans="1:34">
      <c r="A64" s="2">
        <v>20260104</v>
      </c>
      <c r="B64" s="2" t="s">
        <v>168</v>
      </c>
      <c r="C64" s="2" t="s">
        <v>169</v>
      </c>
      <c r="D64" s="2">
        <v>2</v>
      </c>
      <c r="E64" s="2">
        <v>9</v>
      </c>
      <c r="F64" s="2">
        <v>11</v>
      </c>
      <c r="G64" s="2">
        <v>8</v>
      </c>
      <c r="H64" s="2">
        <v>14</v>
      </c>
      <c r="I64" s="3">
        <v>28</v>
      </c>
      <c r="J64" s="2">
        <v>21</v>
      </c>
      <c r="K64" s="2">
        <v>15</v>
      </c>
      <c r="L64" s="2">
        <v>0</v>
      </c>
      <c r="M64" s="2">
        <v>12</v>
      </c>
      <c r="N64" s="2">
        <v>63</v>
      </c>
      <c r="O64" s="2">
        <v>8</v>
      </c>
      <c r="P64" s="3">
        <v>6</v>
      </c>
      <c r="Q64" s="2">
        <v>28</v>
      </c>
      <c r="R64" s="2">
        <v>130</v>
      </c>
      <c r="S64" s="2">
        <v>0</v>
      </c>
      <c r="T64" s="2">
        <v>7</v>
      </c>
      <c r="U64" s="2">
        <v>2</v>
      </c>
      <c r="V64" s="2">
        <f t="shared" si="6"/>
        <v>104</v>
      </c>
      <c r="W64" s="2">
        <v>6</v>
      </c>
      <c r="X64" s="2">
        <v>1</v>
      </c>
      <c r="Y64" s="2">
        <v>0</v>
      </c>
      <c r="Z64" s="2">
        <f t="shared" si="7"/>
        <v>9</v>
      </c>
      <c r="AA64" s="2">
        <f t="shared" si="1"/>
        <v>113</v>
      </c>
      <c r="AB64" s="2">
        <v>3777</v>
      </c>
      <c r="AC64" s="20">
        <f t="shared" si="2"/>
        <v>2.99179242785279</v>
      </c>
      <c r="AD64" s="22" t="s">
        <v>83</v>
      </c>
      <c r="AE64" s="2">
        <v>100</v>
      </c>
      <c r="AF64" s="21">
        <f t="shared" si="3"/>
        <v>5.62456976436325</v>
      </c>
      <c r="AG64" s="4">
        <f t="shared" si="4"/>
        <v>2.75350807519195</v>
      </c>
      <c r="AH64" s="4">
        <f t="shared" si="5"/>
        <v>0.238284352660842</v>
      </c>
    </row>
    <row r="65" spans="1:34">
      <c r="A65" s="2">
        <v>20260104</v>
      </c>
      <c r="B65" s="2" t="s">
        <v>170</v>
      </c>
      <c r="C65" s="2" t="s">
        <v>171</v>
      </c>
      <c r="D65" s="2">
        <v>3</v>
      </c>
      <c r="E65" s="2">
        <v>4</v>
      </c>
      <c r="F65" s="2">
        <v>9</v>
      </c>
      <c r="G65" s="2">
        <v>13</v>
      </c>
      <c r="H65" s="2">
        <v>17</v>
      </c>
      <c r="I65" s="3">
        <v>38</v>
      </c>
      <c r="J65" s="2">
        <v>13</v>
      </c>
      <c r="K65" s="2">
        <v>16</v>
      </c>
      <c r="L65" s="2">
        <v>2</v>
      </c>
      <c r="M65" s="2">
        <v>21</v>
      </c>
      <c r="N65" s="2">
        <v>113</v>
      </c>
      <c r="O65" s="2">
        <v>6</v>
      </c>
      <c r="P65" s="3">
        <v>12</v>
      </c>
      <c r="Q65" s="2">
        <v>15</v>
      </c>
      <c r="R65" s="2">
        <v>206</v>
      </c>
      <c r="S65" s="2">
        <v>7</v>
      </c>
      <c r="T65" s="2">
        <v>10</v>
      </c>
      <c r="U65" s="2">
        <v>0</v>
      </c>
      <c r="V65" s="2">
        <f t="shared" si="6"/>
        <v>128</v>
      </c>
      <c r="W65" s="2">
        <v>3</v>
      </c>
      <c r="X65" s="2">
        <v>11</v>
      </c>
      <c r="Y65" s="2">
        <v>0</v>
      </c>
      <c r="Z65" s="2">
        <f t="shared" si="7"/>
        <v>14</v>
      </c>
      <c r="AA65" s="2">
        <f t="shared" si="1"/>
        <v>142</v>
      </c>
      <c r="AB65" s="2">
        <v>6276</v>
      </c>
      <c r="AC65" s="20">
        <f t="shared" si="2"/>
        <v>2.26258763543658</v>
      </c>
      <c r="AD65" s="22" t="s">
        <v>83</v>
      </c>
      <c r="AE65" s="2">
        <v>100</v>
      </c>
      <c r="AF65" s="21">
        <f t="shared" si="3"/>
        <v>4.25366475462078</v>
      </c>
      <c r="AG65" s="4">
        <f t="shared" si="4"/>
        <v>2.03951561504143</v>
      </c>
      <c r="AH65" s="4">
        <f t="shared" si="5"/>
        <v>0.223072020395156</v>
      </c>
    </row>
    <row r="66" spans="1:34">
      <c r="A66" s="2">
        <v>20260104</v>
      </c>
      <c r="B66" s="2" t="s">
        <v>172</v>
      </c>
      <c r="C66" s="2" t="s">
        <v>173</v>
      </c>
      <c r="D66" s="2">
        <v>4</v>
      </c>
      <c r="E66" s="2">
        <v>3</v>
      </c>
      <c r="F66" s="2">
        <v>19</v>
      </c>
      <c r="G66" s="2">
        <v>2</v>
      </c>
      <c r="H66" s="2">
        <v>6</v>
      </c>
      <c r="I66" s="3">
        <v>12</v>
      </c>
      <c r="J66" s="2">
        <v>7</v>
      </c>
      <c r="K66" s="2">
        <v>5</v>
      </c>
      <c r="L66" s="2">
        <v>1</v>
      </c>
      <c r="M66" s="2">
        <v>10</v>
      </c>
      <c r="N66" s="2">
        <v>69</v>
      </c>
      <c r="O66" s="2">
        <v>31</v>
      </c>
      <c r="P66" s="3">
        <v>18</v>
      </c>
      <c r="Q66" s="2">
        <v>62</v>
      </c>
      <c r="R66" s="2">
        <v>0</v>
      </c>
      <c r="S66" s="2">
        <v>8</v>
      </c>
      <c r="T66" s="2">
        <v>0</v>
      </c>
      <c r="U66" s="2">
        <v>0</v>
      </c>
      <c r="V66" s="2">
        <f t="shared" si="6"/>
        <v>57</v>
      </c>
      <c r="W66" s="2">
        <v>1</v>
      </c>
      <c r="X66" s="2">
        <v>3</v>
      </c>
      <c r="Y66" s="2">
        <v>0</v>
      </c>
      <c r="Z66" s="2">
        <f t="shared" si="7"/>
        <v>4</v>
      </c>
      <c r="AA66" s="2">
        <f t="shared" ref="AA66:AA129" si="8">G66+H66+I66+J66+K66+L66+M66+P66+T66+U66</f>
        <v>61</v>
      </c>
      <c r="AB66" s="2">
        <v>3677</v>
      </c>
      <c r="AC66" s="20">
        <f t="shared" ref="AC66:AC129" si="9">AA66/AB66*100</f>
        <v>1.65896110960022</v>
      </c>
      <c r="AD66" s="22" t="s">
        <v>83</v>
      </c>
      <c r="AE66" s="2">
        <v>100</v>
      </c>
      <c r="AF66" s="21">
        <f t="shared" ref="AF66:AF129" si="10">188/AE66*AC66</f>
        <v>3.11884688604841</v>
      </c>
      <c r="AG66" s="4">
        <f t="shared" ref="AG66:AG129" si="11">V66/AB66*100</f>
        <v>1.55017677454447</v>
      </c>
      <c r="AH66" s="4">
        <f t="shared" ref="AH66:AH129" si="12">Z66/AB66*100</f>
        <v>0.108784335055752</v>
      </c>
    </row>
    <row r="67" spans="1:34">
      <c r="A67" s="2">
        <v>20260104</v>
      </c>
      <c r="B67" s="2" t="s">
        <v>174</v>
      </c>
      <c r="C67" s="2" t="s">
        <v>175</v>
      </c>
      <c r="D67" s="2">
        <v>0</v>
      </c>
      <c r="E67" s="2">
        <v>3</v>
      </c>
      <c r="F67" s="2">
        <v>3</v>
      </c>
      <c r="G67" s="2">
        <v>1</v>
      </c>
      <c r="H67" s="2">
        <v>6</v>
      </c>
      <c r="I67" s="3">
        <v>13</v>
      </c>
      <c r="J67" s="2">
        <v>12</v>
      </c>
      <c r="K67" s="2">
        <v>6</v>
      </c>
      <c r="L67" s="2">
        <v>0</v>
      </c>
      <c r="M67" s="2">
        <v>35</v>
      </c>
      <c r="N67" s="2">
        <v>58</v>
      </c>
      <c r="O67" s="2">
        <v>8</v>
      </c>
      <c r="P67" s="3">
        <v>3</v>
      </c>
      <c r="Q67" s="2">
        <v>6</v>
      </c>
      <c r="R67" s="2">
        <v>163</v>
      </c>
      <c r="S67" s="2">
        <v>1</v>
      </c>
      <c r="T67" s="2">
        <v>2</v>
      </c>
      <c r="U67" s="2">
        <v>0</v>
      </c>
      <c r="V67" s="2">
        <f t="shared" si="6"/>
        <v>75</v>
      </c>
      <c r="W67" s="2">
        <v>2</v>
      </c>
      <c r="X67" s="2">
        <v>1</v>
      </c>
      <c r="Y67" s="2">
        <v>0</v>
      </c>
      <c r="Z67" s="2">
        <f t="shared" si="7"/>
        <v>3</v>
      </c>
      <c r="AA67" s="2">
        <f t="shared" si="8"/>
        <v>78</v>
      </c>
      <c r="AB67" s="2">
        <v>3677</v>
      </c>
      <c r="AC67" s="20">
        <f t="shared" si="9"/>
        <v>2.12129453358716</v>
      </c>
      <c r="AD67" s="22" t="s">
        <v>83</v>
      </c>
      <c r="AE67" s="2">
        <v>100</v>
      </c>
      <c r="AF67" s="21">
        <f t="shared" si="10"/>
        <v>3.98803372314387</v>
      </c>
      <c r="AG67" s="4">
        <f t="shared" si="11"/>
        <v>2.03970628229535</v>
      </c>
      <c r="AH67" s="4">
        <f t="shared" si="12"/>
        <v>0.081588251291814</v>
      </c>
    </row>
    <row r="68" spans="1:34">
      <c r="A68" s="2">
        <v>20260104</v>
      </c>
      <c r="B68" s="2" t="s">
        <v>176</v>
      </c>
      <c r="C68" s="2" t="s">
        <v>177</v>
      </c>
      <c r="D68" s="2">
        <v>2</v>
      </c>
      <c r="E68" s="2">
        <v>4</v>
      </c>
      <c r="F68" s="2">
        <v>10</v>
      </c>
      <c r="G68" s="2">
        <v>1</v>
      </c>
      <c r="H68" s="2">
        <v>5</v>
      </c>
      <c r="I68" s="3">
        <v>19</v>
      </c>
      <c r="J68" s="2">
        <v>15</v>
      </c>
      <c r="K68" s="2">
        <v>23</v>
      </c>
      <c r="L68" s="2">
        <v>0</v>
      </c>
      <c r="M68" s="2">
        <v>12</v>
      </c>
      <c r="N68" s="2">
        <v>56</v>
      </c>
      <c r="O68" s="2">
        <v>10</v>
      </c>
      <c r="P68" s="3">
        <v>5</v>
      </c>
      <c r="Q68" s="2">
        <v>22</v>
      </c>
      <c r="R68" s="2">
        <v>95</v>
      </c>
      <c r="S68" s="2">
        <v>0</v>
      </c>
      <c r="T68" s="2">
        <v>4</v>
      </c>
      <c r="U68" s="2">
        <v>0</v>
      </c>
      <c r="V68" s="2">
        <f t="shared" si="6"/>
        <v>80</v>
      </c>
      <c r="W68" s="2">
        <v>1</v>
      </c>
      <c r="X68" s="2">
        <v>3</v>
      </c>
      <c r="Y68" s="2">
        <v>0</v>
      </c>
      <c r="Z68" s="2">
        <f t="shared" si="7"/>
        <v>4</v>
      </c>
      <c r="AA68" s="2">
        <f t="shared" si="8"/>
        <v>84</v>
      </c>
      <c r="AB68" s="2">
        <v>3936</v>
      </c>
      <c r="AC68" s="20">
        <f t="shared" si="9"/>
        <v>2.13414634146341</v>
      </c>
      <c r="AD68" s="22" t="s">
        <v>83</v>
      </c>
      <c r="AE68" s="2">
        <v>100</v>
      </c>
      <c r="AF68" s="21">
        <f t="shared" si="10"/>
        <v>4.01219512195122</v>
      </c>
      <c r="AG68" s="4">
        <f t="shared" si="11"/>
        <v>2.03252032520325</v>
      </c>
      <c r="AH68" s="4">
        <f t="shared" si="12"/>
        <v>0.101626016260163</v>
      </c>
    </row>
    <row r="69" spans="1:34">
      <c r="A69" s="2">
        <v>20260104</v>
      </c>
      <c r="B69" s="2" t="s">
        <v>178</v>
      </c>
      <c r="C69" s="2" t="s">
        <v>179</v>
      </c>
      <c r="D69" s="2">
        <v>4</v>
      </c>
      <c r="E69" s="2">
        <v>3</v>
      </c>
      <c r="F69" s="2">
        <v>20</v>
      </c>
      <c r="G69" s="2">
        <v>4</v>
      </c>
      <c r="H69" s="2">
        <v>12</v>
      </c>
      <c r="I69" s="3">
        <v>11</v>
      </c>
      <c r="J69" s="2">
        <v>5</v>
      </c>
      <c r="K69" s="2">
        <v>9</v>
      </c>
      <c r="L69" s="2">
        <v>1</v>
      </c>
      <c r="M69" s="2">
        <v>29</v>
      </c>
      <c r="N69" s="2">
        <v>42</v>
      </c>
      <c r="O69" s="2">
        <v>15</v>
      </c>
      <c r="P69" s="3">
        <v>3</v>
      </c>
      <c r="Q69" s="2">
        <v>20</v>
      </c>
      <c r="R69" s="2">
        <v>74</v>
      </c>
      <c r="S69" s="2">
        <v>7</v>
      </c>
      <c r="T69" s="2">
        <v>5</v>
      </c>
      <c r="U69" s="2">
        <v>0</v>
      </c>
      <c r="V69" s="2">
        <f t="shared" si="6"/>
        <v>72</v>
      </c>
      <c r="W69" s="2">
        <v>1</v>
      </c>
      <c r="X69" s="2">
        <v>6</v>
      </c>
      <c r="Y69" s="2">
        <v>0</v>
      </c>
      <c r="Z69" s="2">
        <f t="shared" si="7"/>
        <v>7</v>
      </c>
      <c r="AA69" s="2">
        <f t="shared" si="8"/>
        <v>79</v>
      </c>
      <c r="AB69" s="2">
        <v>3216</v>
      </c>
      <c r="AC69" s="20">
        <f t="shared" si="9"/>
        <v>2.45646766169154</v>
      </c>
      <c r="AD69" s="22" t="s">
        <v>83</v>
      </c>
      <c r="AE69" s="2">
        <v>100</v>
      </c>
      <c r="AF69" s="21">
        <f t="shared" si="10"/>
        <v>4.6181592039801</v>
      </c>
      <c r="AG69" s="4">
        <f t="shared" si="11"/>
        <v>2.23880597014925</v>
      </c>
      <c r="AH69" s="4">
        <f t="shared" si="12"/>
        <v>0.217661691542289</v>
      </c>
    </row>
    <row r="70" spans="1:34">
      <c r="A70" s="2">
        <v>20260104</v>
      </c>
      <c r="B70" s="29" t="s">
        <v>180</v>
      </c>
      <c r="C70" s="2" t="s">
        <v>181</v>
      </c>
      <c r="D70" s="2">
        <v>2</v>
      </c>
      <c r="E70" s="2">
        <v>1</v>
      </c>
      <c r="F70" s="2">
        <v>10</v>
      </c>
      <c r="G70" s="2">
        <v>2</v>
      </c>
      <c r="H70" s="2">
        <v>24</v>
      </c>
      <c r="I70" s="3">
        <v>20</v>
      </c>
      <c r="J70" s="2">
        <v>79</v>
      </c>
      <c r="K70" s="2">
        <v>7</v>
      </c>
      <c r="L70" s="2">
        <v>1</v>
      </c>
      <c r="M70" s="2">
        <v>59</v>
      </c>
      <c r="N70" s="2">
        <v>134</v>
      </c>
      <c r="O70" s="2">
        <v>6</v>
      </c>
      <c r="P70" s="3">
        <v>6</v>
      </c>
      <c r="Q70" s="2">
        <v>20</v>
      </c>
      <c r="R70" s="2">
        <v>223</v>
      </c>
      <c r="S70" s="2">
        <v>1</v>
      </c>
      <c r="T70" s="2">
        <v>2</v>
      </c>
      <c r="U70" s="2">
        <v>3</v>
      </c>
      <c r="V70" s="2">
        <f t="shared" si="6"/>
        <v>200</v>
      </c>
      <c r="W70" s="2">
        <v>0</v>
      </c>
      <c r="X70" s="2">
        <v>0</v>
      </c>
      <c r="Y70" s="2">
        <v>0</v>
      </c>
      <c r="Z70" s="2">
        <f t="shared" si="7"/>
        <v>3</v>
      </c>
      <c r="AA70" s="2">
        <f t="shared" si="8"/>
        <v>203</v>
      </c>
      <c r="AB70" s="2">
        <v>6276</v>
      </c>
      <c r="AC70" s="20">
        <f t="shared" si="9"/>
        <v>3.23454429572976</v>
      </c>
      <c r="AD70" s="22" t="s">
        <v>83</v>
      </c>
      <c r="AE70" s="2">
        <v>100</v>
      </c>
      <c r="AF70" s="21">
        <f t="shared" si="10"/>
        <v>6.08094327597196</v>
      </c>
      <c r="AG70" s="4">
        <f t="shared" si="11"/>
        <v>3.18674314850223</v>
      </c>
      <c r="AH70" s="4">
        <f t="shared" si="12"/>
        <v>0.0478011472275335</v>
      </c>
    </row>
    <row r="71" spans="1:34">
      <c r="A71" s="2">
        <v>20260104</v>
      </c>
      <c r="B71" s="2" t="s">
        <v>182</v>
      </c>
      <c r="C71" s="2" t="s">
        <v>183</v>
      </c>
      <c r="D71" s="2">
        <v>5</v>
      </c>
      <c r="E71" s="2">
        <v>140</v>
      </c>
      <c r="F71" s="2">
        <v>37</v>
      </c>
      <c r="G71" s="2">
        <v>12</v>
      </c>
      <c r="H71" s="2">
        <v>17</v>
      </c>
      <c r="I71" s="3">
        <v>15</v>
      </c>
      <c r="J71" s="2">
        <v>15</v>
      </c>
      <c r="K71" s="2">
        <v>12</v>
      </c>
      <c r="L71" s="2">
        <v>0</v>
      </c>
      <c r="M71" s="2">
        <v>35</v>
      </c>
      <c r="N71" s="2">
        <v>112</v>
      </c>
      <c r="O71" s="2">
        <v>32</v>
      </c>
      <c r="P71" s="3">
        <v>11</v>
      </c>
      <c r="Q71" s="2">
        <v>29</v>
      </c>
      <c r="R71" s="2">
        <v>92</v>
      </c>
      <c r="S71" s="2">
        <v>1</v>
      </c>
      <c r="T71" s="2">
        <v>14</v>
      </c>
      <c r="U71" s="2">
        <v>2</v>
      </c>
      <c r="V71" s="2">
        <f t="shared" si="6"/>
        <v>129</v>
      </c>
      <c r="W71" s="2">
        <v>0</v>
      </c>
      <c r="X71" s="2">
        <v>2</v>
      </c>
      <c r="Y71" s="2">
        <v>0</v>
      </c>
      <c r="Z71" s="2">
        <f t="shared" si="7"/>
        <v>4</v>
      </c>
      <c r="AA71" s="2">
        <f t="shared" si="8"/>
        <v>133</v>
      </c>
      <c r="AB71" s="2">
        <v>4317</v>
      </c>
      <c r="AC71" s="20">
        <f t="shared" si="9"/>
        <v>3.08084317813296</v>
      </c>
      <c r="AD71" s="22" t="s">
        <v>83</v>
      </c>
      <c r="AE71" s="2">
        <v>100</v>
      </c>
      <c r="AF71" s="21">
        <f t="shared" si="10"/>
        <v>5.79198517488997</v>
      </c>
      <c r="AG71" s="4">
        <f t="shared" si="11"/>
        <v>2.98818624044475</v>
      </c>
      <c r="AH71" s="4">
        <f t="shared" si="12"/>
        <v>0.0926569376882094</v>
      </c>
    </row>
    <row r="72" spans="1:34">
      <c r="A72" s="2">
        <v>20260104</v>
      </c>
      <c r="B72" s="2" t="s">
        <v>184</v>
      </c>
      <c r="C72" s="2" t="s">
        <v>185</v>
      </c>
      <c r="D72" s="2">
        <v>0</v>
      </c>
      <c r="E72" s="2">
        <v>6</v>
      </c>
      <c r="F72" s="2">
        <v>7</v>
      </c>
      <c r="G72" s="2">
        <v>0</v>
      </c>
      <c r="H72" s="2">
        <v>8</v>
      </c>
      <c r="I72" s="3">
        <v>24</v>
      </c>
      <c r="J72" s="2">
        <v>7</v>
      </c>
      <c r="K72" s="2">
        <v>4</v>
      </c>
      <c r="L72" s="2">
        <v>1</v>
      </c>
      <c r="M72" s="2">
        <v>18</v>
      </c>
      <c r="N72" s="2">
        <v>67</v>
      </c>
      <c r="O72" s="2">
        <v>1</v>
      </c>
      <c r="P72" s="3">
        <v>2</v>
      </c>
      <c r="Q72" s="2">
        <v>4</v>
      </c>
      <c r="R72" s="2">
        <v>9</v>
      </c>
      <c r="S72" s="2">
        <v>99</v>
      </c>
      <c r="T72" s="2">
        <v>2</v>
      </c>
      <c r="U72" s="2">
        <v>1</v>
      </c>
      <c r="V72" s="2">
        <f t="shared" si="6"/>
        <v>56</v>
      </c>
      <c r="W72" s="2">
        <v>1</v>
      </c>
      <c r="X72" s="2">
        <v>9</v>
      </c>
      <c r="Y72" s="2">
        <v>0</v>
      </c>
      <c r="Z72" s="2">
        <f t="shared" si="7"/>
        <v>11</v>
      </c>
      <c r="AA72" s="2">
        <f t="shared" si="8"/>
        <v>67</v>
      </c>
      <c r="AB72" s="2">
        <v>3519</v>
      </c>
      <c r="AC72" s="20">
        <f t="shared" si="9"/>
        <v>1.90394998579142</v>
      </c>
      <c r="AD72" s="22" t="s">
        <v>83</v>
      </c>
      <c r="AE72" s="2">
        <v>100</v>
      </c>
      <c r="AF72" s="21">
        <f t="shared" si="10"/>
        <v>3.57942597328787</v>
      </c>
      <c r="AG72" s="4">
        <f t="shared" si="11"/>
        <v>1.59136118215402</v>
      </c>
      <c r="AH72" s="4">
        <f t="shared" si="12"/>
        <v>0.312588803637397</v>
      </c>
    </row>
    <row r="73" spans="1:34">
      <c r="A73" s="2">
        <v>20260105</v>
      </c>
      <c r="B73" s="2" t="s">
        <v>186</v>
      </c>
      <c r="C73" s="2" t="s">
        <v>187</v>
      </c>
      <c r="D73" s="2">
        <v>3</v>
      </c>
      <c r="E73" s="2">
        <v>3</v>
      </c>
      <c r="F73" s="2">
        <v>8</v>
      </c>
      <c r="G73" s="2">
        <v>1</v>
      </c>
      <c r="H73" s="2">
        <v>6</v>
      </c>
      <c r="I73" s="3">
        <v>50</v>
      </c>
      <c r="J73" s="2">
        <v>26</v>
      </c>
      <c r="K73" s="2">
        <v>7</v>
      </c>
      <c r="L73" s="2">
        <v>1</v>
      </c>
      <c r="M73" s="2">
        <v>11</v>
      </c>
      <c r="N73" s="2">
        <v>17</v>
      </c>
      <c r="O73" s="2">
        <v>9</v>
      </c>
      <c r="P73" s="3">
        <v>7</v>
      </c>
      <c r="Q73" s="2">
        <v>12</v>
      </c>
      <c r="R73" s="2">
        <v>173</v>
      </c>
      <c r="S73" s="2">
        <v>7</v>
      </c>
      <c r="T73" s="2">
        <v>3</v>
      </c>
      <c r="U73" s="2">
        <v>1</v>
      </c>
      <c r="V73" s="2">
        <f t="shared" si="6"/>
        <v>86</v>
      </c>
      <c r="W73" s="2">
        <v>0</v>
      </c>
      <c r="X73" s="2">
        <v>26</v>
      </c>
      <c r="Y73" s="2">
        <v>0</v>
      </c>
      <c r="Z73" s="2">
        <f t="shared" si="7"/>
        <v>27</v>
      </c>
      <c r="AA73" s="2">
        <f t="shared" si="8"/>
        <v>113</v>
      </c>
      <c r="AB73" s="2">
        <v>3004</v>
      </c>
      <c r="AC73" s="20">
        <f t="shared" si="9"/>
        <v>3.76165113182423</v>
      </c>
      <c r="AD73" s="22" t="s">
        <v>83</v>
      </c>
      <c r="AE73" s="2">
        <v>125</v>
      </c>
      <c r="AF73" s="21">
        <f t="shared" si="10"/>
        <v>5.65752330226365</v>
      </c>
      <c r="AG73" s="4">
        <f t="shared" si="11"/>
        <v>2.86284953395473</v>
      </c>
      <c r="AH73" s="4">
        <f t="shared" si="12"/>
        <v>0.898801597869507</v>
      </c>
    </row>
    <row r="74" spans="1:34">
      <c r="A74" s="2">
        <v>20260105</v>
      </c>
      <c r="B74" s="2" t="s">
        <v>188</v>
      </c>
      <c r="C74" s="2" t="s">
        <v>189</v>
      </c>
      <c r="D74" s="2">
        <v>1</v>
      </c>
      <c r="E74" s="2">
        <v>18</v>
      </c>
      <c r="F74" s="2">
        <v>19</v>
      </c>
      <c r="G74" s="2">
        <v>1</v>
      </c>
      <c r="H74" s="2">
        <v>2</v>
      </c>
      <c r="I74" s="3">
        <v>19</v>
      </c>
      <c r="J74" s="2">
        <v>19</v>
      </c>
      <c r="K74" s="2">
        <v>6</v>
      </c>
      <c r="L74" s="2">
        <v>0</v>
      </c>
      <c r="M74" s="2">
        <v>1</v>
      </c>
      <c r="N74" s="2">
        <v>12</v>
      </c>
      <c r="O74" s="2">
        <v>12</v>
      </c>
      <c r="P74" s="3">
        <v>3</v>
      </c>
      <c r="Q74" s="2">
        <v>22</v>
      </c>
      <c r="R74" s="2">
        <v>210</v>
      </c>
      <c r="S74" s="2">
        <v>1</v>
      </c>
      <c r="T74" s="2">
        <v>3</v>
      </c>
      <c r="U74" s="2">
        <v>0</v>
      </c>
      <c r="V74" s="2">
        <f t="shared" si="6"/>
        <v>49</v>
      </c>
      <c r="W74" s="2">
        <v>0</v>
      </c>
      <c r="X74" s="2">
        <v>5</v>
      </c>
      <c r="Y74" s="2">
        <v>0</v>
      </c>
      <c r="Z74" s="2">
        <f t="shared" si="7"/>
        <v>5</v>
      </c>
      <c r="AA74" s="2">
        <f t="shared" si="8"/>
        <v>54</v>
      </c>
      <c r="AB74" s="2">
        <v>3004</v>
      </c>
      <c r="AC74" s="20">
        <f t="shared" si="9"/>
        <v>1.79760319573901</v>
      </c>
      <c r="AD74" s="22" t="s">
        <v>83</v>
      </c>
      <c r="AE74" s="2">
        <v>125</v>
      </c>
      <c r="AF74" s="21">
        <f t="shared" si="10"/>
        <v>2.70359520639148</v>
      </c>
      <c r="AG74" s="4">
        <f t="shared" si="11"/>
        <v>1.63115845539281</v>
      </c>
      <c r="AH74" s="4">
        <f t="shared" si="12"/>
        <v>0.166444740346205</v>
      </c>
    </row>
    <row r="75" spans="1:34">
      <c r="A75" s="2">
        <v>20260105</v>
      </c>
      <c r="B75" s="2" t="s">
        <v>190</v>
      </c>
      <c r="C75" s="2" t="s">
        <v>191</v>
      </c>
      <c r="D75" s="2">
        <v>1</v>
      </c>
      <c r="E75" s="2">
        <v>131</v>
      </c>
      <c r="F75" s="2">
        <v>9</v>
      </c>
      <c r="G75" s="2">
        <v>1</v>
      </c>
      <c r="H75" s="2">
        <v>5</v>
      </c>
      <c r="I75" s="3">
        <v>12</v>
      </c>
      <c r="J75" s="2">
        <v>8</v>
      </c>
      <c r="K75" s="2">
        <v>3</v>
      </c>
      <c r="L75" s="2">
        <v>1</v>
      </c>
      <c r="M75" s="2">
        <v>0</v>
      </c>
      <c r="N75" s="2">
        <v>23</v>
      </c>
      <c r="O75" s="2">
        <v>4</v>
      </c>
      <c r="P75" s="3">
        <v>6</v>
      </c>
      <c r="Q75" s="2">
        <v>19</v>
      </c>
      <c r="R75" s="2">
        <v>186</v>
      </c>
      <c r="S75" s="2">
        <v>0</v>
      </c>
      <c r="T75" s="2">
        <v>8</v>
      </c>
      <c r="U75" s="2">
        <v>0</v>
      </c>
      <c r="V75" s="2">
        <f t="shared" si="6"/>
        <v>39</v>
      </c>
      <c r="W75" s="2">
        <v>2</v>
      </c>
      <c r="X75" s="2">
        <v>3</v>
      </c>
      <c r="Y75" s="2">
        <v>0</v>
      </c>
      <c r="Z75" s="2">
        <f t="shared" si="7"/>
        <v>5</v>
      </c>
      <c r="AA75" s="2">
        <f t="shared" si="8"/>
        <v>44</v>
      </c>
      <c r="AB75" s="2">
        <v>3203</v>
      </c>
      <c r="AC75" s="20">
        <f t="shared" si="9"/>
        <v>1.37371214486419</v>
      </c>
      <c r="AD75" s="22" t="s">
        <v>83</v>
      </c>
      <c r="AE75" s="2">
        <v>125</v>
      </c>
      <c r="AF75" s="21">
        <f t="shared" si="10"/>
        <v>2.06606306587574</v>
      </c>
      <c r="AG75" s="4">
        <f t="shared" si="11"/>
        <v>1.21760849203871</v>
      </c>
      <c r="AH75" s="4">
        <f t="shared" si="12"/>
        <v>0.156103652825476</v>
      </c>
    </row>
    <row r="76" spans="1:34">
      <c r="A76" s="2">
        <v>20260105</v>
      </c>
      <c r="B76" s="2" t="s">
        <v>192</v>
      </c>
      <c r="C76" s="2" t="s">
        <v>193</v>
      </c>
      <c r="D76" s="2">
        <v>0</v>
      </c>
      <c r="E76" s="2">
        <v>64</v>
      </c>
      <c r="F76" s="2">
        <v>7</v>
      </c>
      <c r="G76" s="2">
        <v>4</v>
      </c>
      <c r="H76" s="2">
        <v>4</v>
      </c>
      <c r="I76" s="3">
        <v>9</v>
      </c>
      <c r="J76" s="2">
        <v>18</v>
      </c>
      <c r="K76" s="2">
        <v>5</v>
      </c>
      <c r="L76" s="2">
        <v>1</v>
      </c>
      <c r="M76" s="2">
        <v>4</v>
      </c>
      <c r="N76" s="2">
        <v>22</v>
      </c>
      <c r="O76" s="2">
        <v>5</v>
      </c>
      <c r="P76" s="3">
        <v>3</v>
      </c>
      <c r="Q76" s="2">
        <v>10</v>
      </c>
      <c r="R76" s="2">
        <v>193</v>
      </c>
      <c r="S76" s="2">
        <v>0</v>
      </c>
      <c r="T76" s="2">
        <v>4</v>
      </c>
      <c r="U76" s="2">
        <v>1</v>
      </c>
      <c r="V76" s="2">
        <f t="shared" si="6"/>
        <v>51</v>
      </c>
      <c r="W76" s="2">
        <v>1</v>
      </c>
      <c r="X76" s="2">
        <v>0</v>
      </c>
      <c r="Y76" s="2">
        <v>0</v>
      </c>
      <c r="Z76" s="2">
        <f t="shared" si="7"/>
        <v>2</v>
      </c>
      <c r="AA76" s="2">
        <f t="shared" si="8"/>
        <v>53</v>
      </c>
      <c r="AB76" s="2">
        <v>2654</v>
      </c>
      <c r="AC76" s="20">
        <f t="shared" si="9"/>
        <v>1.99698568198945</v>
      </c>
      <c r="AD76" s="22" t="s">
        <v>83</v>
      </c>
      <c r="AE76" s="2">
        <v>125</v>
      </c>
      <c r="AF76" s="21">
        <f t="shared" si="10"/>
        <v>3.00346646571213</v>
      </c>
      <c r="AG76" s="4">
        <f t="shared" si="11"/>
        <v>1.9216277317257</v>
      </c>
      <c r="AH76" s="4">
        <f t="shared" si="12"/>
        <v>0.0753579502637528</v>
      </c>
    </row>
    <row r="77" spans="1:34">
      <c r="A77" s="2">
        <v>20260105</v>
      </c>
      <c r="B77" s="2" t="s">
        <v>194</v>
      </c>
      <c r="C77" s="2" t="s">
        <v>195</v>
      </c>
      <c r="D77" s="2">
        <v>26</v>
      </c>
      <c r="E77" s="2">
        <v>56</v>
      </c>
      <c r="F77" s="2">
        <v>27</v>
      </c>
      <c r="G77" s="2">
        <v>1</v>
      </c>
      <c r="H77" s="2">
        <v>14</v>
      </c>
      <c r="I77" s="3">
        <v>24</v>
      </c>
      <c r="J77" s="2">
        <v>11</v>
      </c>
      <c r="K77" s="2">
        <v>14</v>
      </c>
      <c r="L77" s="2">
        <v>0</v>
      </c>
      <c r="M77" s="2">
        <v>3</v>
      </c>
      <c r="N77" s="2">
        <v>48</v>
      </c>
      <c r="O77" s="2">
        <v>62</v>
      </c>
      <c r="P77" s="3">
        <v>12</v>
      </c>
      <c r="Q77" s="2">
        <v>18</v>
      </c>
      <c r="R77" s="2">
        <v>126</v>
      </c>
      <c r="S77" s="2">
        <v>2</v>
      </c>
      <c r="T77" s="2">
        <v>4</v>
      </c>
      <c r="U77" s="2">
        <v>1</v>
      </c>
      <c r="V77" s="2">
        <f t="shared" si="6"/>
        <v>78</v>
      </c>
      <c r="W77" s="2">
        <v>3</v>
      </c>
      <c r="X77" s="2">
        <v>2</v>
      </c>
      <c r="Y77" s="2">
        <v>0</v>
      </c>
      <c r="Z77" s="2">
        <f t="shared" si="7"/>
        <v>6</v>
      </c>
      <c r="AA77" s="2">
        <f t="shared" si="8"/>
        <v>84</v>
      </c>
      <c r="AB77" s="2">
        <v>3344</v>
      </c>
      <c r="AC77" s="20">
        <f t="shared" si="9"/>
        <v>2.51196172248804</v>
      </c>
      <c r="AD77" s="22" t="s">
        <v>83</v>
      </c>
      <c r="AE77" s="2">
        <v>125</v>
      </c>
      <c r="AF77" s="21">
        <f t="shared" si="10"/>
        <v>3.77799043062201</v>
      </c>
      <c r="AG77" s="4">
        <f t="shared" si="11"/>
        <v>2.33253588516746</v>
      </c>
      <c r="AH77" s="4">
        <f t="shared" si="12"/>
        <v>0.179425837320574</v>
      </c>
    </row>
    <row r="78" spans="1:34">
      <c r="A78" s="2">
        <v>20260105</v>
      </c>
      <c r="B78" s="2" t="s">
        <v>196</v>
      </c>
      <c r="C78" s="2" t="s">
        <v>197</v>
      </c>
      <c r="D78" s="2">
        <v>12</v>
      </c>
      <c r="E78" s="2">
        <v>6</v>
      </c>
      <c r="F78" s="2">
        <v>39</v>
      </c>
      <c r="G78" s="2">
        <v>2</v>
      </c>
      <c r="H78" s="2">
        <v>3</v>
      </c>
      <c r="I78" s="3">
        <v>28</v>
      </c>
      <c r="J78" s="2">
        <v>10</v>
      </c>
      <c r="K78" s="2">
        <v>12</v>
      </c>
      <c r="L78" s="2">
        <v>0</v>
      </c>
      <c r="M78" s="2">
        <v>6</v>
      </c>
      <c r="N78" s="2">
        <v>62</v>
      </c>
      <c r="O78" s="2">
        <v>27</v>
      </c>
      <c r="P78" s="3">
        <v>8</v>
      </c>
      <c r="Q78" s="2">
        <v>30</v>
      </c>
      <c r="R78" s="2">
        <v>45</v>
      </c>
      <c r="S78" s="2">
        <v>5</v>
      </c>
      <c r="T78" s="2">
        <v>2</v>
      </c>
      <c r="U78" s="2">
        <v>1</v>
      </c>
      <c r="V78" s="2">
        <f t="shared" si="6"/>
        <v>44</v>
      </c>
      <c r="W78" s="2">
        <v>7</v>
      </c>
      <c r="X78" s="2">
        <v>20</v>
      </c>
      <c r="Y78" s="2">
        <v>0</v>
      </c>
      <c r="Z78" s="2">
        <f t="shared" si="7"/>
        <v>28</v>
      </c>
      <c r="AA78" s="2">
        <f t="shared" si="8"/>
        <v>72</v>
      </c>
      <c r="AB78" s="2">
        <v>5212</v>
      </c>
      <c r="AC78" s="20">
        <f t="shared" si="9"/>
        <v>1.38142747505756</v>
      </c>
      <c r="AD78" s="22" t="s">
        <v>83</v>
      </c>
      <c r="AE78" s="2">
        <v>125</v>
      </c>
      <c r="AF78" s="21">
        <f t="shared" si="10"/>
        <v>2.07766692248657</v>
      </c>
      <c r="AG78" s="4">
        <f t="shared" si="11"/>
        <v>0.844205679201842</v>
      </c>
      <c r="AH78" s="4">
        <f t="shared" si="12"/>
        <v>0.537221795855718</v>
      </c>
    </row>
    <row r="79" spans="1:34">
      <c r="A79" s="2">
        <v>20260105</v>
      </c>
      <c r="B79" s="2" t="s">
        <v>198</v>
      </c>
      <c r="C79" s="2" t="s">
        <v>199</v>
      </c>
      <c r="D79" s="2">
        <v>1</v>
      </c>
      <c r="E79" s="2">
        <v>1</v>
      </c>
      <c r="F79" s="2">
        <v>6</v>
      </c>
      <c r="G79" s="2">
        <v>1</v>
      </c>
      <c r="H79" s="2">
        <v>2</v>
      </c>
      <c r="I79" s="3">
        <v>6</v>
      </c>
      <c r="J79" s="2">
        <v>2</v>
      </c>
      <c r="K79" s="2">
        <v>3</v>
      </c>
      <c r="L79" s="2">
        <v>1</v>
      </c>
      <c r="M79" s="2">
        <v>11</v>
      </c>
      <c r="N79" s="2">
        <v>14</v>
      </c>
      <c r="O79" s="2">
        <v>3</v>
      </c>
      <c r="P79" s="3">
        <v>3</v>
      </c>
      <c r="Q79" s="2">
        <v>8</v>
      </c>
      <c r="R79" s="2">
        <v>24</v>
      </c>
      <c r="S79" s="2">
        <v>1</v>
      </c>
      <c r="T79" s="2">
        <v>2</v>
      </c>
      <c r="U79" s="2">
        <v>0</v>
      </c>
      <c r="V79" s="2">
        <f t="shared" si="6"/>
        <v>28</v>
      </c>
      <c r="W79" s="2">
        <v>2</v>
      </c>
      <c r="X79" s="2">
        <v>1</v>
      </c>
      <c r="Y79" s="2">
        <v>0</v>
      </c>
      <c r="Z79" s="2">
        <f t="shared" si="7"/>
        <v>3</v>
      </c>
      <c r="AA79" s="2">
        <f t="shared" si="8"/>
        <v>31</v>
      </c>
      <c r="AB79" s="2">
        <v>2191</v>
      </c>
      <c r="AC79" s="20">
        <f t="shared" si="9"/>
        <v>1.4148790506618</v>
      </c>
      <c r="AD79" s="22" t="s">
        <v>83</v>
      </c>
      <c r="AE79" s="2">
        <v>125</v>
      </c>
      <c r="AF79" s="21">
        <f t="shared" si="10"/>
        <v>2.12797809219534</v>
      </c>
      <c r="AG79" s="4">
        <f t="shared" si="11"/>
        <v>1.2779552715655</v>
      </c>
      <c r="AH79" s="4">
        <f t="shared" si="12"/>
        <v>0.136923779096303</v>
      </c>
    </row>
    <row r="80" spans="1:34">
      <c r="A80" s="2">
        <v>20260105</v>
      </c>
      <c r="B80" s="1" t="s">
        <v>200</v>
      </c>
      <c r="C80" s="2" t="s">
        <v>201</v>
      </c>
      <c r="D80" s="2">
        <v>2</v>
      </c>
      <c r="E80" s="2">
        <v>393</v>
      </c>
      <c r="F80" s="2">
        <v>16</v>
      </c>
      <c r="G80" s="2">
        <v>12</v>
      </c>
      <c r="H80" s="2">
        <v>8</v>
      </c>
      <c r="I80" s="3">
        <v>11</v>
      </c>
      <c r="J80" s="2">
        <v>19</v>
      </c>
      <c r="K80" s="2">
        <v>0</v>
      </c>
      <c r="L80" s="2">
        <v>0</v>
      </c>
      <c r="M80" s="2">
        <v>4</v>
      </c>
      <c r="N80" s="2">
        <v>3</v>
      </c>
      <c r="O80" s="2">
        <v>20</v>
      </c>
      <c r="P80" s="3">
        <v>8</v>
      </c>
      <c r="Q80" s="2">
        <v>8</v>
      </c>
      <c r="R80" s="2">
        <v>412</v>
      </c>
      <c r="S80" s="2">
        <v>7</v>
      </c>
      <c r="T80" s="2">
        <v>4</v>
      </c>
      <c r="U80" s="2">
        <v>1</v>
      </c>
      <c r="V80" s="2">
        <v>1</v>
      </c>
      <c r="W80" s="2">
        <v>0</v>
      </c>
      <c r="X80" s="2">
        <v>1</v>
      </c>
      <c r="Y80" s="2">
        <v>0</v>
      </c>
      <c r="Z80" s="2">
        <f t="shared" si="7"/>
        <v>2</v>
      </c>
      <c r="AA80" s="2">
        <f t="shared" si="8"/>
        <v>67</v>
      </c>
      <c r="AB80" s="2">
        <v>1561</v>
      </c>
      <c r="AC80" s="20">
        <f t="shared" si="9"/>
        <v>4.29212043561819</v>
      </c>
      <c r="AD80" s="22" t="s">
        <v>202</v>
      </c>
      <c r="AE80" s="2">
        <v>250</v>
      </c>
      <c r="AF80" s="21">
        <f t="shared" si="10"/>
        <v>3.22767456758488</v>
      </c>
      <c r="AG80" s="4">
        <f t="shared" si="11"/>
        <v>0.0640614990390775</v>
      </c>
      <c r="AH80" s="4">
        <f t="shared" si="12"/>
        <v>0.128122998078155</v>
      </c>
    </row>
    <row r="81" spans="1:34">
      <c r="A81" s="2">
        <v>20260105</v>
      </c>
      <c r="B81" s="2" t="s">
        <v>203</v>
      </c>
      <c r="C81" s="2" t="s">
        <v>204</v>
      </c>
      <c r="D81" s="2">
        <v>6</v>
      </c>
      <c r="E81" s="2">
        <v>13</v>
      </c>
      <c r="F81" s="2">
        <v>13</v>
      </c>
      <c r="G81" s="2">
        <v>4</v>
      </c>
      <c r="H81" s="2">
        <v>1</v>
      </c>
      <c r="I81" s="3">
        <v>22</v>
      </c>
      <c r="J81" s="2">
        <v>5</v>
      </c>
      <c r="K81" s="2">
        <v>1</v>
      </c>
      <c r="L81" s="2">
        <v>1</v>
      </c>
      <c r="M81" s="2">
        <v>4</v>
      </c>
      <c r="N81" s="2">
        <v>8</v>
      </c>
      <c r="O81" s="2">
        <v>37</v>
      </c>
      <c r="P81" s="3">
        <v>2</v>
      </c>
      <c r="Q81" s="2">
        <v>9</v>
      </c>
      <c r="R81" s="2">
        <v>7</v>
      </c>
      <c r="S81" s="2">
        <v>2</v>
      </c>
      <c r="T81" s="2">
        <v>2</v>
      </c>
      <c r="U81" s="2">
        <v>1</v>
      </c>
      <c r="V81" s="2">
        <f t="shared" ref="V81:V144" si="13">AA81-Y81-X81-W81-U81</f>
        <v>32</v>
      </c>
      <c r="W81" s="2">
        <v>1</v>
      </c>
      <c r="X81" s="2">
        <v>9</v>
      </c>
      <c r="Y81" s="2">
        <v>0</v>
      </c>
      <c r="Z81" s="2">
        <f t="shared" si="7"/>
        <v>11</v>
      </c>
      <c r="AA81" s="2">
        <f t="shared" si="8"/>
        <v>43</v>
      </c>
      <c r="AB81" s="2">
        <v>1287</v>
      </c>
      <c r="AC81" s="20">
        <f t="shared" si="9"/>
        <v>3.34110334110334</v>
      </c>
      <c r="AD81" s="22" t="s">
        <v>58</v>
      </c>
      <c r="AE81" s="2">
        <v>250</v>
      </c>
      <c r="AF81" s="21">
        <f t="shared" si="10"/>
        <v>2.51250971250971</v>
      </c>
      <c r="AG81" s="4">
        <f t="shared" si="11"/>
        <v>2.48640248640249</v>
      </c>
      <c r="AH81" s="4">
        <f t="shared" si="12"/>
        <v>0.854700854700855</v>
      </c>
    </row>
    <row r="82" spans="1:34">
      <c r="A82" s="2">
        <v>20260105</v>
      </c>
      <c r="B82" s="2" t="s">
        <v>205</v>
      </c>
      <c r="C82" s="2" t="s">
        <v>206</v>
      </c>
      <c r="D82" s="2">
        <v>8</v>
      </c>
      <c r="E82" s="2">
        <v>19</v>
      </c>
      <c r="F82" s="2">
        <v>24</v>
      </c>
      <c r="G82" s="2">
        <v>6</v>
      </c>
      <c r="H82" s="2">
        <v>4</v>
      </c>
      <c r="I82" s="3">
        <v>30</v>
      </c>
      <c r="J82" s="2">
        <v>10</v>
      </c>
      <c r="K82" s="2">
        <v>2</v>
      </c>
      <c r="L82" s="2">
        <v>1</v>
      </c>
      <c r="M82" s="2">
        <v>5</v>
      </c>
      <c r="N82" s="2">
        <v>14</v>
      </c>
      <c r="O82" s="2">
        <v>36</v>
      </c>
      <c r="P82" s="3">
        <v>6</v>
      </c>
      <c r="Q82" s="2">
        <v>20</v>
      </c>
      <c r="R82" s="2">
        <v>9</v>
      </c>
      <c r="S82" s="2">
        <v>9</v>
      </c>
      <c r="T82" s="2">
        <v>3</v>
      </c>
      <c r="U82" s="2">
        <v>0</v>
      </c>
      <c r="V82" s="2">
        <f t="shared" si="13"/>
        <v>50</v>
      </c>
      <c r="W82" s="2">
        <v>0</v>
      </c>
      <c r="X82" s="2">
        <v>17</v>
      </c>
      <c r="Y82" s="2">
        <v>0</v>
      </c>
      <c r="Z82" s="2">
        <f t="shared" si="7"/>
        <v>17</v>
      </c>
      <c r="AA82" s="2">
        <f t="shared" si="8"/>
        <v>67</v>
      </c>
      <c r="AB82" s="2">
        <v>2737</v>
      </c>
      <c r="AC82" s="20">
        <f t="shared" si="9"/>
        <v>2.44793569601754</v>
      </c>
      <c r="AD82" s="22" t="s">
        <v>58</v>
      </c>
      <c r="AE82" s="2">
        <v>250</v>
      </c>
      <c r="AF82" s="21">
        <f t="shared" si="10"/>
        <v>1.84084764340519</v>
      </c>
      <c r="AG82" s="4">
        <f t="shared" si="11"/>
        <v>1.82681768359518</v>
      </c>
      <c r="AH82" s="4">
        <f t="shared" si="12"/>
        <v>0.62111801242236</v>
      </c>
    </row>
    <row r="83" spans="1:34">
      <c r="A83" s="2">
        <v>20260105</v>
      </c>
      <c r="B83" s="2" t="s">
        <v>207</v>
      </c>
      <c r="C83" s="2" t="s">
        <v>208</v>
      </c>
      <c r="D83" s="2">
        <v>6</v>
      </c>
      <c r="E83" s="2">
        <v>14</v>
      </c>
      <c r="F83" s="2">
        <v>38</v>
      </c>
      <c r="G83" s="2">
        <v>7</v>
      </c>
      <c r="H83" s="2">
        <v>17</v>
      </c>
      <c r="I83" s="3">
        <v>78</v>
      </c>
      <c r="J83" s="2">
        <v>17</v>
      </c>
      <c r="K83" s="2">
        <v>11</v>
      </c>
      <c r="L83" s="2">
        <v>1</v>
      </c>
      <c r="M83" s="2">
        <v>7</v>
      </c>
      <c r="N83" s="2">
        <v>16</v>
      </c>
      <c r="O83" s="2">
        <v>72</v>
      </c>
      <c r="P83" s="3">
        <v>15</v>
      </c>
      <c r="Q83" s="2">
        <v>24</v>
      </c>
      <c r="R83" s="2">
        <v>11</v>
      </c>
      <c r="S83" s="2">
        <v>2</v>
      </c>
      <c r="T83" s="2">
        <v>6</v>
      </c>
      <c r="U83" s="2">
        <v>0</v>
      </c>
      <c r="V83" s="2">
        <f t="shared" si="13"/>
        <v>132</v>
      </c>
      <c r="W83" s="2">
        <v>1</v>
      </c>
      <c r="X83" s="2">
        <v>26</v>
      </c>
      <c r="Y83" s="2">
        <v>0</v>
      </c>
      <c r="Z83" s="2">
        <f t="shared" si="7"/>
        <v>27</v>
      </c>
      <c r="AA83" s="2">
        <f t="shared" si="8"/>
        <v>159</v>
      </c>
      <c r="AB83" s="2">
        <v>2816</v>
      </c>
      <c r="AC83" s="20">
        <f t="shared" si="9"/>
        <v>5.64630681818182</v>
      </c>
      <c r="AD83" s="22" t="s">
        <v>58</v>
      </c>
      <c r="AE83" s="2">
        <v>250</v>
      </c>
      <c r="AF83" s="21">
        <f t="shared" si="10"/>
        <v>4.24602272727273</v>
      </c>
      <c r="AG83" s="4">
        <f t="shared" si="11"/>
        <v>4.6875</v>
      </c>
      <c r="AH83" s="4">
        <f t="shared" si="12"/>
        <v>0.958806818181818</v>
      </c>
    </row>
    <row r="84" spans="1:34">
      <c r="A84" s="2">
        <v>20260105</v>
      </c>
      <c r="B84" s="2" t="s">
        <v>209</v>
      </c>
      <c r="C84" s="2" t="s">
        <v>210</v>
      </c>
      <c r="D84" s="2">
        <v>2</v>
      </c>
      <c r="E84" s="2">
        <v>11</v>
      </c>
      <c r="F84" s="2">
        <v>13</v>
      </c>
      <c r="G84" s="2">
        <v>1</v>
      </c>
      <c r="H84" s="2">
        <v>3</v>
      </c>
      <c r="I84" s="3">
        <v>27</v>
      </c>
      <c r="J84" s="2">
        <v>7</v>
      </c>
      <c r="K84" s="2">
        <v>3</v>
      </c>
      <c r="L84" s="2">
        <v>1</v>
      </c>
      <c r="M84" s="2">
        <v>6</v>
      </c>
      <c r="N84" s="2">
        <v>2</v>
      </c>
      <c r="O84" s="2">
        <v>23</v>
      </c>
      <c r="P84" s="3">
        <v>1</v>
      </c>
      <c r="Q84" s="2">
        <v>4</v>
      </c>
      <c r="R84" s="2">
        <v>1</v>
      </c>
      <c r="S84" s="2">
        <v>2</v>
      </c>
      <c r="T84" s="2">
        <v>0</v>
      </c>
      <c r="U84" s="2">
        <v>0</v>
      </c>
      <c r="V84" s="2">
        <f t="shared" si="13"/>
        <v>41</v>
      </c>
      <c r="W84" s="2">
        <v>0</v>
      </c>
      <c r="X84" s="2">
        <v>8</v>
      </c>
      <c r="Y84" s="2">
        <v>0</v>
      </c>
      <c r="Z84" s="2">
        <f t="shared" si="7"/>
        <v>8</v>
      </c>
      <c r="AA84" s="2">
        <f t="shared" si="8"/>
        <v>49</v>
      </c>
      <c r="AB84" s="2">
        <v>996</v>
      </c>
      <c r="AC84" s="20">
        <f t="shared" si="9"/>
        <v>4.91967871485944</v>
      </c>
      <c r="AD84" s="22" t="s">
        <v>58</v>
      </c>
      <c r="AE84" s="2">
        <v>250</v>
      </c>
      <c r="AF84" s="21">
        <f t="shared" si="10"/>
        <v>3.6995983935743</v>
      </c>
      <c r="AG84" s="4">
        <f t="shared" si="11"/>
        <v>4.11646586345381</v>
      </c>
      <c r="AH84" s="4">
        <f t="shared" si="12"/>
        <v>0.803212851405622</v>
      </c>
    </row>
    <row r="85" spans="1:34">
      <c r="A85" s="2">
        <v>20260105</v>
      </c>
      <c r="B85" s="2" t="s">
        <v>211</v>
      </c>
      <c r="C85" s="2" t="s">
        <v>212</v>
      </c>
      <c r="D85" s="2">
        <v>6</v>
      </c>
      <c r="E85" s="2">
        <v>8</v>
      </c>
      <c r="F85" s="2">
        <v>13</v>
      </c>
      <c r="G85" s="2">
        <v>0</v>
      </c>
      <c r="H85" s="2">
        <v>2</v>
      </c>
      <c r="I85" s="3">
        <v>31</v>
      </c>
      <c r="J85" s="2">
        <v>4</v>
      </c>
      <c r="K85" s="2">
        <v>4</v>
      </c>
      <c r="L85" s="2">
        <v>0</v>
      </c>
      <c r="M85" s="2">
        <v>1</v>
      </c>
      <c r="N85" s="2">
        <v>5</v>
      </c>
      <c r="O85" s="2">
        <v>40</v>
      </c>
      <c r="P85" s="3">
        <v>2</v>
      </c>
      <c r="Q85" s="2">
        <v>3</v>
      </c>
      <c r="R85" s="2">
        <v>1</v>
      </c>
      <c r="S85" s="2">
        <v>2</v>
      </c>
      <c r="T85" s="2">
        <v>0</v>
      </c>
      <c r="U85" s="2">
        <v>1</v>
      </c>
      <c r="V85" s="2">
        <f t="shared" si="13"/>
        <v>21</v>
      </c>
      <c r="W85" s="2">
        <v>0</v>
      </c>
      <c r="X85" s="2">
        <v>23</v>
      </c>
      <c r="Y85" s="2">
        <v>0</v>
      </c>
      <c r="Z85" s="2">
        <f t="shared" si="7"/>
        <v>24</v>
      </c>
      <c r="AA85" s="2">
        <f t="shared" si="8"/>
        <v>45</v>
      </c>
      <c r="AB85" s="2">
        <v>1367</v>
      </c>
      <c r="AC85" s="20">
        <f t="shared" si="9"/>
        <v>3.29188002926116</v>
      </c>
      <c r="AD85" s="22" t="s">
        <v>58</v>
      </c>
      <c r="AE85" s="2">
        <v>250</v>
      </c>
      <c r="AF85" s="21">
        <f t="shared" si="10"/>
        <v>2.47549378200439</v>
      </c>
      <c r="AG85" s="4">
        <f t="shared" si="11"/>
        <v>1.53621068032187</v>
      </c>
      <c r="AH85" s="4">
        <f t="shared" si="12"/>
        <v>1.75566934893928</v>
      </c>
    </row>
    <row r="86" spans="1:34">
      <c r="A86" s="2">
        <v>20260105</v>
      </c>
      <c r="B86" s="2" t="s">
        <v>213</v>
      </c>
      <c r="C86" s="2" t="s">
        <v>214</v>
      </c>
      <c r="D86" s="2">
        <v>10</v>
      </c>
      <c r="E86" s="2">
        <v>16</v>
      </c>
      <c r="F86" s="2">
        <v>33</v>
      </c>
      <c r="G86" s="2">
        <v>2</v>
      </c>
      <c r="H86" s="2">
        <v>4</v>
      </c>
      <c r="I86" s="3">
        <v>42</v>
      </c>
      <c r="J86" s="2">
        <v>8</v>
      </c>
      <c r="K86" s="2">
        <v>3</v>
      </c>
      <c r="L86" s="2">
        <v>1</v>
      </c>
      <c r="M86" s="2">
        <v>5</v>
      </c>
      <c r="N86" s="2">
        <v>16</v>
      </c>
      <c r="O86" s="2">
        <v>57</v>
      </c>
      <c r="P86" s="3">
        <v>8</v>
      </c>
      <c r="Q86" s="2">
        <v>16</v>
      </c>
      <c r="R86" s="2">
        <v>2</v>
      </c>
      <c r="S86" s="2">
        <v>3</v>
      </c>
      <c r="T86" s="2">
        <v>2</v>
      </c>
      <c r="U86" s="2">
        <v>0</v>
      </c>
      <c r="V86" s="2">
        <f t="shared" si="13"/>
        <v>54</v>
      </c>
      <c r="W86" s="2">
        <v>0</v>
      </c>
      <c r="X86" s="2">
        <v>21</v>
      </c>
      <c r="Y86" s="2">
        <v>0</v>
      </c>
      <c r="Z86" s="2">
        <f t="shared" si="7"/>
        <v>21</v>
      </c>
      <c r="AA86" s="2">
        <f t="shared" si="8"/>
        <v>75</v>
      </c>
      <c r="AB86" s="2">
        <v>2496</v>
      </c>
      <c r="AC86" s="20">
        <f t="shared" si="9"/>
        <v>3.00480769230769</v>
      </c>
      <c r="AD86" s="22" t="s">
        <v>58</v>
      </c>
      <c r="AE86" s="2">
        <v>250</v>
      </c>
      <c r="AF86" s="21">
        <f t="shared" si="10"/>
        <v>2.25961538461538</v>
      </c>
      <c r="AG86" s="4">
        <f t="shared" si="11"/>
        <v>2.16346153846154</v>
      </c>
      <c r="AH86" s="4">
        <f t="shared" si="12"/>
        <v>0.841346153846154</v>
      </c>
    </row>
    <row r="87" spans="1:34">
      <c r="A87" s="2">
        <v>20260106</v>
      </c>
      <c r="B87" s="8" t="s">
        <v>215</v>
      </c>
      <c r="C87" s="2" t="s">
        <v>216</v>
      </c>
      <c r="D87" s="2">
        <v>2</v>
      </c>
      <c r="E87" s="2">
        <v>13</v>
      </c>
      <c r="F87" s="2">
        <v>31</v>
      </c>
      <c r="G87" s="2">
        <v>3</v>
      </c>
      <c r="H87" s="2">
        <v>2</v>
      </c>
      <c r="I87" s="3">
        <v>41</v>
      </c>
      <c r="J87" s="2">
        <v>7</v>
      </c>
      <c r="K87" s="2">
        <v>3</v>
      </c>
      <c r="L87" s="2">
        <v>0</v>
      </c>
      <c r="M87" s="2">
        <v>6</v>
      </c>
      <c r="N87" s="2">
        <v>7</v>
      </c>
      <c r="O87" s="2">
        <v>37</v>
      </c>
      <c r="P87" s="3">
        <v>5</v>
      </c>
      <c r="Q87" s="2">
        <v>12</v>
      </c>
      <c r="R87" s="2">
        <v>2</v>
      </c>
      <c r="S87" s="2">
        <v>2</v>
      </c>
      <c r="T87" s="2">
        <v>0</v>
      </c>
      <c r="U87" s="2">
        <v>2</v>
      </c>
      <c r="V87" s="2">
        <f t="shared" si="13"/>
        <v>31</v>
      </c>
      <c r="W87" s="2">
        <v>8</v>
      </c>
      <c r="X87" s="2">
        <v>28</v>
      </c>
      <c r="Y87" s="2">
        <v>0</v>
      </c>
      <c r="Z87" s="2">
        <f t="shared" si="7"/>
        <v>38</v>
      </c>
      <c r="AA87" s="2">
        <f t="shared" si="8"/>
        <v>69</v>
      </c>
      <c r="AB87" s="2">
        <v>2507</v>
      </c>
      <c r="AC87" s="20">
        <f t="shared" si="9"/>
        <v>2.75229357798165</v>
      </c>
      <c r="AD87" s="22" t="s">
        <v>58</v>
      </c>
      <c r="AE87" s="2">
        <v>250</v>
      </c>
      <c r="AF87" s="21">
        <f t="shared" si="10"/>
        <v>2.0697247706422</v>
      </c>
      <c r="AG87" s="4">
        <f t="shared" si="11"/>
        <v>1.23653769445552</v>
      </c>
      <c r="AH87" s="4">
        <f t="shared" si="12"/>
        <v>1.51575588352613</v>
      </c>
    </row>
    <row r="88" spans="1:34">
      <c r="A88" s="2">
        <v>20260106</v>
      </c>
      <c r="B88" s="8" t="s">
        <v>217</v>
      </c>
      <c r="C88" s="2" t="s">
        <v>218</v>
      </c>
      <c r="D88" s="2">
        <v>6</v>
      </c>
      <c r="E88" s="2">
        <v>9</v>
      </c>
      <c r="F88" s="2">
        <v>17</v>
      </c>
      <c r="G88" s="2">
        <v>1</v>
      </c>
      <c r="H88" s="2">
        <v>3</v>
      </c>
      <c r="I88" s="3">
        <v>28</v>
      </c>
      <c r="J88" s="2">
        <v>10</v>
      </c>
      <c r="K88" s="2">
        <v>2</v>
      </c>
      <c r="L88" s="2">
        <v>0</v>
      </c>
      <c r="M88" s="2">
        <v>5</v>
      </c>
      <c r="N88" s="2">
        <v>10</v>
      </c>
      <c r="O88" s="2">
        <v>34</v>
      </c>
      <c r="P88" s="3">
        <v>3</v>
      </c>
      <c r="Q88" s="2">
        <v>14</v>
      </c>
      <c r="R88" s="2">
        <v>6</v>
      </c>
      <c r="S88" s="2">
        <v>0</v>
      </c>
      <c r="T88" s="2">
        <v>0</v>
      </c>
      <c r="U88" s="2">
        <v>0</v>
      </c>
      <c r="V88" s="2">
        <f t="shared" si="13"/>
        <v>29</v>
      </c>
      <c r="W88" s="2">
        <v>8</v>
      </c>
      <c r="X88" s="2">
        <v>15</v>
      </c>
      <c r="Y88" s="2">
        <v>0</v>
      </c>
      <c r="Z88" s="2">
        <f t="shared" si="7"/>
        <v>23</v>
      </c>
      <c r="AA88" s="2">
        <f t="shared" si="8"/>
        <v>52</v>
      </c>
      <c r="AB88" s="2">
        <v>1033</v>
      </c>
      <c r="AC88" s="20">
        <f t="shared" si="9"/>
        <v>5.03388189738625</v>
      </c>
      <c r="AD88" s="22" t="s">
        <v>58</v>
      </c>
      <c r="AE88" s="2">
        <v>250</v>
      </c>
      <c r="AF88" s="21">
        <f t="shared" si="10"/>
        <v>3.78547918683446</v>
      </c>
      <c r="AG88" s="4">
        <f t="shared" si="11"/>
        <v>2.80735721200387</v>
      </c>
      <c r="AH88" s="4">
        <f t="shared" si="12"/>
        <v>2.22652468538238</v>
      </c>
    </row>
    <row r="89" spans="1:34">
      <c r="A89" s="2">
        <v>20260106</v>
      </c>
      <c r="B89" s="8" t="s">
        <v>219</v>
      </c>
      <c r="C89" s="2" t="s">
        <v>220</v>
      </c>
      <c r="D89" s="2">
        <v>9</v>
      </c>
      <c r="E89" s="2">
        <v>19</v>
      </c>
      <c r="F89" s="2">
        <v>36</v>
      </c>
      <c r="G89" s="2">
        <v>2</v>
      </c>
      <c r="H89" s="2">
        <v>4</v>
      </c>
      <c r="I89" s="3">
        <v>69</v>
      </c>
      <c r="J89" s="2">
        <v>15</v>
      </c>
      <c r="K89" s="2">
        <v>1</v>
      </c>
      <c r="L89" s="2">
        <v>0</v>
      </c>
      <c r="M89" s="2">
        <v>3</v>
      </c>
      <c r="N89" s="2">
        <v>14</v>
      </c>
      <c r="O89" s="2">
        <v>63</v>
      </c>
      <c r="P89" s="3">
        <v>13</v>
      </c>
      <c r="Q89" s="2">
        <v>13</v>
      </c>
      <c r="R89" s="2">
        <v>4</v>
      </c>
      <c r="S89" s="2">
        <v>3</v>
      </c>
      <c r="T89" s="2">
        <v>2</v>
      </c>
      <c r="U89" s="2">
        <v>0</v>
      </c>
      <c r="V89" s="2">
        <f t="shared" si="13"/>
        <v>51</v>
      </c>
      <c r="W89" s="2">
        <v>11</v>
      </c>
      <c r="X89" s="2">
        <v>47</v>
      </c>
      <c r="Y89" s="2">
        <v>0</v>
      </c>
      <c r="Z89" s="2">
        <f t="shared" si="7"/>
        <v>58</v>
      </c>
      <c r="AA89" s="2">
        <f t="shared" si="8"/>
        <v>109</v>
      </c>
      <c r="AB89" s="2">
        <v>2507</v>
      </c>
      <c r="AC89" s="20">
        <f t="shared" si="9"/>
        <v>4.34782608695652</v>
      </c>
      <c r="AD89" s="22" t="s">
        <v>58</v>
      </c>
      <c r="AE89" s="2">
        <v>250</v>
      </c>
      <c r="AF89" s="21">
        <f t="shared" si="10"/>
        <v>3.2695652173913</v>
      </c>
      <c r="AG89" s="4">
        <f t="shared" si="11"/>
        <v>2.03430394894296</v>
      </c>
      <c r="AH89" s="4">
        <f t="shared" si="12"/>
        <v>2.31352213801356</v>
      </c>
    </row>
    <row r="90" spans="1:34">
      <c r="A90" s="2">
        <v>20260106</v>
      </c>
      <c r="B90" s="8" t="s">
        <v>221</v>
      </c>
      <c r="C90" s="2" t="s">
        <v>222</v>
      </c>
      <c r="D90" s="2">
        <v>3</v>
      </c>
      <c r="E90" s="2">
        <v>13</v>
      </c>
      <c r="F90" s="2">
        <v>14</v>
      </c>
      <c r="G90" s="2">
        <v>3</v>
      </c>
      <c r="H90" s="2">
        <v>0</v>
      </c>
      <c r="I90" s="3">
        <v>24</v>
      </c>
      <c r="J90" s="2">
        <v>9</v>
      </c>
      <c r="K90" s="2">
        <v>0</v>
      </c>
      <c r="L90" s="2">
        <v>1</v>
      </c>
      <c r="M90" s="2">
        <v>2</v>
      </c>
      <c r="N90" s="2">
        <v>11</v>
      </c>
      <c r="O90" s="2">
        <v>36</v>
      </c>
      <c r="P90" s="3">
        <v>0</v>
      </c>
      <c r="Q90" s="2">
        <v>12</v>
      </c>
      <c r="R90" s="2">
        <v>1</v>
      </c>
      <c r="S90" s="2">
        <v>1</v>
      </c>
      <c r="T90" s="2">
        <v>0</v>
      </c>
      <c r="U90" s="2">
        <v>0</v>
      </c>
      <c r="V90" s="2">
        <f t="shared" si="13"/>
        <v>18</v>
      </c>
      <c r="W90" s="2">
        <v>4</v>
      </c>
      <c r="X90" s="2">
        <v>17</v>
      </c>
      <c r="Y90" s="2">
        <v>0</v>
      </c>
      <c r="Z90" s="2">
        <f t="shared" si="7"/>
        <v>21</v>
      </c>
      <c r="AA90" s="2">
        <f t="shared" si="8"/>
        <v>39</v>
      </c>
      <c r="AB90" s="2">
        <v>1619</v>
      </c>
      <c r="AC90" s="20">
        <f t="shared" si="9"/>
        <v>2.40889437924645</v>
      </c>
      <c r="AD90" s="22" t="s">
        <v>58</v>
      </c>
      <c r="AE90" s="2">
        <v>250</v>
      </c>
      <c r="AF90" s="21">
        <f t="shared" si="10"/>
        <v>1.81148857319333</v>
      </c>
      <c r="AG90" s="4">
        <f t="shared" si="11"/>
        <v>1.11179740580605</v>
      </c>
      <c r="AH90" s="4">
        <f t="shared" si="12"/>
        <v>1.2970969734404</v>
      </c>
    </row>
    <row r="91" spans="1:34">
      <c r="A91" s="2">
        <v>20260106</v>
      </c>
      <c r="B91" s="8" t="s">
        <v>223</v>
      </c>
      <c r="C91" s="2" t="s">
        <v>224</v>
      </c>
      <c r="D91" s="2">
        <v>8</v>
      </c>
      <c r="E91" s="2">
        <v>13</v>
      </c>
      <c r="F91" s="2">
        <v>16</v>
      </c>
      <c r="G91" s="2">
        <v>5</v>
      </c>
      <c r="H91" s="2">
        <v>4</v>
      </c>
      <c r="I91" s="3">
        <v>55</v>
      </c>
      <c r="J91" s="2">
        <v>8</v>
      </c>
      <c r="K91" s="2">
        <v>3</v>
      </c>
      <c r="L91" s="2">
        <v>1</v>
      </c>
      <c r="M91" s="2">
        <v>11</v>
      </c>
      <c r="N91" s="2">
        <v>9</v>
      </c>
      <c r="O91" s="2">
        <v>29</v>
      </c>
      <c r="P91" s="3">
        <v>2</v>
      </c>
      <c r="Q91" s="2">
        <v>7</v>
      </c>
      <c r="R91" s="2">
        <v>1</v>
      </c>
      <c r="S91" s="2">
        <v>0</v>
      </c>
      <c r="T91" s="2">
        <v>2</v>
      </c>
      <c r="U91" s="2">
        <v>0</v>
      </c>
      <c r="V91" s="2">
        <f t="shared" si="13"/>
        <v>31</v>
      </c>
      <c r="W91" s="2">
        <v>9</v>
      </c>
      <c r="X91" s="2">
        <v>51</v>
      </c>
      <c r="Y91" s="2">
        <v>0</v>
      </c>
      <c r="Z91" s="2">
        <f t="shared" si="7"/>
        <v>60</v>
      </c>
      <c r="AA91" s="2">
        <f t="shared" si="8"/>
        <v>91</v>
      </c>
      <c r="AB91" s="2">
        <v>984</v>
      </c>
      <c r="AC91" s="20">
        <f t="shared" si="9"/>
        <v>9.2479674796748</v>
      </c>
      <c r="AD91" s="22" t="s">
        <v>58</v>
      </c>
      <c r="AE91" s="2">
        <v>250</v>
      </c>
      <c r="AF91" s="21">
        <f t="shared" si="10"/>
        <v>6.95447154471545</v>
      </c>
      <c r="AG91" s="4">
        <f t="shared" si="11"/>
        <v>3.15040650406504</v>
      </c>
      <c r="AH91" s="4">
        <f t="shared" si="12"/>
        <v>6.09756097560976</v>
      </c>
    </row>
    <row r="92" spans="1:34">
      <c r="A92" s="2">
        <v>20260106</v>
      </c>
      <c r="B92" s="2" t="s">
        <v>225</v>
      </c>
      <c r="C92" s="2" t="s">
        <v>226</v>
      </c>
      <c r="D92" s="2">
        <v>8</v>
      </c>
      <c r="E92" s="2">
        <v>6</v>
      </c>
      <c r="F92" s="2">
        <v>10</v>
      </c>
      <c r="G92" s="2">
        <v>2</v>
      </c>
      <c r="H92" s="2">
        <v>0</v>
      </c>
      <c r="I92" s="3">
        <v>51</v>
      </c>
      <c r="J92" s="2">
        <v>11</v>
      </c>
      <c r="K92" s="2">
        <v>0</v>
      </c>
      <c r="L92" s="2">
        <v>1</v>
      </c>
      <c r="M92" s="2">
        <v>6</v>
      </c>
      <c r="N92" s="2">
        <v>10</v>
      </c>
      <c r="O92" s="2">
        <v>42</v>
      </c>
      <c r="P92" s="3">
        <v>3</v>
      </c>
      <c r="Q92" s="2">
        <v>12</v>
      </c>
      <c r="R92" s="2">
        <v>1</v>
      </c>
      <c r="S92" s="2">
        <v>2</v>
      </c>
      <c r="T92" s="2">
        <v>1</v>
      </c>
      <c r="U92" s="2">
        <v>0</v>
      </c>
      <c r="V92" s="2">
        <f t="shared" si="13"/>
        <v>51</v>
      </c>
      <c r="W92" s="2">
        <v>5</v>
      </c>
      <c r="X92" s="2">
        <v>19</v>
      </c>
      <c r="Y92" s="2">
        <v>0</v>
      </c>
      <c r="Z92" s="2">
        <f t="shared" si="7"/>
        <v>24</v>
      </c>
      <c r="AA92" s="2">
        <f t="shared" si="8"/>
        <v>75</v>
      </c>
      <c r="AB92" s="2">
        <v>1277</v>
      </c>
      <c r="AC92" s="20">
        <f t="shared" si="9"/>
        <v>5.87314017227878</v>
      </c>
      <c r="AD92" s="22" t="s">
        <v>58</v>
      </c>
      <c r="AE92" s="2">
        <v>250</v>
      </c>
      <c r="AF92" s="21">
        <f t="shared" si="10"/>
        <v>4.41660140955364</v>
      </c>
      <c r="AG92" s="4">
        <f t="shared" si="11"/>
        <v>3.99373531714957</v>
      </c>
      <c r="AH92" s="4">
        <f t="shared" si="12"/>
        <v>1.87940485512921</v>
      </c>
    </row>
    <row r="93" spans="1:34">
      <c r="A93" s="2">
        <v>20260106</v>
      </c>
      <c r="B93" s="2" t="s">
        <v>227</v>
      </c>
      <c r="C93" s="2" t="s">
        <v>228</v>
      </c>
      <c r="D93" s="2">
        <v>3</v>
      </c>
      <c r="E93" s="2">
        <v>2</v>
      </c>
      <c r="F93" s="2">
        <v>29</v>
      </c>
      <c r="G93" s="2">
        <v>0</v>
      </c>
      <c r="H93" s="2">
        <v>3</v>
      </c>
      <c r="I93" s="3">
        <v>47</v>
      </c>
      <c r="J93" s="2">
        <v>8</v>
      </c>
      <c r="K93" s="2">
        <v>2</v>
      </c>
      <c r="L93" s="2">
        <v>0</v>
      </c>
      <c r="M93" s="2">
        <v>7</v>
      </c>
      <c r="N93" s="2">
        <v>9</v>
      </c>
      <c r="O93" s="2">
        <v>43</v>
      </c>
      <c r="P93" s="3">
        <v>5</v>
      </c>
      <c r="Q93" s="2">
        <v>7</v>
      </c>
      <c r="R93" s="2">
        <v>0</v>
      </c>
      <c r="S93" s="2">
        <v>1</v>
      </c>
      <c r="T93" s="2">
        <v>1</v>
      </c>
      <c r="U93" s="2">
        <v>0</v>
      </c>
      <c r="V93" s="2">
        <f t="shared" si="13"/>
        <v>51</v>
      </c>
      <c r="W93" s="2">
        <v>2</v>
      </c>
      <c r="X93" s="2">
        <v>20</v>
      </c>
      <c r="Y93" s="2">
        <v>0</v>
      </c>
      <c r="Z93" s="2">
        <f t="shared" si="7"/>
        <v>22</v>
      </c>
      <c r="AA93" s="2">
        <f t="shared" si="8"/>
        <v>73</v>
      </c>
      <c r="AB93" s="2">
        <v>1586</v>
      </c>
      <c r="AC93" s="20">
        <f t="shared" si="9"/>
        <v>4.60277427490542</v>
      </c>
      <c r="AD93" s="22" t="s">
        <v>229</v>
      </c>
      <c r="AE93" s="2">
        <v>250</v>
      </c>
      <c r="AF93" s="21">
        <f t="shared" si="10"/>
        <v>3.46128625472888</v>
      </c>
      <c r="AG93" s="4">
        <f t="shared" si="11"/>
        <v>3.2156368221942</v>
      </c>
      <c r="AH93" s="4">
        <f t="shared" si="12"/>
        <v>1.38713745271122</v>
      </c>
    </row>
    <row r="94" spans="1:34">
      <c r="A94" s="2">
        <v>20260106</v>
      </c>
      <c r="B94" s="2" t="s">
        <v>230</v>
      </c>
      <c r="C94" s="2" t="s">
        <v>231</v>
      </c>
      <c r="D94" s="2">
        <v>3</v>
      </c>
      <c r="E94" s="2">
        <v>10</v>
      </c>
      <c r="F94" s="2">
        <v>49</v>
      </c>
      <c r="G94" s="2">
        <v>1</v>
      </c>
      <c r="H94" s="2">
        <v>2</v>
      </c>
      <c r="I94" s="3">
        <v>42</v>
      </c>
      <c r="J94" s="2">
        <v>10</v>
      </c>
      <c r="K94" s="2">
        <v>8</v>
      </c>
      <c r="L94" s="2">
        <v>0</v>
      </c>
      <c r="M94" s="2">
        <v>5</v>
      </c>
      <c r="N94" s="2">
        <v>13</v>
      </c>
      <c r="O94" s="2">
        <v>32</v>
      </c>
      <c r="P94" s="3">
        <v>5</v>
      </c>
      <c r="Q94" s="2">
        <v>24</v>
      </c>
      <c r="R94" s="2">
        <v>2</v>
      </c>
      <c r="S94" s="2">
        <v>2</v>
      </c>
      <c r="T94" s="2">
        <v>1</v>
      </c>
      <c r="U94" s="2">
        <v>2</v>
      </c>
      <c r="V94" s="2">
        <f t="shared" si="13"/>
        <v>61</v>
      </c>
      <c r="W94" s="2">
        <v>0</v>
      </c>
      <c r="X94" s="2">
        <v>13</v>
      </c>
      <c r="Y94" s="2">
        <v>0</v>
      </c>
      <c r="Z94" s="2">
        <f t="shared" si="7"/>
        <v>15</v>
      </c>
      <c r="AA94" s="2">
        <f t="shared" si="8"/>
        <v>76</v>
      </c>
      <c r="AB94" s="2">
        <v>2707</v>
      </c>
      <c r="AC94" s="20">
        <f t="shared" si="9"/>
        <v>2.80753601773181</v>
      </c>
      <c r="AD94" s="22" t="s">
        <v>58</v>
      </c>
      <c r="AE94" s="2">
        <v>250</v>
      </c>
      <c r="AF94" s="21">
        <f t="shared" si="10"/>
        <v>2.11126708533432</v>
      </c>
      <c r="AG94" s="4">
        <f t="shared" si="11"/>
        <v>2.25341706686369</v>
      </c>
      <c r="AH94" s="4">
        <f t="shared" si="12"/>
        <v>0.55411895086812</v>
      </c>
    </row>
    <row r="95" spans="1:34">
      <c r="A95" s="2">
        <v>20260106</v>
      </c>
      <c r="B95" s="2" t="s">
        <v>232</v>
      </c>
      <c r="C95" s="2" t="s">
        <v>233</v>
      </c>
      <c r="D95" s="2">
        <v>6</v>
      </c>
      <c r="E95" s="2">
        <v>3</v>
      </c>
      <c r="F95" s="2">
        <v>21</v>
      </c>
      <c r="G95" s="2">
        <v>0</v>
      </c>
      <c r="H95" s="2">
        <v>3</v>
      </c>
      <c r="I95" s="3">
        <v>65</v>
      </c>
      <c r="J95" s="2">
        <v>3</v>
      </c>
      <c r="K95" s="2">
        <v>3</v>
      </c>
      <c r="L95" s="2">
        <v>0</v>
      </c>
      <c r="M95" s="2">
        <v>9</v>
      </c>
      <c r="N95" s="2">
        <v>13</v>
      </c>
      <c r="O95" s="2">
        <v>34</v>
      </c>
      <c r="P95" s="3">
        <v>4</v>
      </c>
      <c r="Q95" s="2">
        <v>11</v>
      </c>
      <c r="R95" s="2">
        <v>4</v>
      </c>
      <c r="S95" s="2">
        <v>0</v>
      </c>
      <c r="T95" s="2">
        <v>1</v>
      </c>
      <c r="U95" s="2">
        <v>0</v>
      </c>
      <c r="V95" s="2">
        <f t="shared" si="13"/>
        <v>74</v>
      </c>
      <c r="W95" s="2">
        <v>2</v>
      </c>
      <c r="X95" s="2">
        <v>12</v>
      </c>
      <c r="Y95" s="2">
        <v>0</v>
      </c>
      <c r="Z95" s="2">
        <f t="shared" si="7"/>
        <v>14</v>
      </c>
      <c r="AA95" s="2">
        <f t="shared" si="8"/>
        <v>88</v>
      </c>
      <c r="AB95" s="2">
        <v>1616</v>
      </c>
      <c r="AC95" s="20">
        <f t="shared" si="9"/>
        <v>5.44554455445545</v>
      </c>
      <c r="AD95" s="22" t="s">
        <v>58</v>
      </c>
      <c r="AE95" s="2">
        <v>250</v>
      </c>
      <c r="AF95" s="21">
        <f t="shared" si="10"/>
        <v>4.0950495049505</v>
      </c>
      <c r="AG95" s="4">
        <f t="shared" si="11"/>
        <v>4.57920792079208</v>
      </c>
      <c r="AH95" s="4">
        <f t="shared" si="12"/>
        <v>0.866336633663366</v>
      </c>
    </row>
    <row r="96" spans="1:34">
      <c r="A96" s="2">
        <v>20260106</v>
      </c>
      <c r="B96" s="2" t="s">
        <v>234</v>
      </c>
      <c r="C96" s="2" t="s">
        <v>235</v>
      </c>
      <c r="D96" s="2">
        <v>4</v>
      </c>
      <c r="E96" s="2">
        <v>12</v>
      </c>
      <c r="F96" s="2">
        <v>13</v>
      </c>
      <c r="G96" s="2">
        <v>1</v>
      </c>
      <c r="H96" s="2">
        <v>2</v>
      </c>
      <c r="I96" s="3">
        <v>46</v>
      </c>
      <c r="J96" s="2">
        <v>5</v>
      </c>
      <c r="K96" s="2">
        <v>2</v>
      </c>
      <c r="L96" s="2">
        <v>0</v>
      </c>
      <c r="M96" s="2">
        <v>5</v>
      </c>
      <c r="N96" s="2">
        <v>6</v>
      </c>
      <c r="O96" s="2">
        <v>28</v>
      </c>
      <c r="P96" s="3">
        <v>5</v>
      </c>
      <c r="Q96" s="2">
        <v>3</v>
      </c>
      <c r="R96" s="2">
        <v>1</v>
      </c>
      <c r="S96" s="2">
        <v>2</v>
      </c>
      <c r="T96" s="2">
        <v>1</v>
      </c>
      <c r="U96" s="2">
        <v>0</v>
      </c>
      <c r="V96" s="2">
        <f t="shared" si="13"/>
        <v>50</v>
      </c>
      <c r="W96" s="2">
        <v>4</v>
      </c>
      <c r="X96" s="2">
        <v>13</v>
      </c>
      <c r="Y96" s="2">
        <v>0</v>
      </c>
      <c r="Z96" s="2">
        <f t="shared" si="7"/>
        <v>17</v>
      </c>
      <c r="AA96" s="2">
        <f t="shared" si="8"/>
        <v>67</v>
      </c>
      <c r="AB96" s="2">
        <v>1567</v>
      </c>
      <c r="AC96" s="20">
        <f t="shared" si="9"/>
        <v>4.27568602425016</v>
      </c>
      <c r="AD96" s="22" t="s">
        <v>58</v>
      </c>
      <c r="AE96" s="2">
        <v>250</v>
      </c>
      <c r="AF96" s="21">
        <f t="shared" si="10"/>
        <v>3.21531589023612</v>
      </c>
      <c r="AG96" s="4">
        <f t="shared" si="11"/>
        <v>3.19081046585833</v>
      </c>
      <c r="AH96" s="4">
        <f t="shared" si="12"/>
        <v>1.08487555839183</v>
      </c>
    </row>
    <row r="97" spans="1:34">
      <c r="A97" s="2">
        <v>20260106</v>
      </c>
      <c r="B97" s="2" t="s">
        <v>236</v>
      </c>
      <c r="C97" s="2" t="s">
        <v>237</v>
      </c>
      <c r="D97" s="2">
        <v>7</v>
      </c>
      <c r="E97" s="2">
        <v>9</v>
      </c>
      <c r="F97" s="2">
        <v>17</v>
      </c>
      <c r="G97" s="2">
        <v>0</v>
      </c>
      <c r="H97" s="2">
        <v>3</v>
      </c>
      <c r="I97" s="3">
        <v>48</v>
      </c>
      <c r="J97" s="2">
        <v>6</v>
      </c>
      <c r="K97" s="2">
        <v>3</v>
      </c>
      <c r="L97" s="2">
        <v>0</v>
      </c>
      <c r="M97" s="2">
        <v>8</v>
      </c>
      <c r="N97" s="2">
        <v>7</v>
      </c>
      <c r="O97" s="2">
        <v>27</v>
      </c>
      <c r="P97" s="3">
        <v>3</v>
      </c>
      <c r="Q97" s="2">
        <v>3</v>
      </c>
      <c r="R97" s="2">
        <v>0</v>
      </c>
      <c r="S97" s="2">
        <v>3</v>
      </c>
      <c r="T97" s="2">
        <v>0</v>
      </c>
      <c r="U97" s="2">
        <v>0</v>
      </c>
      <c r="V97" s="2">
        <f t="shared" si="13"/>
        <v>31</v>
      </c>
      <c r="W97" s="2">
        <v>10</v>
      </c>
      <c r="X97" s="2">
        <v>30</v>
      </c>
      <c r="Y97" s="2">
        <v>0</v>
      </c>
      <c r="Z97" s="2">
        <f t="shared" si="7"/>
        <v>40</v>
      </c>
      <c r="AA97" s="2">
        <f t="shared" si="8"/>
        <v>71</v>
      </c>
      <c r="AB97" s="2">
        <v>1467</v>
      </c>
      <c r="AC97" s="20">
        <f t="shared" si="9"/>
        <v>4.83980913428766</v>
      </c>
      <c r="AD97" s="22" t="s">
        <v>58</v>
      </c>
      <c r="AE97" s="2">
        <v>250</v>
      </c>
      <c r="AF97" s="21">
        <f t="shared" si="10"/>
        <v>3.63953646898432</v>
      </c>
      <c r="AG97" s="4">
        <f t="shared" si="11"/>
        <v>2.11315610088616</v>
      </c>
      <c r="AH97" s="4">
        <f t="shared" si="12"/>
        <v>2.7266530334015</v>
      </c>
    </row>
    <row r="98" spans="1:34">
      <c r="A98" s="2">
        <v>20260106</v>
      </c>
      <c r="B98" s="2" t="s">
        <v>238</v>
      </c>
      <c r="C98" s="2" t="s">
        <v>239</v>
      </c>
      <c r="D98" s="2">
        <v>19</v>
      </c>
      <c r="E98" s="2">
        <v>10</v>
      </c>
      <c r="F98" s="2">
        <v>34</v>
      </c>
      <c r="G98" s="2">
        <v>0</v>
      </c>
      <c r="H98" s="2">
        <v>4</v>
      </c>
      <c r="I98" s="3">
        <v>7</v>
      </c>
      <c r="J98" s="2">
        <v>6</v>
      </c>
      <c r="K98" s="2">
        <v>19</v>
      </c>
      <c r="L98" s="2">
        <v>4</v>
      </c>
      <c r="M98" s="2">
        <v>0</v>
      </c>
      <c r="N98" s="2">
        <v>9</v>
      </c>
      <c r="O98" s="2">
        <v>12</v>
      </c>
      <c r="P98" s="3">
        <v>65</v>
      </c>
      <c r="Q98" s="2">
        <v>2</v>
      </c>
      <c r="R98" s="2">
        <v>164</v>
      </c>
      <c r="S98" s="2">
        <v>2</v>
      </c>
      <c r="T98" s="2">
        <v>0</v>
      </c>
      <c r="U98" s="2">
        <v>1</v>
      </c>
      <c r="V98" s="2">
        <f t="shared" si="13"/>
        <v>55</v>
      </c>
      <c r="W98" s="2">
        <v>8</v>
      </c>
      <c r="X98" s="2">
        <v>42</v>
      </c>
      <c r="Y98" s="2">
        <v>0</v>
      </c>
      <c r="Z98" s="2">
        <f t="shared" si="7"/>
        <v>51</v>
      </c>
      <c r="AA98" s="2">
        <f t="shared" si="8"/>
        <v>106</v>
      </c>
      <c r="AB98" s="2">
        <v>2707</v>
      </c>
      <c r="AC98" s="20">
        <f t="shared" si="9"/>
        <v>3.91577391946805</v>
      </c>
      <c r="AD98" s="22" t="s">
        <v>58</v>
      </c>
      <c r="AE98" s="2">
        <v>250</v>
      </c>
      <c r="AF98" s="21">
        <f t="shared" si="10"/>
        <v>2.94466198743997</v>
      </c>
      <c r="AG98" s="4">
        <f t="shared" si="11"/>
        <v>2.03176948651644</v>
      </c>
      <c r="AH98" s="4">
        <f t="shared" si="12"/>
        <v>1.88400443295161</v>
      </c>
    </row>
    <row r="99" spans="1:34">
      <c r="A99" s="2">
        <v>20260106</v>
      </c>
      <c r="B99" s="2" t="s">
        <v>240</v>
      </c>
      <c r="C99" s="2" t="s">
        <v>241</v>
      </c>
      <c r="D99" s="2">
        <v>9</v>
      </c>
      <c r="E99" s="2">
        <v>6</v>
      </c>
      <c r="F99" s="2">
        <v>27</v>
      </c>
      <c r="G99" s="2">
        <v>3</v>
      </c>
      <c r="H99" s="2">
        <v>5</v>
      </c>
      <c r="I99" s="3">
        <v>53</v>
      </c>
      <c r="J99" s="2">
        <v>11</v>
      </c>
      <c r="K99" s="2">
        <v>2</v>
      </c>
      <c r="L99" s="2">
        <v>0</v>
      </c>
      <c r="M99" s="2">
        <v>12</v>
      </c>
      <c r="N99" s="2">
        <v>15</v>
      </c>
      <c r="O99" s="2">
        <v>50</v>
      </c>
      <c r="P99" s="3">
        <v>5</v>
      </c>
      <c r="Q99" s="2">
        <v>6</v>
      </c>
      <c r="R99" s="2">
        <v>1</v>
      </c>
      <c r="S99" s="2">
        <v>1</v>
      </c>
      <c r="T99" s="2">
        <v>2</v>
      </c>
      <c r="U99" s="2">
        <v>0</v>
      </c>
      <c r="V99" s="2">
        <f t="shared" si="13"/>
        <v>51</v>
      </c>
      <c r="W99" s="2">
        <v>6</v>
      </c>
      <c r="X99" s="2">
        <v>36</v>
      </c>
      <c r="Y99" s="2">
        <v>0</v>
      </c>
      <c r="Z99" s="2">
        <f t="shared" si="7"/>
        <v>42</v>
      </c>
      <c r="AA99" s="2">
        <f t="shared" si="8"/>
        <v>93</v>
      </c>
      <c r="AB99" s="2">
        <v>2536</v>
      </c>
      <c r="AC99" s="20">
        <f t="shared" si="9"/>
        <v>3.66719242902208</v>
      </c>
      <c r="AD99" s="22" t="s">
        <v>58</v>
      </c>
      <c r="AE99" s="2">
        <v>250</v>
      </c>
      <c r="AF99" s="21">
        <f t="shared" si="10"/>
        <v>2.75772870662461</v>
      </c>
      <c r="AG99" s="4">
        <f t="shared" si="11"/>
        <v>2.01104100946372</v>
      </c>
      <c r="AH99" s="4">
        <f t="shared" si="12"/>
        <v>1.65615141955836</v>
      </c>
    </row>
    <row r="100" spans="1:34">
      <c r="A100" s="2">
        <v>20260106</v>
      </c>
      <c r="B100" s="2" t="s">
        <v>242</v>
      </c>
      <c r="C100" s="2" t="s">
        <v>243</v>
      </c>
      <c r="D100" s="2">
        <v>10</v>
      </c>
      <c r="E100" s="2">
        <v>22</v>
      </c>
      <c r="F100" s="2">
        <v>100</v>
      </c>
      <c r="G100" s="2">
        <v>3</v>
      </c>
      <c r="H100" s="2">
        <v>14</v>
      </c>
      <c r="I100" s="3">
        <v>77</v>
      </c>
      <c r="J100" s="2">
        <v>17</v>
      </c>
      <c r="K100" s="2">
        <v>13</v>
      </c>
      <c r="L100" s="2">
        <v>0</v>
      </c>
      <c r="M100" s="2">
        <v>14</v>
      </c>
      <c r="N100" s="2">
        <v>24</v>
      </c>
      <c r="O100" s="2">
        <v>78</v>
      </c>
      <c r="P100" s="3">
        <v>1</v>
      </c>
      <c r="Q100" s="2">
        <v>34</v>
      </c>
      <c r="R100" s="2">
        <v>34</v>
      </c>
      <c r="S100" s="2">
        <v>3</v>
      </c>
      <c r="T100" s="2">
        <v>10</v>
      </c>
      <c r="U100" s="2">
        <v>2</v>
      </c>
      <c r="V100" s="2">
        <f t="shared" si="13"/>
        <v>113</v>
      </c>
      <c r="W100" s="2">
        <v>9</v>
      </c>
      <c r="X100" s="2">
        <v>27</v>
      </c>
      <c r="Y100" s="2">
        <v>0</v>
      </c>
      <c r="Z100" s="2">
        <f t="shared" si="7"/>
        <v>38</v>
      </c>
      <c r="AA100" s="2">
        <f t="shared" si="8"/>
        <v>151</v>
      </c>
      <c r="AB100" s="2">
        <v>2987</v>
      </c>
      <c r="AC100" s="20">
        <f t="shared" si="9"/>
        <v>5.05523937060596</v>
      </c>
      <c r="AD100" s="22" t="s">
        <v>58</v>
      </c>
      <c r="AE100" s="2">
        <v>250</v>
      </c>
      <c r="AF100" s="21">
        <f t="shared" si="10"/>
        <v>3.80154000669568</v>
      </c>
      <c r="AG100" s="4">
        <f t="shared" si="11"/>
        <v>3.78305992634751</v>
      </c>
      <c r="AH100" s="4">
        <f t="shared" si="12"/>
        <v>1.27217944425845</v>
      </c>
    </row>
    <row r="101" spans="1:34">
      <c r="A101" s="2">
        <v>20260107</v>
      </c>
      <c r="B101" s="2" t="s">
        <v>244</v>
      </c>
      <c r="C101" s="2" t="s">
        <v>245</v>
      </c>
      <c r="D101" s="2">
        <v>14</v>
      </c>
      <c r="E101" s="2">
        <v>58</v>
      </c>
      <c r="F101" s="2">
        <v>73</v>
      </c>
      <c r="G101" s="2">
        <v>15</v>
      </c>
      <c r="H101" s="2">
        <v>16</v>
      </c>
      <c r="I101" s="3">
        <v>64</v>
      </c>
      <c r="J101" s="2">
        <v>12</v>
      </c>
      <c r="K101" s="2">
        <v>15</v>
      </c>
      <c r="L101" s="2">
        <v>3</v>
      </c>
      <c r="M101" s="2">
        <v>12</v>
      </c>
      <c r="N101" s="2">
        <v>13</v>
      </c>
      <c r="O101" s="2">
        <v>97</v>
      </c>
      <c r="P101" s="3">
        <v>9</v>
      </c>
      <c r="Q101" s="2">
        <v>19</v>
      </c>
      <c r="R101" s="2">
        <v>11</v>
      </c>
      <c r="S101" s="2">
        <v>3</v>
      </c>
      <c r="T101" s="2">
        <v>11</v>
      </c>
      <c r="U101" s="2">
        <v>1</v>
      </c>
      <c r="V101" s="2">
        <f t="shared" si="13"/>
        <v>124</v>
      </c>
      <c r="W101" s="2">
        <v>3</v>
      </c>
      <c r="X101" s="2">
        <v>30</v>
      </c>
      <c r="Y101" s="2">
        <v>0</v>
      </c>
      <c r="Z101" s="2">
        <f t="shared" si="7"/>
        <v>34</v>
      </c>
      <c r="AA101" s="2">
        <f t="shared" si="8"/>
        <v>158</v>
      </c>
      <c r="AB101" s="2">
        <v>2777</v>
      </c>
      <c r="AC101" s="20">
        <f t="shared" si="9"/>
        <v>5.6895930860641</v>
      </c>
      <c r="AD101" s="22" t="s">
        <v>58</v>
      </c>
      <c r="AE101" s="2">
        <v>250</v>
      </c>
      <c r="AF101" s="21">
        <f t="shared" si="10"/>
        <v>4.2785740007202</v>
      </c>
      <c r="AG101" s="4">
        <f t="shared" si="11"/>
        <v>4.46525027007562</v>
      </c>
      <c r="AH101" s="4">
        <f t="shared" si="12"/>
        <v>1.22434281598848</v>
      </c>
    </row>
    <row r="102" spans="1:34">
      <c r="A102" s="2">
        <v>20260107</v>
      </c>
      <c r="B102" s="2" t="s">
        <v>246</v>
      </c>
      <c r="C102" s="2" t="s">
        <v>247</v>
      </c>
      <c r="D102" s="2">
        <v>7</v>
      </c>
      <c r="E102" s="2">
        <v>11</v>
      </c>
      <c r="F102" s="2">
        <v>25</v>
      </c>
      <c r="G102" s="2">
        <v>0</v>
      </c>
      <c r="H102" s="2">
        <v>1</v>
      </c>
      <c r="I102" s="3">
        <v>29</v>
      </c>
      <c r="J102" s="2">
        <v>7</v>
      </c>
      <c r="K102" s="2">
        <v>1</v>
      </c>
      <c r="L102" s="2">
        <v>0</v>
      </c>
      <c r="M102" s="2">
        <v>2</v>
      </c>
      <c r="N102" s="2">
        <v>10</v>
      </c>
      <c r="O102" s="2">
        <v>40</v>
      </c>
      <c r="P102" s="3">
        <v>9</v>
      </c>
      <c r="Q102" s="2">
        <v>10</v>
      </c>
      <c r="R102" s="2">
        <v>2</v>
      </c>
      <c r="S102" s="2">
        <v>4</v>
      </c>
      <c r="T102" s="2">
        <v>0</v>
      </c>
      <c r="U102" s="2">
        <v>0</v>
      </c>
      <c r="V102" s="2">
        <f t="shared" si="13"/>
        <v>34</v>
      </c>
      <c r="W102" s="2">
        <v>3</v>
      </c>
      <c r="X102" s="2">
        <v>12</v>
      </c>
      <c r="Y102" s="2">
        <v>0</v>
      </c>
      <c r="Z102" s="2">
        <f t="shared" ref="Z102:Z165" si="14">Y102+X102+W102+U102</f>
        <v>15</v>
      </c>
      <c r="AA102" s="2">
        <f t="shared" si="8"/>
        <v>49</v>
      </c>
      <c r="AB102" s="2">
        <v>1487</v>
      </c>
      <c r="AC102" s="20">
        <f t="shared" si="9"/>
        <v>3.29522528581036</v>
      </c>
      <c r="AD102" s="22" t="s">
        <v>229</v>
      </c>
      <c r="AE102" s="2">
        <v>250</v>
      </c>
      <c r="AF102" s="21">
        <f t="shared" si="10"/>
        <v>2.47800941492939</v>
      </c>
      <c r="AG102" s="4">
        <f t="shared" si="11"/>
        <v>2.28648285137861</v>
      </c>
      <c r="AH102" s="4">
        <f t="shared" si="12"/>
        <v>1.00874243443174</v>
      </c>
    </row>
    <row r="103" spans="1:34">
      <c r="A103" s="2">
        <v>20260107</v>
      </c>
      <c r="B103" s="2" t="s">
        <v>248</v>
      </c>
      <c r="C103" s="2" t="s">
        <v>249</v>
      </c>
      <c r="D103" s="2">
        <v>4</v>
      </c>
      <c r="E103" s="2">
        <v>17</v>
      </c>
      <c r="F103" s="2">
        <v>59</v>
      </c>
      <c r="G103" s="2">
        <v>16</v>
      </c>
      <c r="H103" s="2">
        <v>25</v>
      </c>
      <c r="I103" s="3">
        <v>54</v>
      </c>
      <c r="J103" s="2">
        <v>13</v>
      </c>
      <c r="K103" s="2">
        <v>23</v>
      </c>
      <c r="L103" s="2">
        <v>2</v>
      </c>
      <c r="M103" s="2">
        <v>6</v>
      </c>
      <c r="N103" s="2">
        <v>21</v>
      </c>
      <c r="O103" s="2">
        <v>94</v>
      </c>
      <c r="P103" s="3">
        <v>13</v>
      </c>
      <c r="Q103" s="2">
        <v>23</v>
      </c>
      <c r="R103" s="2">
        <v>5</v>
      </c>
      <c r="S103" s="2">
        <v>5</v>
      </c>
      <c r="T103" s="2">
        <v>21</v>
      </c>
      <c r="U103" s="2">
        <v>1</v>
      </c>
      <c r="V103" s="2">
        <f t="shared" si="13"/>
        <v>126</v>
      </c>
      <c r="W103" s="2">
        <v>18</v>
      </c>
      <c r="X103" s="2">
        <v>29</v>
      </c>
      <c r="Y103" s="2">
        <v>0</v>
      </c>
      <c r="Z103" s="2">
        <f t="shared" si="14"/>
        <v>48</v>
      </c>
      <c r="AA103" s="2">
        <f t="shared" si="8"/>
        <v>174</v>
      </c>
      <c r="AB103" s="2">
        <v>2767</v>
      </c>
      <c r="AC103" s="20">
        <f t="shared" si="9"/>
        <v>6.28839898807373</v>
      </c>
      <c r="AD103" s="22" t="s">
        <v>229</v>
      </c>
      <c r="AE103" s="2">
        <v>250</v>
      </c>
      <c r="AF103" s="21">
        <f t="shared" si="10"/>
        <v>4.72887603903144</v>
      </c>
      <c r="AG103" s="4">
        <f t="shared" si="11"/>
        <v>4.55366823274304</v>
      </c>
      <c r="AH103" s="4">
        <f t="shared" si="12"/>
        <v>1.73473075533068</v>
      </c>
    </row>
    <row r="104" spans="1:34">
      <c r="A104" s="2">
        <v>20260107</v>
      </c>
      <c r="B104" s="2" t="s">
        <v>250</v>
      </c>
      <c r="C104" s="2" t="s">
        <v>251</v>
      </c>
      <c r="D104" s="2">
        <v>9</v>
      </c>
      <c r="E104" s="2">
        <v>7</v>
      </c>
      <c r="F104" s="2">
        <v>58</v>
      </c>
      <c r="G104" s="2">
        <v>28</v>
      </c>
      <c r="H104" s="2">
        <v>28</v>
      </c>
      <c r="I104" s="3">
        <v>35</v>
      </c>
      <c r="J104" s="2">
        <v>15</v>
      </c>
      <c r="K104" s="2">
        <v>10</v>
      </c>
      <c r="L104" s="2">
        <v>0</v>
      </c>
      <c r="M104" s="2">
        <v>1</v>
      </c>
      <c r="N104" s="2">
        <v>17</v>
      </c>
      <c r="O104" s="2">
        <v>68</v>
      </c>
      <c r="P104" s="3">
        <v>8</v>
      </c>
      <c r="Q104" s="2">
        <v>12</v>
      </c>
      <c r="R104" s="2">
        <v>2</v>
      </c>
      <c r="S104" s="2">
        <v>5</v>
      </c>
      <c r="T104" s="2">
        <v>77</v>
      </c>
      <c r="U104" s="2">
        <v>6</v>
      </c>
      <c r="V104" s="2">
        <f t="shared" si="13"/>
        <v>175</v>
      </c>
      <c r="W104" s="2">
        <v>17</v>
      </c>
      <c r="X104" s="2">
        <v>10</v>
      </c>
      <c r="Y104" s="2">
        <v>0</v>
      </c>
      <c r="Z104" s="2">
        <f t="shared" si="14"/>
        <v>33</v>
      </c>
      <c r="AA104" s="2">
        <f t="shared" si="8"/>
        <v>208</v>
      </c>
      <c r="AB104" s="2">
        <v>1397</v>
      </c>
      <c r="AC104" s="20">
        <f t="shared" si="9"/>
        <v>14.8890479599141</v>
      </c>
      <c r="AD104" s="22" t="s">
        <v>252</v>
      </c>
      <c r="AE104" s="2">
        <v>250</v>
      </c>
      <c r="AF104" s="21">
        <f t="shared" si="10"/>
        <v>11.1965640658554</v>
      </c>
      <c r="AG104" s="4">
        <f t="shared" si="11"/>
        <v>12.5268432355047</v>
      </c>
      <c r="AH104" s="4">
        <f t="shared" si="12"/>
        <v>2.36220472440945</v>
      </c>
    </row>
    <row r="105" spans="1:34">
      <c r="A105" s="2">
        <v>20260107</v>
      </c>
      <c r="B105" s="2" t="s">
        <v>253</v>
      </c>
      <c r="C105" s="2" t="s">
        <v>254</v>
      </c>
      <c r="D105" s="2">
        <v>2</v>
      </c>
      <c r="E105" s="2">
        <v>14</v>
      </c>
      <c r="F105" s="2">
        <v>34</v>
      </c>
      <c r="G105" s="2">
        <v>4</v>
      </c>
      <c r="H105" s="2">
        <v>4</v>
      </c>
      <c r="I105" s="3">
        <v>60</v>
      </c>
      <c r="J105" s="2">
        <v>13</v>
      </c>
      <c r="K105" s="2">
        <v>7</v>
      </c>
      <c r="L105" s="2">
        <v>1</v>
      </c>
      <c r="M105" s="2">
        <v>5</v>
      </c>
      <c r="N105" s="2">
        <v>7</v>
      </c>
      <c r="O105" s="2">
        <v>48</v>
      </c>
      <c r="P105" s="3">
        <v>11</v>
      </c>
      <c r="Q105" s="2">
        <v>11</v>
      </c>
      <c r="R105" s="2">
        <v>5</v>
      </c>
      <c r="S105" s="2">
        <v>7</v>
      </c>
      <c r="T105" s="2">
        <v>1</v>
      </c>
      <c r="U105" s="2">
        <v>0</v>
      </c>
      <c r="V105" s="2">
        <f t="shared" si="13"/>
        <v>55</v>
      </c>
      <c r="W105" s="2">
        <v>22</v>
      </c>
      <c r="X105" s="2">
        <v>29</v>
      </c>
      <c r="Y105" s="2">
        <v>0</v>
      </c>
      <c r="Z105" s="2">
        <f t="shared" si="14"/>
        <v>51</v>
      </c>
      <c r="AA105" s="2">
        <f t="shared" si="8"/>
        <v>106</v>
      </c>
      <c r="AB105" s="2">
        <v>2497</v>
      </c>
      <c r="AC105" s="20">
        <f t="shared" si="9"/>
        <v>4.24509411293552</v>
      </c>
      <c r="AD105" s="22" t="s">
        <v>252</v>
      </c>
      <c r="AE105" s="2">
        <v>250</v>
      </c>
      <c r="AF105" s="21">
        <f t="shared" si="10"/>
        <v>3.19231077292751</v>
      </c>
      <c r="AG105" s="4">
        <f t="shared" si="11"/>
        <v>2.20264317180617</v>
      </c>
      <c r="AH105" s="4">
        <f t="shared" si="12"/>
        <v>2.04245094112935</v>
      </c>
    </row>
    <row r="106" spans="1:34">
      <c r="A106" s="2">
        <v>20260107</v>
      </c>
      <c r="B106" s="2" t="s">
        <v>255</v>
      </c>
      <c r="C106" s="2" t="s">
        <v>256</v>
      </c>
      <c r="D106" s="2">
        <v>18</v>
      </c>
      <c r="E106" s="2">
        <v>544</v>
      </c>
      <c r="F106" s="2">
        <v>220</v>
      </c>
      <c r="G106" s="2">
        <v>37</v>
      </c>
      <c r="H106" s="2">
        <v>53</v>
      </c>
      <c r="I106" s="3">
        <v>113</v>
      </c>
      <c r="J106" s="2">
        <v>133</v>
      </c>
      <c r="K106" s="2">
        <v>37</v>
      </c>
      <c r="L106" s="2">
        <v>23</v>
      </c>
      <c r="M106" s="2">
        <v>14</v>
      </c>
      <c r="N106" s="2">
        <v>53</v>
      </c>
      <c r="O106" s="2">
        <v>115</v>
      </c>
      <c r="P106" s="3">
        <v>38</v>
      </c>
      <c r="Q106" s="2">
        <v>65</v>
      </c>
      <c r="R106" s="2">
        <v>214</v>
      </c>
      <c r="S106" s="2">
        <v>10</v>
      </c>
      <c r="T106" s="2">
        <v>21</v>
      </c>
      <c r="U106" s="2">
        <v>2</v>
      </c>
      <c r="V106" s="2">
        <f t="shared" si="13"/>
        <v>448</v>
      </c>
      <c r="W106" s="2">
        <v>8</v>
      </c>
      <c r="X106" s="2">
        <v>13</v>
      </c>
      <c r="Y106" s="2">
        <v>0</v>
      </c>
      <c r="Z106" s="2">
        <f t="shared" si="14"/>
        <v>23</v>
      </c>
      <c r="AA106" s="2">
        <f t="shared" si="8"/>
        <v>471</v>
      </c>
      <c r="AB106" s="2">
        <v>1816</v>
      </c>
      <c r="AC106" s="20">
        <f t="shared" si="9"/>
        <v>25.9361233480176</v>
      </c>
      <c r="AD106" s="2" t="s">
        <v>257</v>
      </c>
      <c r="AE106" s="2">
        <v>250</v>
      </c>
      <c r="AF106" s="21">
        <f t="shared" si="10"/>
        <v>19.5039647577093</v>
      </c>
      <c r="AG106" s="4">
        <f t="shared" si="11"/>
        <v>24.6696035242291</v>
      </c>
      <c r="AH106" s="4">
        <f t="shared" si="12"/>
        <v>1.26651982378855</v>
      </c>
    </row>
    <row r="107" spans="1:34">
      <c r="A107" s="2">
        <v>20260107</v>
      </c>
      <c r="B107" s="2" t="s">
        <v>258</v>
      </c>
      <c r="C107" s="2" t="s">
        <v>259</v>
      </c>
      <c r="D107" s="2">
        <v>2</v>
      </c>
      <c r="E107" s="2">
        <v>482</v>
      </c>
      <c r="F107" s="2">
        <v>15</v>
      </c>
      <c r="G107" s="2">
        <v>3</v>
      </c>
      <c r="H107" s="2">
        <v>2</v>
      </c>
      <c r="I107" s="3">
        <v>29</v>
      </c>
      <c r="J107" s="2">
        <v>11</v>
      </c>
      <c r="K107" s="2">
        <v>0</v>
      </c>
      <c r="L107" s="2">
        <v>0</v>
      </c>
      <c r="M107" s="2">
        <v>3</v>
      </c>
      <c r="N107" s="2">
        <v>10</v>
      </c>
      <c r="O107" s="2">
        <v>34</v>
      </c>
      <c r="P107" s="3">
        <v>4</v>
      </c>
      <c r="Q107" s="2">
        <v>10</v>
      </c>
      <c r="R107" s="2">
        <v>336</v>
      </c>
      <c r="S107" s="2">
        <v>1</v>
      </c>
      <c r="T107" s="2">
        <v>3</v>
      </c>
      <c r="U107" s="2">
        <v>0</v>
      </c>
      <c r="V107" s="2">
        <f t="shared" si="13"/>
        <v>46</v>
      </c>
      <c r="W107" s="2">
        <v>3</v>
      </c>
      <c r="X107" s="2">
        <v>6</v>
      </c>
      <c r="Y107" s="2">
        <v>0</v>
      </c>
      <c r="Z107" s="2">
        <f t="shared" si="14"/>
        <v>9</v>
      </c>
      <c r="AA107" s="2">
        <f t="shared" si="8"/>
        <v>55</v>
      </c>
      <c r="AB107" s="2">
        <v>1716</v>
      </c>
      <c r="AC107" s="20">
        <f t="shared" si="9"/>
        <v>3.2051282051282</v>
      </c>
      <c r="AD107" s="2" t="s">
        <v>257</v>
      </c>
      <c r="AE107" s="2">
        <v>250</v>
      </c>
      <c r="AF107" s="21">
        <f t="shared" si="10"/>
        <v>2.41025641025641</v>
      </c>
      <c r="AG107" s="4">
        <f t="shared" si="11"/>
        <v>2.68065268065268</v>
      </c>
      <c r="AH107" s="4">
        <f t="shared" si="12"/>
        <v>0.524475524475524</v>
      </c>
    </row>
    <row r="108" spans="1:34">
      <c r="A108" s="2">
        <v>20260107</v>
      </c>
      <c r="B108" s="2" t="s">
        <v>260</v>
      </c>
      <c r="C108" s="2" t="s">
        <v>261</v>
      </c>
      <c r="D108" s="2">
        <v>17</v>
      </c>
      <c r="E108" s="2">
        <v>171</v>
      </c>
      <c r="F108" s="2">
        <v>25</v>
      </c>
      <c r="G108" s="2">
        <v>6</v>
      </c>
      <c r="H108" s="2">
        <v>8</v>
      </c>
      <c r="I108" s="3">
        <v>27</v>
      </c>
      <c r="J108" s="2">
        <v>23</v>
      </c>
      <c r="K108" s="2">
        <v>3</v>
      </c>
      <c r="L108" s="2">
        <v>1</v>
      </c>
      <c r="M108" s="2">
        <v>7</v>
      </c>
      <c r="N108" s="2">
        <v>25</v>
      </c>
      <c r="O108" s="2">
        <v>51</v>
      </c>
      <c r="P108" s="3">
        <v>1</v>
      </c>
      <c r="Q108" s="2">
        <v>12</v>
      </c>
      <c r="R108" s="2">
        <v>7</v>
      </c>
      <c r="S108" s="2">
        <v>5</v>
      </c>
      <c r="T108" s="2">
        <v>18</v>
      </c>
      <c r="U108" s="2">
        <v>0</v>
      </c>
      <c r="V108" s="2">
        <f t="shared" si="13"/>
        <v>63</v>
      </c>
      <c r="W108" s="2">
        <v>25</v>
      </c>
      <c r="X108" s="2">
        <v>6</v>
      </c>
      <c r="Y108" s="2">
        <v>0</v>
      </c>
      <c r="Z108" s="2">
        <f t="shared" si="14"/>
        <v>31</v>
      </c>
      <c r="AA108" s="2">
        <f t="shared" si="8"/>
        <v>94</v>
      </c>
      <c r="AB108" s="2">
        <v>1407</v>
      </c>
      <c r="AC108" s="20">
        <f t="shared" si="9"/>
        <v>6.68088130774698</v>
      </c>
      <c r="AD108" s="2" t="s">
        <v>257</v>
      </c>
      <c r="AE108" s="2">
        <v>250</v>
      </c>
      <c r="AF108" s="21">
        <f t="shared" si="10"/>
        <v>5.02402274342573</v>
      </c>
      <c r="AG108" s="4">
        <f t="shared" si="11"/>
        <v>4.47761194029851</v>
      </c>
      <c r="AH108" s="4">
        <f t="shared" si="12"/>
        <v>2.20326936744847</v>
      </c>
    </row>
    <row r="109" spans="1:34">
      <c r="A109" s="2">
        <v>20260107</v>
      </c>
      <c r="B109" s="2" t="s">
        <v>262</v>
      </c>
      <c r="C109" s="2" t="s">
        <v>263</v>
      </c>
      <c r="D109" s="2">
        <v>4</v>
      </c>
      <c r="E109" s="2">
        <v>52</v>
      </c>
      <c r="F109" s="2">
        <v>42</v>
      </c>
      <c r="G109" s="2">
        <v>1</v>
      </c>
      <c r="H109" s="2">
        <v>7</v>
      </c>
      <c r="I109" s="3">
        <v>27</v>
      </c>
      <c r="J109" s="2">
        <v>22</v>
      </c>
      <c r="K109" s="2">
        <v>9</v>
      </c>
      <c r="L109" s="2">
        <v>1</v>
      </c>
      <c r="M109" s="2">
        <v>4</v>
      </c>
      <c r="N109" s="2">
        <v>19</v>
      </c>
      <c r="O109" s="2">
        <v>56</v>
      </c>
      <c r="P109" s="3">
        <v>2</v>
      </c>
      <c r="Q109" s="2">
        <v>20</v>
      </c>
      <c r="R109" s="2">
        <v>19</v>
      </c>
      <c r="S109" s="2">
        <v>9</v>
      </c>
      <c r="T109" s="2">
        <v>7</v>
      </c>
      <c r="U109" s="2">
        <v>0</v>
      </c>
      <c r="V109" s="2">
        <f t="shared" si="13"/>
        <v>50</v>
      </c>
      <c r="W109" s="2">
        <v>19</v>
      </c>
      <c r="X109" s="2">
        <v>11</v>
      </c>
      <c r="Y109" s="2">
        <v>0</v>
      </c>
      <c r="Z109" s="2">
        <f t="shared" si="14"/>
        <v>30</v>
      </c>
      <c r="AA109" s="2">
        <f t="shared" si="8"/>
        <v>80</v>
      </c>
      <c r="AB109" s="2">
        <v>1547</v>
      </c>
      <c r="AC109" s="20">
        <f t="shared" si="9"/>
        <v>5.17129928894635</v>
      </c>
      <c r="AD109" s="2" t="s">
        <v>257</v>
      </c>
      <c r="AE109" s="2">
        <v>250</v>
      </c>
      <c r="AF109" s="21">
        <f t="shared" si="10"/>
        <v>3.88881706528765</v>
      </c>
      <c r="AG109" s="4">
        <f t="shared" si="11"/>
        <v>3.23206205559147</v>
      </c>
      <c r="AH109" s="4">
        <f t="shared" si="12"/>
        <v>1.93923723335488</v>
      </c>
    </row>
    <row r="110" spans="1:34">
      <c r="A110" s="2">
        <v>20260107</v>
      </c>
      <c r="B110" s="2" t="s">
        <v>264</v>
      </c>
      <c r="C110" s="2" t="s">
        <v>265</v>
      </c>
      <c r="D110" s="2">
        <v>15</v>
      </c>
      <c r="E110" s="2">
        <v>517</v>
      </c>
      <c r="F110" s="2">
        <v>281</v>
      </c>
      <c r="G110" s="2">
        <v>69</v>
      </c>
      <c r="H110" s="2">
        <v>158</v>
      </c>
      <c r="I110" s="3">
        <v>218</v>
      </c>
      <c r="J110" s="2">
        <v>982</v>
      </c>
      <c r="K110" s="2">
        <v>373</v>
      </c>
      <c r="L110" s="2">
        <v>110</v>
      </c>
      <c r="M110" s="2">
        <v>14</v>
      </c>
      <c r="N110" s="2">
        <v>58</v>
      </c>
      <c r="O110" s="2">
        <v>145</v>
      </c>
      <c r="P110" s="3">
        <v>347</v>
      </c>
      <c r="Q110" s="2">
        <v>307</v>
      </c>
      <c r="R110" s="2">
        <v>535</v>
      </c>
      <c r="S110" s="2">
        <v>132</v>
      </c>
      <c r="T110" s="2">
        <v>64</v>
      </c>
      <c r="U110" s="2">
        <v>54</v>
      </c>
      <c r="V110" s="2">
        <f t="shared" si="13"/>
        <v>2325</v>
      </c>
      <c r="W110" s="2">
        <v>8</v>
      </c>
      <c r="X110" s="2">
        <v>2</v>
      </c>
      <c r="Y110" s="2">
        <v>0</v>
      </c>
      <c r="Z110" s="2">
        <f t="shared" si="14"/>
        <v>64</v>
      </c>
      <c r="AA110" s="2">
        <f t="shared" si="8"/>
        <v>2389</v>
      </c>
      <c r="AB110" s="2">
        <v>1657</v>
      </c>
      <c r="AC110" s="20">
        <f t="shared" si="9"/>
        <v>144.176222088111</v>
      </c>
      <c r="AD110" s="2" t="s">
        <v>257</v>
      </c>
      <c r="AE110" s="2">
        <v>250</v>
      </c>
      <c r="AF110" s="21">
        <f t="shared" si="10"/>
        <v>108.42051901026</v>
      </c>
      <c r="AG110" s="4">
        <f t="shared" si="11"/>
        <v>140.31382015691</v>
      </c>
      <c r="AH110" s="4">
        <f t="shared" si="12"/>
        <v>3.86240193120097</v>
      </c>
    </row>
    <row r="111" spans="1:34">
      <c r="A111" s="2">
        <v>20260107</v>
      </c>
      <c r="B111" s="2" t="s">
        <v>266</v>
      </c>
      <c r="C111" s="2" t="s">
        <v>267</v>
      </c>
      <c r="D111" s="2">
        <v>8</v>
      </c>
      <c r="E111" s="2">
        <v>21</v>
      </c>
      <c r="F111" s="2">
        <v>36</v>
      </c>
      <c r="G111" s="2">
        <v>2</v>
      </c>
      <c r="H111" s="2">
        <v>0</v>
      </c>
      <c r="I111" s="3">
        <v>26</v>
      </c>
      <c r="J111" s="2">
        <v>10</v>
      </c>
      <c r="K111" s="2">
        <v>2</v>
      </c>
      <c r="L111" s="2">
        <v>1</v>
      </c>
      <c r="M111" s="2">
        <v>0</v>
      </c>
      <c r="N111" s="2">
        <v>10</v>
      </c>
      <c r="O111" s="2">
        <v>45</v>
      </c>
      <c r="P111" s="3">
        <v>2</v>
      </c>
      <c r="Q111" s="2">
        <v>21</v>
      </c>
      <c r="R111" s="2">
        <v>9</v>
      </c>
      <c r="S111" s="2">
        <v>1</v>
      </c>
      <c r="T111" s="2">
        <v>1</v>
      </c>
      <c r="U111" s="2">
        <v>0</v>
      </c>
      <c r="V111" s="2">
        <f t="shared" si="13"/>
        <v>27</v>
      </c>
      <c r="W111" s="2">
        <v>2</v>
      </c>
      <c r="X111" s="2">
        <v>15</v>
      </c>
      <c r="Y111" s="2">
        <v>0</v>
      </c>
      <c r="Z111" s="2">
        <f t="shared" si="14"/>
        <v>17</v>
      </c>
      <c r="AA111" s="2">
        <f t="shared" si="8"/>
        <v>44</v>
      </c>
      <c r="AB111" s="2">
        <v>2186</v>
      </c>
      <c r="AC111" s="20">
        <f t="shared" si="9"/>
        <v>2.0128087831656</v>
      </c>
      <c r="AD111" s="2" t="s">
        <v>257</v>
      </c>
      <c r="AE111" s="2">
        <v>250</v>
      </c>
      <c r="AF111" s="21">
        <f t="shared" si="10"/>
        <v>1.51363220494053</v>
      </c>
      <c r="AG111" s="4">
        <f t="shared" si="11"/>
        <v>1.23513266239707</v>
      </c>
      <c r="AH111" s="4">
        <f t="shared" si="12"/>
        <v>0.777676120768527</v>
      </c>
    </row>
    <row r="112" spans="1:34">
      <c r="A112" s="2">
        <v>20260107</v>
      </c>
      <c r="B112" s="2" t="s">
        <v>268</v>
      </c>
      <c r="C112" s="2" t="s">
        <v>269</v>
      </c>
      <c r="D112" s="2">
        <v>15</v>
      </c>
      <c r="E112" s="2">
        <v>26</v>
      </c>
      <c r="F112" s="2">
        <v>24</v>
      </c>
      <c r="G112" s="2">
        <v>3</v>
      </c>
      <c r="H112" s="2">
        <v>4</v>
      </c>
      <c r="I112" s="3">
        <v>24</v>
      </c>
      <c r="J112" s="2">
        <v>12</v>
      </c>
      <c r="K112" s="2">
        <v>2</v>
      </c>
      <c r="L112" s="2">
        <v>1</v>
      </c>
      <c r="M112" s="2">
        <v>1</v>
      </c>
      <c r="N112" s="2">
        <v>6</v>
      </c>
      <c r="O112" s="2">
        <v>58</v>
      </c>
      <c r="P112" s="3">
        <v>5</v>
      </c>
      <c r="Q112" s="2">
        <v>16</v>
      </c>
      <c r="R112" s="2">
        <v>51</v>
      </c>
      <c r="S112" s="2">
        <v>3</v>
      </c>
      <c r="T112" s="2">
        <v>3</v>
      </c>
      <c r="U112" s="2">
        <v>0</v>
      </c>
      <c r="V112" s="2">
        <f t="shared" si="13"/>
        <v>4</v>
      </c>
      <c r="W112" s="2">
        <v>22</v>
      </c>
      <c r="X112" s="2">
        <v>29</v>
      </c>
      <c r="Y112" s="2">
        <v>0</v>
      </c>
      <c r="Z112" s="2">
        <f t="shared" si="14"/>
        <v>51</v>
      </c>
      <c r="AA112" s="2">
        <f t="shared" si="8"/>
        <v>55</v>
      </c>
      <c r="AB112" s="2">
        <v>2186</v>
      </c>
      <c r="AC112" s="20">
        <f t="shared" si="9"/>
        <v>2.516010978957</v>
      </c>
      <c r="AD112" s="2" t="s">
        <v>257</v>
      </c>
      <c r="AE112" s="2">
        <v>250</v>
      </c>
      <c r="AF112" s="21">
        <f t="shared" si="10"/>
        <v>1.89204025617566</v>
      </c>
      <c r="AG112" s="4">
        <f t="shared" si="11"/>
        <v>0.182982616651418</v>
      </c>
      <c r="AH112" s="4">
        <f t="shared" si="12"/>
        <v>2.33302836230558</v>
      </c>
    </row>
    <row r="113" spans="1:34">
      <c r="A113" s="2">
        <v>20260107</v>
      </c>
      <c r="B113" s="2" t="s">
        <v>270</v>
      </c>
      <c r="C113" s="2" t="s">
        <v>271</v>
      </c>
      <c r="D113" s="2">
        <v>1</v>
      </c>
      <c r="E113" s="2">
        <v>0</v>
      </c>
      <c r="F113" s="2">
        <v>11</v>
      </c>
      <c r="G113" s="2">
        <v>1</v>
      </c>
      <c r="H113" s="2">
        <v>0</v>
      </c>
      <c r="I113" s="3">
        <v>17</v>
      </c>
      <c r="J113" s="2">
        <v>8</v>
      </c>
      <c r="K113" s="2">
        <v>1</v>
      </c>
      <c r="L113" s="2">
        <v>0</v>
      </c>
      <c r="M113" s="2">
        <v>2</v>
      </c>
      <c r="N113" s="2">
        <v>5</v>
      </c>
      <c r="O113" s="2">
        <v>13</v>
      </c>
      <c r="P113" s="3">
        <v>3</v>
      </c>
      <c r="Q113" s="2">
        <v>4</v>
      </c>
      <c r="R113" s="2">
        <v>14</v>
      </c>
      <c r="S113" s="2">
        <v>1</v>
      </c>
      <c r="T113" s="2">
        <v>1</v>
      </c>
      <c r="U113" s="2">
        <v>0</v>
      </c>
      <c r="V113" s="2">
        <f t="shared" si="13"/>
        <v>22</v>
      </c>
      <c r="W113" s="2">
        <v>3</v>
      </c>
      <c r="X113" s="2">
        <v>8</v>
      </c>
      <c r="Y113" s="2">
        <v>0</v>
      </c>
      <c r="Z113" s="2">
        <f t="shared" si="14"/>
        <v>11</v>
      </c>
      <c r="AA113" s="2">
        <f t="shared" si="8"/>
        <v>33</v>
      </c>
      <c r="AB113" s="2">
        <v>1418</v>
      </c>
      <c r="AC113" s="20">
        <f t="shared" si="9"/>
        <v>2.32722143864598</v>
      </c>
      <c r="AD113" s="2" t="s">
        <v>229</v>
      </c>
      <c r="AE113" s="2">
        <v>188</v>
      </c>
      <c r="AF113" s="21">
        <f t="shared" si="10"/>
        <v>2.32722143864598</v>
      </c>
      <c r="AG113" s="4">
        <f t="shared" si="11"/>
        <v>1.55148095909732</v>
      </c>
      <c r="AH113" s="4">
        <f t="shared" si="12"/>
        <v>0.77574047954866</v>
      </c>
    </row>
    <row r="114" spans="1:34">
      <c r="A114" s="2">
        <v>20260107</v>
      </c>
      <c r="B114" s="2" t="s">
        <v>272</v>
      </c>
      <c r="C114" s="2" t="s">
        <v>273</v>
      </c>
      <c r="D114" s="2">
        <v>0</v>
      </c>
      <c r="E114" s="2">
        <v>145</v>
      </c>
      <c r="F114" s="2">
        <v>15</v>
      </c>
      <c r="G114" s="2">
        <v>1</v>
      </c>
      <c r="H114" s="2">
        <v>2</v>
      </c>
      <c r="I114" s="3">
        <v>13</v>
      </c>
      <c r="J114" s="2">
        <v>7</v>
      </c>
      <c r="K114" s="2">
        <v>4</v>
      </c>
      <c r="L114" s="2">
        <v>2</v>
      </c>
      <c r="M114" s="2">
        <v>5</v>
      </c>
      <c r="N114" s="2">
        <v>3</v>
      </c>
      <c r="O114" s="2">
        <v>13</v>
      </c>
      <c r="P114" s="3">
        <v>2</v>
      </c>
      <c r="Q114" s="2">
        <v>9</v>
      </c>
      <c r="R114" s="2">
        <v>9</v>
      </c>
      <c r="S114" s="2">
        <v>1</v>
      </c>
      <c r="T114" s="2">
        <v>1</v>
      </c>
      <c r="U114" s="2">
        <v>0</v>
      </c>
      <c r="V114" s="2">
        <f t="shared" si="13"/>
        <v>25</v>
      </c>
      <c r="W114" s="2">
        <v>7</v>
      </c>
      <c r="X114" s="2">
        <v>5</v>
      </c>
      <c r="Y114" s="2">
        <v>0</v>
      </c>
      <c r="Z114" s="2">
        <f t="shared" si="14"/>
        <v>12</v>
      </c>
      <c r="AA114" s="2">
        <f t="shared" si="8"/>
        <v>37</v>
      </c>
      <c r="AB114" s="2">
        <v>2345</v>
      </c>
      <c r="AC114" s="20">
        <f t="shared" si="9"/>
        <v>1.57782515991471</v>
      </c>
      <c r="AD114" s="2" t="s">
        <v>58</v>
      </c>
      <c r="AE114" s="2">
        <v>188</v>
      </c>
      <c r="AF114" s="21">
        <f t="shared" si="10"/>
        <v>1.57782515991471</v>
      </c>
      <c r="AG114" s="4">
        <f t="shared" si="11"/>
        <v>1.06609808102345</v>
      </c>
      <c r="AH114" s="4">
        <f t="shared" si="12"/>
        <v>0.511727078891258</v>
      </c>
    </row>
    <row r="115" spans="1:34">
      <c r="A115" s="2">
        <v>20260108</v>
      </c>
      <c r="B115" s="2" t="s">
        <v>274</v>
      </c>
      <c r="C115" s="2" t="s">
        <v>275</v>
      </c>
      <c r="D115" s="2">
        <v>0</v>
      </c>
      <c r="E115" s="2">
        <v>609</v>
      </c>
      <c r="F115" s="2">
        <v>13</v>
      </c>
      <c r="G115" s="2">
        <v>0</v>
      </c>
      <c r="H115" s="2">
        <v>4</v>
      </c>
      <c r="I115" s="3">
        <v>11</v>
      </c>
      <c r="J115" s="2">
        <v>13</v>
      </c>
      <c r="K115" s="2">
        <v>1</v>
      </c>
      <c r="L115" s="2">
        <v>0</v>
      </c>
      <c r="M115" s="2">
        <v>7</v>
      </c>
      <c r="N115" s="2">
        <v>35</v>
      </c>
      <c r="O115" s="2">
        <v>16</v>
      </c>
      <c r="P115" s="3">
        <v>6</v>
      </c>
      <c r="Q115" s="2">
        <v>11</v>
      </c>
      <c r="R115" s="2">
        <v>16</v>
      </c>
      <c r="S115" s="2">
        <v>0</v>
      </c>
      <c r="T115" s="2">
        <v>135</v>
      </c>
      <c r="U115" s="2">
        <v>0</v>
      </c>
      <c r="V115" s="2">
        <f t="shared" si="13"/>
        <v>177</v>
      </c>
      <c r="W115" s="2">
        <v>0</v>
      </c>
      <c r="X115" s="2">
        <v>0</v>
      </c>
      <c r="Y115" s="2">
        <v>0</v>
      </c>
      <c r="Z115" s="2">
        <f t="shared" si="14"/>
        <v>0</v>
      </c>
      <c r="AA115" s="2">
        <f t="shared" si="8"/>
        <v>177</v>
      </c>
      <c r="AB115" s="2">
        <v>1527</v>
      </c>
      <c r="AC115" s="20">
        <f t="shared" si="9"/>
        <v>11.5913555992141</v>
      </c>
      <c r="AD115" s="2" t="s">
        <v>229</v>
      </c>
      <c r="AE115" s="2">
        <v>188</v>
      </c>
      <c r="AF115" s="21">
        <f t="shared" si="10"/>
        <v>11.5913555992141</v>
      </c>
      <c r="AG115" s="4">
        <f t="shared" si="11"/>
        <v>11.5913555992141</v>
      </c>
      <c r="AH115" s="4">
        <f t="shared" si="12"/>
        <v>0</v>
      </c>
    </row>
    <row r="116" spans="1:34">
      <c r="A116" s="2">
        <v>20260108</v>
      </c>
      <c r="B116" s="2" t="s">
        <v>276</v>
      </c>
      <c r="C116" s="2" t="s">
        <v>277</v>
      </c>
      <c r="D116" s="2">
        <v>3</v>
      </c>
      <c r="E116" s="2">
        <v>1</v>
      </c>
      <c r="F116" s="2">
        <v>18</v>
      </c>
      <c r="G116" s="2">
        <v>1</v>
      </c>
      <c r="H116" s="2">
        <v>1</v>
      </c>
      <c r="I116" s="3">
        <v>15</v>
      </c>
      <c r="J116" s="2">
        <v>3</v>
      </c>
      <c r="K116" s="2">
        <v>1</v>
      </c>
      <c r="L116" s="2">
        <v>0</v>
      </c>
      <c r="M116" s="2">
        <v>6</v>
      </c>
      <c r="N116" s="2">
        <v>5</v>
      </c>
      <c r="O116" s="2">
        <v>16</v>
      </c>
      <c r="P116" s="3">
        <v>7</v>
      </c>
      <c r="Q116" s="2">
        <v>8</v>
      </c>
      <c r="R116" s="2">
        <v>20</v>
      </c>
      <c r="S116" s="2">
        <v>2</v>
      </c>
      <c r="T116" s="2">
        <v>0</v>
      </c>
      <c r="U116" s="2">
        <v>0</v>
      </c>
      <c r="V116" s="2">
        <f t="shared" si="13"/>
        <v>29</v>
      </c>
      <c r="W116" s="2">
        <v>2</v>
      </c>
      <c r="X116" s="2">
        <v>2</v>
      </c>
      <c r="Y116" s="2">
        <v>1</v>
      </c>
      <c r="Z116" s="2">
        <f t="shared" si="14"/>
        <v>5</v>
      </c>
      <c r="AA116" s="2">
        <f t="shared" si="8"/>
        <v>34</v>
      </c>
      <c r="AB116" s="2">
        <v>2275</v>
      </c>
      <c r="AC116" s="20">
        <f t="shared" si="9"/>
        <v>1.49450549450549</v>
      </c>
      <c r="AD116" s="2" t="s">
        <v>58</v>
      </c>
      <c r="AE116" s="2">
        <v>188</v>
      </c>
      <c r="AF116" s="21">
        <f t="shared" si="10"/>
        <v>1.49450549450549</v>
      </c>
      <c r="AG116" s="4">
        <f t="shared" si="11"/>
        <v>1.27472527472527</v>
      </c>
      <c r="AH116" s="4">
        <f t="shared" si="12"/>
        <v>0.21978021978022</v>
      </c>
    </row>
    <row r="117" spans="1:34">
      <c r="A117" s="2">
        <v>20260108</v>
      </c>
      <c r="B117" s="2" t="s">
        <v>278</v>
      </c>
      <c r="C117" s="2" t="s">
        <v>279</v>
      </c>
      <c r="D117" s="2">
        <v>0</v>
      </c>
      <c r="E117" s="2">
        <v>0</v>
      </c>
      <c r="F117" s="2">
        <v>10</v>
      </c>
      <c r="G117" s="2">
        <v>2</v>
      </c>
      <c r="H117" s="2">
        <v>3</v>
      </c>
      <c r="I117" s="3">
        <v>22</v>
      </c>
      <c r="J117" s="2">
        <v>0</v>
      </c>
      <c r="K117" s="2">
        <v>2</v>
      </c>
      <c r="L117" s="2">
        <v>0</v>
      </c>
      <c r="M117" s="2">
        <v>4</v>
      </c>
      <c r="N117" s="2">
        <v>3</v>
      </c>
      <c r="O117" s="2">
        <v>28</v>
      </c>
      <c r="P117" s="3">
        <v>3</v>
      </c>
      <c r="Q117" s="2">
        <v>11</v>
      </c>
      <c r="R117" s="2">
        <v>19</v>
      </c>
      <c r="S117" s="2">
        <v>0</v>
      </c>
      <c r="T117" s="2">
        <v>2</v>
      </c>
      <c r="U117" s="2">
        <v>0</v>
      </c>
      <c r="V117" s="2">
        <f t="shared" si="13"/>
        <v>31</v>
      </c>
      <c r="W117" s="2">
        <v>0</v>
      </c>
      <c r="X117" s="2">
        <v>7</v>
      </c>
      <c r="Y117" s="2">
        <v>0</v>
      </c>
      <c r="Z117" s="2">
        <f t="shared" si="14"/>
        <v>7</v>
      </c>
      <c r="AA117" s="2">
        <f t="shared" si="8"/>
        <v>38</v>
      </c>
      <c r="AB117" s="2">
        <v>2175</v>
      </c>
      <c r="AC117" s="20">
        <f t="shared" si="9"/>
        <v>1.74712643678161</v>
      </c>
      <c r="AD117" s="2" t="s">
        <v>58</v>
      </c>
      <c r="AE117" s="2">
        <v>188</v>
      </c>
      <c r="AF117" s="21">
        <f t="shared" si="10"/>
        <v>1.74712643678161</v>
      </c>
      <c r="AG117" s="4">
        <f t="shared" si="11"/>
        <v>1.42528735632184</v>
      </c>
      <c r="AH117" s="4">
        <f t="shared" si="12"/>
        <v>0.32183908045977</v>
      </c>
    </row>
    <row r="118" spans="1:34">
      <c r="A118" s="2">
        <v>20260108</v>
      </c>
      <c r="B118" s="2" t="s">
        <v>280</v>
      </c>
      <c r="C118" s="2" t="s">
        <v>281</v>
      </c>
      <c r="D118" s="2">
        <v>1</v>
      </c>
      <c r="E118" s="2">
        <v>1</v>
      </c>
      <c r="F118" s="2">
        <v>13</v>
      </c>
      <c r="G118" s="2">
        <v>1</v>
      </c>
      <c r="H118" s="2">
        <v>1</v>
      </c>
      <c r="I118" s="3">
        <v>17</v>
      </c>
      <c r="J118" s="2">
        <v>2</v>
      </c>
      <c r="K118" s="2">
        <v>4</v>
      </c>
      <c r="L118" s="2">
        <v>0</v>
      </c>
      <c r="M118" s="2">
        <v>2</v>
      </c>
      <c r="N118" s="2">
        <v>15</v>
      </c>
      <c r="O118" s="2">
        <v>14</v>
      </c>
      <c r="P118" s="3">
        <v>3</v>
      </c>
      <c r="Q118" s="2">
        <v>13</v>
      </c>
      <c r="R118" s="2">
        <v>22</v>
      </c>
      <c r="S118" s="2">
        <v>0</v>
      </c>
      <c r="T118" s="2">
        <v>0</v>
      </c>
      <c r="U118" s="2">
        <v>1</v>
      </c>
      <c r="V118" s="2">
        <f t="shared" si="13"/>
        <v>28</v>
      </c>
      <c r="W118" s="2">
        <v>2</v>
      </c>
      <c r="X118" s="2">
        <v>0</v>
      </c>
      <c r="Y118" s="2">
        <v>0</v>
      </c>
      <c r="Z118" s="2">
        <f t="shared" si="14"/>
        <v>3</v>
      </c>
      <c r="AA118" s="2">
        <f t="shared" si="8"/>
        <v>31</v>
      </c>
      <c r="AB118" s="2">
        <v>2125</v>
      </c>
      <c r="AC118" s="20">
        <f t="shared" si="9"/>
        <v>1.45882352941176</v>
      </c>
      <c r="AD118" s="2" t="s">
        <v>58</v>
      </c>
      <c r="AE118" s="2">
        <v>188</v>
      </c>
      <c r="AF118" s="21">
        <f t="shared" si="10"/>
        <v>1.45882352941176</v>
      </c>
      <c r="AG118" s="4">
        <f t="shared" si="11"/>
        <v>1.31764705882353</v>
      </c>
      <c r="AH118" s="4">
        <f t="shared" si="12"/>
        <v>0.141176470588235</v>
      </c>
    </row>
    <row r="119" spans="1:34">
      <c r="A119" s="2">
        <v>20260108</v>
      </c>
      <c r="B119" s="2" t="s">
        <v>282</v>
      </c>
      <c r="C119" s="2" t="s">
        <v>283</v>
      </c>
      <c r="D119" s="2">
        <v>3</v>
      </c>
      <c r="E119" s="2">
        <v>1</v>
      </c>
      <c r="F119" s="2">
        <v>17</v>
      </c>
      <c r="G119" s="2">
        <v>0</v>
      </c>
      <c r="H119" s="2">
        <v>3</v>
      </c>
      <c r="I119" s="3">
        <v>26</v>
      </c>
      <c r="J119" s="2">
        <v>8</v>
      </c>
      <c r="K119" s="2">
        <v>3</v>
      </c>
      <c r="L119" s="2">
        <v>1</v>
      </c>
      <c r="M119" s="2">
        <v>1</v>
      </c>
      <c r="N119" s="2">
        <v>24</v>
      </c>
      <c r="O119" s="2">
        <v>35</v>
      </c>
      <c r="P119" s="3">
        <v>5</v>
      </c>
      <c r="Q119" s="2">
        <v>9</v>
      </c>
      <c r="R119" s="2">
        <v>17</v>
      </c>
      <c r="S119" s="2">
        <v>0</v>
      </c>
      <c r="T119" s="2">
        <v>2</v>
      </c>
      <c r="U119" s="2">
        <v>0</v>
      </c>
      <c r="V119" s="2">
        <f t="shared" si="13"/>
        <v>41</v>
      </c>
      <c r="W119" s="2">
        <v>4</v>
      </c>
      <c r="X119" s="2">
        <v>4</v>
      </c>
      <c r="Y119" s="2">
        <v>0</v>
      </c>
      <c r="Z119" s="2">
        <f t="shared" si="14"/>
        <v>8</v>
      </c>
      <c r="AA119" s="2">
        <f t="shared" si="8"/>
        <v>49</v>
      </c>
      <c r="AB119" s="2">
        <v>2176</v>
      </c>
      <c r="AC119" s="20">
        <f t="shared" si="9"/>
        <v>2.25183823529412</v>
      </c>
      <c r="AD119" s="2" t="s">
        <v>58</v>
      </c>
      <c r="AE119" s="2">
        <v>188</v>
      </c>
      <c r="AF119" s="21">
        <f t="shared" si="10"/>
        <v>2.25183823529412</v>
      </c>
      <c r="AG119" s="4">
        <f t="shared" si="11"/>
        <v>1.88419117647059</v>
      </c>
      <c r="AH119" s="4">
        <f t="shared" si="12"/>
        <v>0.367647058823529</v>
      </c>
    </row>
    <row r="120" spans="1:34">
      <c r="A120" s="2">
        <v>20260108</v>
      </c>
      <c r="B120" s="2" t="s">
        <v>284</v>
      </c>
      <c r="C120" s="2" t="s">
        <v>285</v>
      </c>
      <c r="D120" s="2">
        <v>3</v>
      </c>
      <c r="E120" s="2">
        <v>1</v>
      </c>
      <c r="F120" s="2">
        <v>12</v>
      </c>
      <c r="G120" s="2">
        <v>1</v>
      </c>
      <c r="H120" s="2">
        <v>1</v>
      </c>
      <c r="I120" s="3">
        <v>9</v>
      </c>
      <c r="J120" s="2">
        <v>7</v>
      </c>
      <c r="K120" s="2">
        <v>1</v>
      </c>
      <c r="L120" s="2">
        <v>0</v>
      </c>
      <c r="M120" s="2">
        <v>1</v>
      </c>
      <c r="N120" s="2">
        <v>27</v>
      </c>
      <c r="O120" s="2">
        <v>22</v>
      </c>
      <c r="P120" s="3">
        <v>6</v>
      </c>
      <c r="Q120" s="2">
        <v>15</v>
      </c>
      <c r="R120" s="2">
        <v>13</v>
      </c>
      <c r="S120" s="2">
        <v>1</v>
      </c>
      <c r="T120" s="2">
        <v>0</v>
      </c>
      <c r="U120" s="2">
        <v>0</v>
      </c>
      <c r="V120" s="2">
        <f t="shared" si="13"/>
        <v>22</v>
      </c>
      <c r="W120" s="2">
        <v>2</v>
      </c>
      <c r="X120" s="2">
        <v>2</v>
      </c>
      <c r="Y120" s="2">
        <v>0</v>
      </c>
      <c r="Z120" s="2">
        <f t="shared" si="14"/>
        <v>4</v>
      </c>
      <c r="AA120" s="2">
        <f t="shared" si="8"/>
        <v>26</v>
      </c>
      <c r="AB120" s="2">
        <v>2375</v>
      </c>
      <c r="AC120" s="20">
        <f t="shared" si="9"/>
        <v>1.09473684210526</v>
      </c>
      <c r="AD120" s="2" t="s">
        <v>58</v>
      </c>
      <c r="AE120" s="2">
        <v>188</v>
      </c>
      <c r="AF120" s="21">
        <f t="shared" si="10"/>
        <v>1.09473684210526</v>
      </c>
      <c r="AG120" s="4">
        <f t="shared" si="11"/>
        <v>0.926315789473684</v>
      </c>
      <c r="AH120" s="4">
        <f t="shared" si="12"/>
        <v>0.168421052631579</v>
      </c>
    </row>
    <row r="121" spans="1:34">
      <c r="A121" s="2">
        <v>20260108</v>
      </c>
      <c r="B121" s="2" t="s">
        <v>286</v>
      </c>
      <c r="C121" s="2" t="s">
        <v>287</v>
      </c>
      <c r="D121" s="2">
        <v>2</v>
      </c>
      <c r="E121" s="2">
        <v>1</v>
      </c>
      <c r="F121" s="2">
        <v>13</v>
      </c>
      <c r="G121" s="2">
        <v>1</v>
      </c>
      <c r="H121" s="2">
        <v>8</v>
      </c>
      <c r="I121" s="3">
        <v>23</v>
      </c>
      <c r="J121" s="2">
        <v>5</v>
      </c>
      <c r="K121" s="2">
        <v>2</v>
      </c>
      <c r="L121" s="2">
        <v>0</v>
      </c>
      <c r="M121" s="2">
        <v>2</v>
      </c>
      <c r="N121" s="2">
        <v>22</v>
      </c>
      <c r="O121" s="2">
        <v>16</v>
      </c>
      <c r="P121" s="3">
        <v>4</v>
      </c>
      <c r="Q121" s="2">
        <v>13</v>
      </c>
      <c r="R121" s="2">
        <v>8</v>
      </c>
      <c r="S121" s="2">
        <v>1</v>
      </c>
      <c r="T121" s="2">
        <v>3</v>
      </c>
      <c r="U121" s="2">
        <v>0</v>
      </c>
      <c r="V121" s="2">
        <f t="shared" si="13"/>
        <v>41</v>
      </c>
      <c r="W121" s="2">
        <v>0</v>
      </c>
      <c r="X121" s="2">
        <v>7</v>
      </c>
      <c r="Y121" s="2">
        <v>0</v>
      </c>
      <c r="Z121" s="2">
        <f t="shared" si="14"/>
        <v>7</v>
      </c>
      <c r="AA121" s="2">
        <f t="shared" si="8"/>
        <v>48</v>
      </c>
      <c r="AB121" s="2">
        <v>2176</v>
      </c>
      <c r="AC121" s="20">
        <f t="shared" si="9"/>
        <v>2.20588235294118</v>
      </c>
      <c r="AD121" s="2" t="s">
        <v>58</v>
      </c>
      <c r="AE121" s="2">
        <v>188</v>
      </c>
      <c r="AF121" s="21">
        <f t="shared" si="10"/>
        <v>2.20588235294118</v>
      </c>
      <c r="AG121" s="4">
        <f t="shared" si="11"/>
        <v>1.88419117647059</v>
      </c>
      <c r="AH121" s="4">
        <f t="shared" si="12"/>
        <v>0.321691176470588</v>
      </c>
    </row>
    <row r="122" spans="1:34">
      <c r="A122" s="2">
        <v>20260108</v>
      </c>
      <c r="B122" s="2" t="s">
        <v>288</v>
      </c>
      <c r="C122" s="2" t="s">
        <v>289</v>
      </c>
      <c r="D122" s="2">
        <v>2</v>
      </c>
      <c r="E122" s="2">
        <v>0</v>
      </c>
      <c r="F122" s="2">
        <v>5</v>
      </c>
      <c r="G122" s="2">
        <v>0</v>
      </c>
      <c r="H122" s="2">
        <v>5</v>
      </c>
      <c r="I122" s="3">
        <v>11</v>
      </c>
      <c r="J122" s="2">
        <v>8</v>
      </c>
      <c r="K122" s="2">
        <v>0</v>
      </c>
      <c r="L122" s="2">
        <v>0</v>
      </c>
      <c r="M122" s="2">
        <v>4</v>
      </c>
      <c r="N122" s="2">
        <v>8</v>
      </c>
      <c r="O122" s="2">
        <v>18</v>
      </c>
      <c r="P122" s="3">
        <v>1</v>
      </c>
      <c r="Q122" s="2">
        <v>8</v>
      </c>
      <c r="R122" s="2">
        <v>10</v>
      </c>
      <c r="S122" s="2">
        <v>1</v>
      </c>
      <c r="T122" s="2">
        <v>0</v>
      </c>
      <c r="U122" s="2">
        <v>0</v>
      </c>
      <c r="V122" s="2">
        <f t="shared" si="13"/>
        <v>24</v>
      </c>
      <c r="W122" s="2">
        <v>1</v>
      </c>
      <c r="X122" s="2">
        <v>4</v>
      </c>
      <c r="Y122" s="2">
        <v>0</v>
      </c>
      <c r="Z122" s="2">
        <f t="shared" si="14"/>
        <v>5</v>
      </c>
      <c r="AA122" s="2">
        <f t="shared" si="8"/>
        <v>29</v>
      </c>
      <c r="AB122" s="2">
        <v>2176</v>
      </c>
      <c r="AC122" s="20">
        <f t="shared" si="9"/>
        <v>1.33272058823529</v>
      </c>
      <c r="AD122" s="2" t="s">
        <v>58</v>
      </c>
      <c r="AE122" s="2">
        <v>188</v>
      </c>
      <c r="AF122" s="21">
        <f t="shared" si="10"/>
        <v>1.33272058823529</v>
      </c>
      <c r="AG122" s="4">
        <f t="shared" si="11"/>
        <v>1.10294117647059</v>
      </c>
      <c r="AH122" s="4">
        <f t="shared" si="12"/>
        <v>0.229779411764706</v>
      </c>
    </row>
    <row r="123" spans="1:34">
      <c r="A123" s="2">
        <v>20260108</v>
      </c>
      <c r="B123" s="2" t="s">
        <v>290</v>
      </c>
      <c r="C123" s="2" t="s">
        <v>291</v>
      </c>
      <c r="D123" s="2">
        <v>3</v>
      </c>
      <c r="E123" s="2">
        <v>1</v>
      </c>
      <c r="F123" s="2">
        <v>3</v>
      </c>
      <c r="G123" s="2">
        <v>2</v>
      </c>
      <c r="H123" s="2">
        <v>2</v>
      </c>
      <c r="I123" s="3">
        <v>10</v>
      </c>
      <c r="J123" s="2">
        <v>10</v>
      </c>
      <c r="K123" s="2">
        <v>0</v>
      </c>
      <c r="L123" s="2">
        <v>0</v>
      </c>
      <c r="M123" s="2">
        <v>2</v>
      </c>
      <c r="N123" s="2">
        <v>19</v>
      </c>
      <c r="O123" s="2">
        <v>14</v>
      </c>
      <c r="P123" s="3">
        <v>3</v>
      </c>
      <c r="Q123" s="2">
        <v>13</v>
      </c>
      <c r="R123" s="2">
        <v>33</v>
      </c>
      <c r="S123" s="2">
        <v>1</v>
      </c>
      <c r="T123" s="2">
        <v>0</v>
      </c>
      <c r="U123" s="2">
        <v>0</v>
      </c>
      <c r="V123" s="2">
        <f t="shared" si="13"/>
        <v>19</v>
      </c>
      <c r="W123" s="2">
        <v>0</v>
      </c>
      <c r="X123" s="2">
        <v>10</v>
      </c>
      <c r="Y123" s="2">
        <v>0</v>
      </c>
      <c r="Z123" s="2">
        <f t="shared" si="14"/>
        <v>10</v>
      </c>
      <c r="AA123" s="2">
        <f t="shared" si="8"/>
        <v>29</v>
      </c>
      <c r="AB123" s="2">
        <v>2176</v>
      </c>
      <c r="AC123" s="20">
        <f t="shared" si="9"/>
        <v>1.33272058823529</v>
      </c>
      <c r="AD123" s="2" t="s">
        <v>58</v>
      </c>
      <c r="AE123" s="2">
        <v>188</v>
      </c>
      <c r="AF123" s="21">
        <f t="shared" si="10"/>
        <v>1.33272058823529</v>
      </c>
      <c r="AG123" s="4">
        <f t="shared" si="11"/>
        <v>0.873161764705882</v>
      </c>
      <c r="AH123" s="4">
        <f t="shared" si="12"/>
        <v>0.459558823529412</v>
      </c>
    </row>
    <row r="124" spans="1:34">
      <c r="A124" s="2">
        <v>20260108</v>
      </c>
      <c r="B124" s="2" t="s">
        <v>292</v>
      </c>
      <c r="C124" s="2" t="s">
        <v>293</v>
      </c>
      <c r="D124" s="2">
        <v>5</v>
      </c>
      <c r="E124" s="2">
        <v>4</v>
      </c>
      <c r="F124" s="2">
        <v>20</v>
      </c>
      <c r="G124" s="2">
        <v>0</v>
      </c>
      <c r="H124" s="2">
        <v>2</v>
      </c>
      <c r="I124" s="3">
        <v>9</v>
      </c>
      <c r="J124" s="2">
        <v>4</v>
      </c>
      <c r="K124" s="2">
        <v>0</v>
      </c>
      <c r="L124" s="2">
        <v>0</v>
      </c>
      <c r="M124" s="2">
        <v>3</v>
      </c>
      <c r="N124" s="2">
        <v>7</v>
      </c>
      <c r="O124" s="2">
        <v>21</v>
      </c>
      <c r="P124" s="3">
        <v>3</v>
      </c>
      <c r="Q124" s="2">
        <v>21</v>
      </c>
      <c r="R124" s="2">
        <v>36</v>
      </c>
      <c r="S124" s="2">
        <v>2</v>
      </c>
      <c r="T124" s="2">
        <v>0</v>
      </c>
      <c r="U124" s="2">
        <v>0</v>
      </c>
      <c r="V124" s="2">
        <f t="shared" si="13"/>
        <v>15</v>
      </c>
      <c r="W124" s="2">
        <v>4</v>
      </c>
      <c r="X124" s="2">
        <v>2</v>
      </c>
      <c r="Y124" s="2">
        <v>0</v>
      </c>
      <c r="Z124" s="2">
        <f t="shared" si="14"/>
        <v>6</v>
      </c>
      <c r="AA124" s="2">
        <f t="shared" si="8"/>
        <v>21</v>
      </c>
      <c r="AB124" s="2">
        <v>2176</v>
      </c>
      <c r="AC124" s="20">
        <f t="shared" si="9"/>
        <v>0.965073529411765</v>
      </c>
      <c r="AD124" s="2" t="s">
        <v>58</v>
      </c>
      <c r="AE124" s="2">
        <v>188</v>
      </c>
      <c r="AF124" s="21">
        <f t="shared" si="10"/>
        <v>0.965073529411765</v>
      </c>
      <c r="AG124" s="4">
        <f t="shared" si="11"/>
        <v>0.689338235294118</v>
      </c>
      <c r="AH124" s="4">
        <f t="shared" si="12"/>
        <v>0.275735294117647</v>
      </c>
    </row>
    <row r="125" spans="1:34">
      <c r="A125" s="2">
        <v>20260108</v>
      </c>
      <c r="B125" s="2" t="s">
        <v>294</v>
      </c>
      <c r="C125" s="2" t="s">
        <v>295</v>
      </c>
      <c r="D125" s="2">
        <v>1</v>
      </c>
      <c r="E125" s="2">
        <v>5</v>
      </c>
      <c r="F125" s="2">
        <v>1</v>
      </c>
      <c r="G125" s="2">
        <v>6</v>
      </c>
      <c r="H125" s="2">
        <v>35</v>
      </c>
      <c r="I125" s="3">
        <v>16</v>
      </c>
      <c r="J125" s="2">
        <v>6</v>
      </c>
      <c r="K125" s="2">
        <v>5</v>
      </c>
      <c r="L125" s="2">
        <v>1</v>
      </c>
      <c r="M125" s="2">
        <v>5</v>
      </c>
      <c r="N125" s="2">
        <v>3</v>
      </c>
      <c r="O125" s="2">
        <v>18</v>
      </c>
      <c r="P125" s="3">
        <v>6</v>
      </c>
      <c r="Q125" s="2">
        <v>10</v>
      </c>
      <c r="R125" s="2">
        <v>92</v>
      </c>
      <c r="S125" s="2">
        <v>2</v>
      </c>
      <c r="T125" s="2">
        <v>1</v>
      </c>
      <c r="U125" s="2">
        <v>0</v>
      </c>
      <c r="V125" s="2">
        <f t="shared" si="13"/>
        <v>71</v>
      </c>
      <c r="W125" s="2">
        <v>4</v>
      </c>
      <c r="X125" s="2">
        <v>6</v>
      </c>
      <c r="Y125" s="2">
        <v>0</v>
      </c>
      <c r="Z125" s="2">
        <f t="shared" si="14"/>
        <v>10</v>
      </c>
      <c r="AA125" s="2">
        <f t="shared" si="8"/>
        <v>81</v>
      </c>
      <c r="AB125" s="2">
        <v>2376</v>
      </c>
      <c r="AC125" s="20">
        <f t="shared" si="9"/>
        <v>3.40909090909091</v>
      </c>
      <c r="AD125" s="2" t="s">
        <v>58</v>
      </c>
      <c r="AE125" s="2">
        <v>188</v>
      </c>
      <c r="AF125" s="21">
        <f t="shared" si="10"/>
        <v>3.40909090909091</v>
      </c>
      <c r="AG125" s="4">
        <f t="shared" si="11"/>
        <v>2.98821548821549</v>
      </c>
      <c r="AH125" s="4">
        <f t="shared" si="12"/>
        <v>0.420875420875421</v>
      </c>
    </row>
    <row r="126" spans="1:34">
      <c r="A126" s="2">
        <v>20260108</v>
      </c>
      <c r="B126" s="2" t="s">
        <v>296</v>
      </c>
      <c r="C126" s="2" t="s">
        <v>297</v>
      </c>
      <c r="D126" s="2">
        <v>9</v>
      </c>
      <c r="E126" s="2">
        <v>8</v>
      </c>
      <c r="F126" s="2">
        <v>31</v>
      </c>
      <c r="G126" s="2">
        <v>10</v>
      </c>
      <c r="H126" s="2">
        <v>14</v>
      </c>
      <c r="I126" s="3">
        <v>11</v>
      </c>
      <c r="J126" s="2">
        <v>5</v>
      </c>
      <c r="K126" s="2">
        <v>21</v>
      </c>
      <c r="L126" s="2">
        <v>0</v>
      </c>
      <c r="M126" s="2">
        <v>4</v>
      </c>
      <c r="N126" s="2">
        <v>9</v>
      </c>
      <c r="O126" s="2">
        <v>52</v>
      </c>
      <c r="P126" s="3">
        <v>22</v>
      </c>
      <c r="Q126" s="2">
        <v>13</v>
      </c>
      <c r="R126" s="2">
        <v>54</v>
      </c>
      <c r="S126" s="2">
        <v>3</v>
      </c>
      <c r="T126" s="2">
        <v>19</v>
      </c>
      <c r="U126" s="2">
        <v>4</v>
      </c>
      <c r="V126" s="2">
        <f t="shared" si="13"/>
        <v>100</v>
      </c>
      <c r="W126" s="2">
        <v>1</v>
      </c>
      <c r="X126" s="2">
        <v>5</v>
      </c>
      <c r="Y126" s="2">
        <v>0</v>
      </c>
      <c r="Z126" s="2">
        <f t="shared" si="14"/>
        <v>10</v>
      </c>
      <c r="AA126" s="2">
        <f t="shared" si="8"/>
        <v>110</v>
      </c>
      <c r="AB126" s="2">
        <v>2256</v>
      </c>
      <c r="AC126" s="20">
        <f t="shared" si="9"/>
        <v>4.8758865248227</v>
      </c>
      <c r="AD126" s="2" t="s">
        <v>58</v>
      </c>
      <c r="AE126" s="2">
        <v>188</v>
      </c>
      <c r="AF126" s="21">
        <f t="shared" si="10"/>
        <v>4.8758865248227</v>
      </c>
      <c r="AG126" s="4">
        <f t="shared" si="11"/>
        <v>4.43262411347518</v>
      </c>
      <c r="AH126" s="4">
        <f t="shared" si="12"/>
        <v>0.443262411347518</v>
      </c>
    </row>
    <row r="127" spans="1:34">
      <c r="A127" s="2">
        <v>20260108</v>
      </c>
      <c r="B127" s="2" t="s">
        <v>298</v>
      </c>
      <c r="C127" s="2" t="s">
        <v>299</v>
      </c>
      <c r="D127" s="2">
        <v>7</v>
      </c>
      <c r="E127" s="2">
        <v>3</v>
      </c>
      <c r="F127" s="2">
        <v>11</v>
      </c>
      <c r="G127" s="2">
        <v>1</v>
      </c>
      <c r="H127" s="2">
        <v>1</v>
      </c>
      <c r="I127" s="3">
        <v>10</v>
      </c>
      <c r="J127" s="2">
        <v>8</v>
      </c>
      <c r="K127" s="2">
        <v>0</v>
      </c>
      <c r="L127" s="2">
        <v>0</v>
      </c>
      <c r="M127" s="2">
        <v>0</v>
      </c>
      <c r="N127" s="2">
        <v>39</v>
      </c>
      <c r="O127" s="2">
        <v>31</v>
      </c>
      <c r="P127" s="3">
        <v>2</v>
      </c>
      <c r="Q127" s="2">
        <v>21</v>
      </c>
      <c r="R127" s="2">
        <v>7</v>
      </c>
      <c r="S127" s="2">
        <v>1</v>
      </c>
      <c r="T127" s="2">
        <v>0</v>
      </c>
      <c r="U127" s="2">
        <v>0</v>
      </c>
      <c r="V127" s="2">
        <f t="shared" si="13"/>
        <v>17</v>
      </c>
      <c r="W127" s="2">
        <v>0</v>
      </c>
      <c r="X127" s="2">
        <v>5</v>
      </c>
      <c r="Y127" s="2">
        <v>0</v>
      </c>
      <c r="Z127" s="2">
        <f t="shared" si="14"/>
        <v>5</v>
      </c>
      <c r="AA127" s="2">
        <f t="shared" si="8"/>
        <v>22</v>
      </c>
      <c r="AB127" s="2">
        <v>2176</v>
      </c>
      <c r="AC127" s="20">
        <f t="shared" si="9"/>
        <v>1.01102941176471</v>
      </c>
      <c r="AD127" s="2" t="s">
        <v>58</v>
      </c>
      <c r="AE127" s="2">
        <v>188</v>
      </c>
      <c r="AF127" s="21">
        <f t="shared" si="10"/>
        <v>1.01102941176471</v>
      </c>
      <c r="AG127" s="4">
        <f t="shared" si="11"/>
        <v>0.78125</v>
      </c>
      <c r="AH127" s="4">
        <f t="shared" si="12"/>
        <v>0.229779411764706</v>
      </c>
    </row>
    <row r="128" spans="1:34">
      <c r="A128" s="2">
        <v>20260108</v>
      </c>
      <c r="B128" s="2" t="s">
        <v>300</v>
      </c>
      <c r="C128" s="2" t="s">
        <v>301</v>
      </c>
      <c r="D128" s="2">
        <v>0</v>
      </c>
      <c r="E128" s="2">
        <v>5</v>
      </c>
      <c r="F128" s="2">
        <v>6</v>
      </c>
      <c r="G128" s="2">
        <v>0</v>
      </c>
      <c r="H128" s="2">
        <v>0</v>
      </c>
      <c r="I128" s="3">
        <v>12</v>
      </c>
      <c r="J128" s="2">
        <v>2</v>
      </c>
      <c r="K128" s="2">
        <v>0</v>
      </c>
      <c r="L128" s="2">
        <v>0</v>
      </c>
      <c r="M128" s="2">
        <v>1</v>
      </c>
      <c r="N128" s="2">
        <v>8</v>
      </c>
      <c r="O128" s="2">
        <v>12</v>
      </c>
      <c r="P128" s="3">
        <v>2</v>
      </c>
      <c r="Q128" s="2">
        <v>6</v>
      </c>
      <c r="R128" s="2">
        <v>2</v>
      </c>
      <c r="S128" s="2">
        <v>0</v>
      </c>
      <c r="T128" s="2">
        <v>2</v>
      </c>
      <c r="U128" s="2">
        <v>1</v>
      </c>
      <c r="V128" s="2">
        <f t="shared" si="13"/>
        <v>13</v>
      </c>
      <c r="W128" s="2">
        <v>0</v>
      </c>
      <c r="X128" s="2">
        <v>6</v>
      </c>
      <c r="Y128" s="2">
        <v>0</v>
      </c>
      <c r="Z128" s="2">
        <f t="shared" si="14"/>
        <v>7</v>
      </c>
      <c r="AA128" s="2">
        <f t="shared" si="8"/>
        <v>20</v>
      </c>
      <c r="AB128" s="2">
        <v>2176</v>
      </c>
      <c r="AC128" s="20">
        <f t="shared" si="9"/>
        <v>0.919117647058824</v>
      </c>
      <c r="AD128" s="2" t="s">
        <v>58</v>
      </c>
      <c r="AE128" s="2">
        <v>188</v>
      </c>
      <c r="AF128" s="21">
        <f t="shared" si="10"/>
        <v>0.919117647058824</v>
      </c>
      <c r="AG128" s="4">
        <f t="shared" si="11"/>
        <v>0.597426470588235</v>
      </c>
      <c r="AH128" s="4">
        <f t="shared" si="12"/>
        <v>0.321691176470588</v>
      </c>
    </row>
    <row r="129" spans="1:34">
      <c r="A129" s="2">
        <v>20260108</v>
      </c>
      <c r="B129" s="2" t="s">
        <v>302</v>
      </c>
      <c r="C129" s="2" t="s">
        <v>303</v>
      </c>
      <c r="D129" s="2">
        <v>1</v>
      </c>
      <c r="E129" s="2">
        <v>3</v>
      </c>
      <c r="F129" s="2">
        <v>5</v>
      </c>
      <c r="G129" s="2">
        <v>1</v>
      </c>
      <c r="H129" s="2">
        <v>1</v>
      </c>
      <c r="I129" s="3">
        <v>3</v>
      </c>
      <c r="J129" s="2">
        <v>3</v>
      </c>
      <c r="K129" s="2">
        <v>3</v>
      </c>
      <c r="L129" s="2">
        <v>0</v>
      </c>
      <c r="M129" s="2">
        <v>3</v>
      </c>
      <c r="N129" s="2">
        <v>21</v>
      </c>
      <c r="O129" s="2">
        <v>8</v>
      </c>
      <c r="P129" s="3">
        <v>4</v>
      </c>
      <c r="Q129" s="2">
        <v>8</v>
      </c>
      <c r="R129" s="2">
        <v>38</v>
      </c>
      <c r="S129" s="2">
        <v>1</v>
      </c>
      <c r="T129" s="2">
        <v>2</v>
      </c>
      <c r="U129" s="2">
        <v>0</v>
      </c>
      <c r="V129" s="2">
        <f t="shared" si="13"/>
        <v>17</v>
      </c>
      <c r="W129" s="2">
        <v>0</v>
      </c>
      <c r="X129" s="2">
        <v>3</v>
      </c>
      <c r="Y129" s="2">
        <v>0</v>
      </c>
      <c r="Z129" s="2">
        <f t="shared" si="14"/>
        <v>3</v>
      </c>
      <c r="AA129" s="2">
        <f t="shared" si="8"/>
        <v>20</v>
      </c>
      <c r="AB129" s="2">
        <v>2127</v>
      </c>
      <c r="AC129" s="20">
        <f t="shared" si="9"/>
        <v>0.940291490362012</v>
      </c>
      <c r="AD129" s="22" t="s">
        <v>83</v>
      </c>
      <c r="AE129" s="2">
        <v>125</v>
      </c>
      <c r="AF129" s="21">
        <f t="shared" si="10"/>
        <v>1.41419840150447</v>
      </c>
      <c r="AG129" s="4">
        <f t="shared" si="11"/>
        <v>0.79924776680771</v>
      </c>
      <c r="AH129" s="4">
        <f t="shared" si="12"/>
        <v>0.141043723554302</v>
      </c>
    </row>
    <row r="130" spans="1:34">
      <c r="A130" s="2">
        <v>20260108</v>
      </c>
      <c r="B130" s="2" t="s">
        <v>304</v>
      </c>
      <c r="C130" s="2" t="s">
        <v>305</v>
      </c>
      <c r="D130" s="2">
        <v>6</v>
      </c>
      <c r="E130" s="2">
        <v>3</v>
      </c>
      <c r="F130" s="2">
        <v>9</v>
      </c>
      <c r="G130" s="2">
        <v>3</v>
      </c>
      <c r="H130" s="2">
        <v>3</v>
      </c>
      <c r="I130" s="3">
        <v>14</v>
      </c>
      <c r="J130" s="2">
        <v>8</v>
      </c>
      <c r="K130" s="2">
        <v>4</v>
      </c>
      <c r="L130" s="2">
        <v>1</v>
      </c>
      <c r="M130" s="2">
        <v>1</v>
      </c>
      <c r="N130" s="2">
        <v>24</v>
      </c>
      <c r="O130" s="2">
        <v>13</v>
      </c>
      <c r="P130" s="3">
        <v>4</v>
      </c>
      <c r="Q130" s="2">
        <v>29</v>
      </c>
      <c r="R130" s="2">
        <v>51</v>
      </c>
      <c r="S130" s="2">
        <v>3</v>
      </c>
      <c r="T130" s="2">
        <v>4</v>
      </c>
      <c r="U130" s="2">
        <v>0</v>
      </c>
      <c r="V130" s="2">
        <f t="shared" si="13"/>
        <v>36</v>
      </c>
      <c r="W130" s="2">
        <v>1</v>
      </c>
      <c r="X130" s="2">
        <v>5</v>
      </c>
      <c r="Y130" s="2">
        <v>0</v>
      </c>
      <c r="Z130" s="2">
        <f t="shared" si="14"/>
        <v>6</v>
      </c>
      <c r="AA130" s="2">
        <f t="shared" ref="AA130:AA193" si="15">G130+H130+I130+J130+K130+L130+M130+P130+T130+U130</f>
        <v>42</v>
      </c>
      <c r="AB130" s="2">
        <v>4543</v>
      </c>
      <c r="AC130" s="20">
        <f t="shared" ref="AC130:AC193" si="16">AA130/AB130*100</f>
        <v>0.924499229583975</v>
      </c>
      <c r="AD130" s="22" t="s">
        <v>83</v>
      </c>
      <c r="AE130" s="2">
        <v>125</v>
      </c>
      <c r="AF130" s="21">
        <f t="shared" ref="AF130:AF193" si="17">188/AE130*AC130</f>
        <v>1.3904468412943</v>
      </c>
      <c r="AG130" s="4">
        <f t="shared" ref="AG130:AG193" si="18">V130/AB130*100</f>
        <v>0.792427911071979</v>
      </c>
      <c r="AH130" s="4">
        <f t="shared" ref="AH130:AH193" si="19">Z130/AB130*100</f>
        <v>0.132071318511996</v>
      </c>
    </row>
    <row r="131" spans="1:34">
      <c r="A131" s="2">
        <v>20260108</v>
      </c>
      <c r="B131" s="2" t="s">
        <v>306</v>
      </c>
      <c r="C131" s="2" t="s">
        <v>307</v>
      </c>
      <c r="D131" s="2">
        <v>10</v>
      </c>
      <c r="E131" s="2">
        <v>4</v>
      </c>
      <c r="F131" s="2">
        <v>10</v>
      </c>
      <c r="G131" s="2">
        <v>9</v>
      </c>
      <c r="H131" s="2">
        <v>13</v>
      </c>
      <c r="I131" s="3">
        <v>7</v>
      </c>
      <c r="J131" s="2">
        <v>9</v>
      </c>
      <c r="K131" s="2">
        <v>18</v>
      </c>
      <c r="L131" s="2">
        <v>0</v>
      </c>
      <c r="M131" s="2">
        <v>3</v>
      </c>
      <c r="N131" s="2">
        <v>23</v>
      </c>
      <c r="O131" s="2">
        <v>42</v>
      </c>
      <c r="P131" s="3">
        <v>14</v>
      </c>
      <c r="Q131" s="2">
        <v>13</v>
      </c>
      <c r="R131" s="2">
        <v>100</v>
      </c>
      <c r="S131" s="2">
        <v>0</v>
      </c>
      <c r="T131" s="2">
        <v>8</v>
      </c>
      <c r="U131" s="2">
        <v>0</v>
      </c>
      <c r="V131" s="2">
        <f t="shared" si="13"/>
        <v>77</v>
      </c>
      <c r="W131" s="2">
        <v>0</v>
      </c>
      <c r="X131" s="2">
        <v>4</v>
      </c>
      <c r="Y131" s="2">
        <v>0</v>
      </c>
      <c r="Z131" s="2">
        <f t="shared" si="14"/>
        <v>4</v>
      </c>
      <c r="AA131" s="2">
        <f t="shared" si="15"/>
        <v>81</v>
      </c>
      <c r="AB131" s="2">
        <v>4282</v>
      </c>
      <c r="AC131" s="20">
        <f t="shared" si="16"/>
        <v>1.89163942083139</v>
      </c>
      <c r="AD131" s="22" t="s">
        <v>83</v>
      </c>
      <c r="AE131" s="2">
        <v>125</v>
      </c>
      <c r="AF131" s="21">
        <f t="shared" si="17"/>
        <v>2.84502568893041</v>
      </c>
      <c r="AG131" s="4">
        <f t="shared" si="18"/>
        <v>1.79822512844465</v>
      </c>
      <c r="AH131" s="4">
        <f t="shared" si="19"/>
        <v>0.0934142923867352</v>
      </c>
    </row>
    <row r="132" spans="1:34">
      <c r="A132" s="2">
        <v>20260108</v>
      </c>
      <c r="B132" s="2" t="s">
        <v>308</v>
      </c>
      <c r="C132" s="2" t="s">
        <v>309</v>
      </c>
      <c r="D132" s="2">
        <v>3</v>
      </c>
      <c r="E132" s="2">
        <v>5</v>
      </c>
      <c r="F132" s="2">
        <v>9</v>
      </c>
      <c r="G132" s="2">
        <v>9</v>
      </c>
      <c r="H132" s="2">
        <v>5</v>
      </c>
      <c r="I132" s="3">
        <v>11</v>
      </c>
      <c r="J132" s="2">
        <v>8</v>
      </c>
      <c r="K132" s="2">
        <v>3</v>
      </c>
      <c r="L132" s="2">
        <v>0</v>
      </c>
      <c r="M132" s="2">
        <v>3</v>
      </c>
      <c r="N132" s="2">
        <v>20</v>
      </c>
      <c r="O132" s="2">
        <v>10</v>
      </c>
      <c r="P132" s="3">
        <v>5</v>
      </c>
      <c r="Q132" s="2">
        <v>15</v>
      </c>
      <c r="R132" s="2">
        <v>104</v>
      </c>
      <c r="S132" s="2">
        <v>1</v>
      </c>
      <c r="T132" s="2">
        <v>1</v>
      </c>
      <c r="U132" s="2">
        <v>0</v>
      </c>
      <c r="V132" s="2">
        <f t="shared" si="13"/>
        <v>35</v>
      </c>
      <c r="W132" s="2">
        <v>4</v>
      </c>
      <c r="X132" s="2">
        <v>6</v>
      </c>
      <c r="Y132" s="2">
        <v>0</v>
      </c>
      <c r="Z132" s="2">
        <f t="shared" si="14"/>
        <v>10</v>
      </c>
      <c r="AA132" s="2">
        <f t="shared" si="15"/>
        <v>45</v>
      </c>
      <c r="AB132" s="2">
        <v>4762</v>
      </c>
      <c r="AC132" s="20">
        <f t="shared" si="16"/>
        <v>0.944981100377993</v>
      </c>
      <c r="AD132" s="22" t="s">
        <v>83</v>
      </c>
      <c r="AE132" s="2">
        <v>125</v>
      </c>
      <c r="AF132" s="21">
        <f t="shared" si="17"/>
        <v>1.4212515749685</v>
      </c>
      <c r="AG132" s="4">
        <f t="shared" si="18"/>
        <v>0.734985300293994</v>
      </c>
      <c r="AH132" s="4">
        <f t="shared" si="19"/>
        <v>0.209995800083998</v>
      </c>
    </row>
    <row r="133" spans="1:34">
      <c r="A133" s="2">
        <v>20260108</v>
      </c>
      <c r="B133" s="2" t="s">
        <v>310</v>
      </c>
      <c r="C133" s="2" t="s">
        <v>311</v>
      </c>
      <c r="D133" s="2">
        <v>4</v>
      </c>
      <c r="E133" s="2">
        <v>11</v>
      </c>
      <c r="F133" s="2">
        <v>11</v>
      </c>
      <c r="G133" s="2">
        <v>4</v>
      </c>
      <c r="H133" s="2">
        <v>6</v>
      </c>
      <c r="I133" s="3">
        <v>22</v>
      </c>
      <c r="J133" s="2">
        <v>6</v>
      </c>
      <c r="K133" s="2">
        <v>2</v>
      </c>
      <c r="L133" s="2">
        <v>0</v>
      </c>
      <c r="M133" s="2">
        <v>3</v>
      </c>
      <c r="N133" s="2">
        <v>25</v>
      </c>
      <c r="O133" s="2">
        <v>15</v>
      </c>
      <c r="P133" s="3">
        <v>8</v>
      </c>
      <c r="Q133" s="2">
        <v>27</v>
      </c>
      <c r="R133" s="2">
        <v>252</v>
      </c>
      <c r="S133" s="2">
        <v>3</v>
      </c>
      <c r="T133" s="2">
        <v>3</v>
      </c>
      <c r="U133" s="2">
        <v>0</v>
      </c>
      <c r="V133" s="2">
        <f t="shared" si="13"/>
        <v>43</v>
      </c>
      <c r="W133" s="2">
        <v>0</v>
      </c>
      <c r="X133" s="2">
        <v>11</v>
      </c>
      <c r="Y133" s="2">
        <v>0</v>
      </c>
      <c r="Z133" s="2">
        <f t="shared" si="14"/>
        <v>11</v>
      </c>
      <c r="AA133" s="2">
        <f t="shared" si="15"/>
        <v>54</v>
      </c>
      <c r="AB133" s="2">
        <v>5745</v>
      </c>
      <c r="AC133" s="20">
        <f t="shared" si="16"/>
        <v>0.939947780678851</v>
      </c>
      <c r="AD133" s="22" t="s">
        <v>83</v>
      </c>
      <c r="AE133" s="2">
        <v>125</v>
      </c>
      <c r="AF133" s="21">
        <f t="shared" si="17"/>
        <v>1.41368146214099</v>
      </c>
      <c r="AG133" s="4">
        <f t="shared" si="18"/>
        <v>0.748476936466493</v>
      </c>
      <c r="AH133" s="4">
        <f t="shared" si="19"/>
        <v>0.191470844212359</v>
      </c>
    </row>
    <row r="134" spans="1:34">
      <c r="A134" s="2">
        <v>20260108</v>
      </c>
      <c r="B134" s="2" t="s">
        <v>312</v>
      </c>
      <c r="C134" s="2" t="s">
        <v>313</v>
      </c>
      <c r="D134" s="2">
        <v>27</v>
      </c>
      <c r="E134" s="2">
        <v>3148</v>
      </c>
      <c r="F134" s="2">
        <v>497</v>
      </c>
      <c r="G134" s="2">
        <v>3450</v>
      </c>
      <c r="H134" s="2">
        <v>584</v>
      </c>
      <c r="I134" s="3">
        <v>20</v>
      </c>
      <c r="J134" s="2">
        <v>5034</v>
      </c>
      <c r="K134" s="2">
        <v>74</v>
      </c>
      <c r="L134" s="2">
        <v>10</v>
      </c>
      <c r="M134" s="2">
        <v>99</v>
      </c>
      <c r="N134" s="2">
        <v>99</v>
      </c>
      <c r="O134" s="2">
        <v>272</v>
      </c>
      <c r="P134" s="3">
        <v>225</v>
      </c>
      <c r="Q134" s="2">
        <v>713</v>
      </c>
      <c r="R134" s="2">
        <v>7368</v>
      </c>
      <c r="S134" s="2">
        <v>10</v>
      </c>
      <c r="T134" s="2">
        <v>164</v>
      </c>
      <c r="U134" s="2">
        <v>0</v>
      </c>
      <c r="V134" s="2">
        <f t="shared" si="13"/>
        <v>9654</v>
      </c>
      <c r="W134" s="2">
        <v>1</v>
      </c>
      <c r="X134" s="2">
        <v>5</v>
      </c>
      <c r="Y134" s="2">
        <v>0</v>
      </c>
      <c r="Z134" s="2">
        <f t="shared" si="14"/>
        <v>6</v>
      </c>
      <c r="AA134" s="2">
        <f t="shared" si="15"/>
        <v>9660</v>
      </c>
      <c r="AB134" s="2">
        <v>3334</v>
      </c>
      <c r="AC134" s="20">
        <f t="shared" si="16"/>
        <v>289.742051589682</v>
      </c>
      <c r="AD134" s="22" t="s">
        <v>83</v>
      </c>
      <c r="AE134" s="2">
        <v>125</v>
      </c>
      <c r="AF134" s="21">
        <f t="shared" si="17"/>
        <v>435.772045590882</v>
      </c>
      <c r="AG134" s="4">
        <f t="shared" si="18"/>
        <v>289.562087582484</v>
      </c>
      <c r="AH134" s="4">
        <f t="shared" si="19"/>
        <v>0.17996400719856</v>
      </c>
    </row>
    <row r="135" spans="1:34">
      <c r="A135" s="2">
        <v>20260108</v>
      </c>
      <c r="B135" s="2" t="s">
        <v>314</v>
      </c>
      <c r="C135" s="2" t="s">
        <v>315</v>
      </c>
      <c r="D135" s="2">
        <v>13</v>
      </c>
      <c r="E135" s="2">
        <v>49</v>
      </c>
      <c r="F135" s="2">
        <v>18</v>
      </c>
      <c r="G135" s="2">
        <v>2</v>
      </c>
      <c r="H135" s="2">
        <v>12</v>
      </c>
      <c r="I135" s="3">
        <v>19</v>
      </c>
      <c r="J135" s="2">
        <v>14</v>
      </c>
      <c r="K135" s="2">
        <v>5</v>
      </c>
      <c r="L135" s="2">
        <v>0</v>
      </c>
      <c r="M135" s="2">
        <v>2</v>
      </c>
      <c r="N135" s="2">
        <v>54</v>
      </c>
      <c r="O135" s="2">
        <v>54</v>
      </c>
      <c r="P135" s="3">
        <v>11</v>
      </c>
      <c r="Q135" s="2">
        <v>38</v>
      </c>
      <c r="R135" s="2">
        <v>261</v>
      </c>
      <c r="S135" s="2">
        <v>1</v>
      </c>
      <c r="T135" s="2">
        <v>3</v>
      </c>
      <c r="U135" s="2">
        <v>0</v>
      </c>
      <c r="V135" s="2">
        <f t="shared" si="13"/>
        <v>64</v>
      </c>
      <c r="W135" s="2">
        <v>1</v>
      </c>
      <c r="X135" s="2">
        <v>3</v>
      </c>
      <c r="Y135" s="2">
        <v>0</v>
      </c>
      <c r="Z135" s="2">
        <f t="shared" si="14"/>
        <v>4</v>
      </c>
      <c r="AA135" s="2">
        <f t="shared" si="15"/>
        <v>68</v>
      </c>
      <c r="AB135" s="2">
        <v>3104</v>
      </c>
      <c r="AC135" s="20">
        <f t="shared" si="16"/>
        <v>2.19072164948454</v>
      </c>
      <c r="AD135" s="22" t="s">
        <v>83</v>
      </c>
      <c r="AE135" s="2">
        <v>125</v>
      </c>
      <c r="AF135" s="21">
        <f t="shared" si="17"/>
        <v>3.29484536082474</v>
      </c>
      <c r="AG135" s="4">
        <f t="shared" si="18"/>
        <v>2.06185567010309</v>
      </c>
      <c r="AH135" s="4">
        <f t="shared" si="19"/>
        <v>0.128865979381443</v>
      </c>
    </row>
    <row r="136" spans="1:34">
      <c r="A136" s="2">
        <v>20260109</v>
      </c>
      <c r="B136" s="2" t="s">
        <v>316</v>
      </c>
      <c r="C136" s="2" t="s">
        <v>317</v>
      </c>
      <c r="D136" s="2">
        <v>1</v>
      </c>
      <c r="E136" s="2">
        <v>20</v>
      </c>
      <c r="F136" s="2">
        <v>5</v>
      </c>
      <c r="G136" s="2">
        <v>3</v>
      </c>
      <c r="H136" s="2">
        <v>1</v>
      </c>
      <c r="I136" s="3">
        <v>9</v>
      </c>
      <c r="J136" s="2">
        <v>5</v>
      </c>
      <c r="K136" s="2">
        <v>1</v>
      </c>
      <c r="L136" s="2">
        <v>0</v>
      </c>
      <c r="M136" s="2">
        <v>1</v>
      </c>
      <c r="N136" s="2">
        <v>13</v>
      </c>
      <c r="O136" s="2">
        <v>4</v>
      </c>
      <c r="P136" s="3">
        <v>5</v>
      </c>
      <c r="Q136" s="2">
        <v>10</v>
      </c>
      <c r="R136" s="2">
        <v>226</v>
      </c>
      <c r="S136" s="2">
        <v>1</v>
      </c>
      <c r="T136" s="2">
        <v>0</v>
      </c>
      <c r="U136" s="2">
        <v>0</v>
      </c>
      <c r="V136" s="2">
        <f t="shared" si="13"/>
        <v>21</v>
      </c>
      <c r="W136" s="2">
        <v>0</v>
      </c>
      <c r="X136" s="2">
        <v>4</v>
      </c>
      <c r="Y136" s="2">
        <v>0</v>
      </c>
      <c r="Z136" s="2">
        <f t="shared" si="14"/>
        <v>4</v>
      </c>
      <c r="AA136" s="2">
        <f t="shared" si="15"/>
        <v>25</v>
      </c>
      <c r="AB136" s="2">
        <v>2865</v>
      </c>
      <c r="AC136" s="20">
        <f t="shared" si="16"/>
        <v>0.87260034904014</v>
      </c>
      <c r="AD136" s="22" t="s">
        <v>83</v>
      </c>
      <c r="AE136" s="2">
        <v>125</v>
      </c>
      <c r="AF136" s="21">
        <f t="shared" si="17"/>
        <v>1.31239092495637</v>
      </c>
      <c r="AG136" s="4">
        <f t="shared" si="18"/>
        <v>0.732984293193717</v>
      </c>
      <c r="AH136" s="4">
        <f t="shared" si="19"/>
        <v>0.139616055846422</v>
      </c>
    </row>
    <row r="137" spans="1:34">
      <c r="A137" s="2">
        <v>20260109</v>
      </c>
      <c r="B137" s="2" t="s">
        <v>318</v>
      </c>
      <c r="C137" s="2" t="s">
        <v>319</v>
      </c>
      <c r="D137" s="2">
        <v>4</v>
      </c>
      <c r="E137" s="2">
        <v>7</v>
      </c>
      <c r="F137" s="2">
        <v>8</v>
      </c>
      <c r="G137" s="2">
        <v>1</v>
      </c>
      <c r="H137" s="2">
        <v>12</v>
      </c>
      <c r="I137" s="3">
        <v>10</v>
      </c>
      <c r="J137" s="2">
        <v>11</v>
      </c>
      <c r="K137" s="2">
        <v>3</v>
      </c>
      <c r="L137" s="2">
        <v>1</v>
      </c>
      <c r="M137" s="2">
        <v>12</v>
      </c>
      <c r="N137" s="2">
        <v>46</v>
      </c>
      <c r="O137" s="2">
        <v>15</v>
      </c>
      <c r="P137" s="3">
        <v>3</v>
      </c>
      <c r="Q137" s="2">
        <v>11</v>
      </c>
      <c r="R137" s="2">
        <v>28</v>
      </c>
      <c r="S137" s="2">
        <v>1</v>
      </c>
      <c r="T137" s="2">
        <v>2</v>
      </c>
      <c r="U137" s="2">
        <v>4</v>
      </c>
      <c r="V137" s="2">
        <f t="shared" si="13"/>
        <v>47</v>
      </c>
      <c r="W137" s="2">
        <v>5</v>
      </c>
      <c r="X137" s="2">
        <v>3</v>
      </c>
      <c r="Y137" s="2">
        <v>0</v>
      </c>
      <c r="Z137" s="2">
        <f t="shared" si="14"/>
        <v>12</v>
      </c>
      <c r="AA137" s="2">
        <f t="shared" si="15"/>
        <v>59</v>
      </c>
      <c r="AB137" s="2">
        <v>3218</v>
      </c>
      <c r="AC137" s="20">
        <f t="shared" si="16"/>
        <v>1.83343691733996</v>
      </c>
      <c r="AD137" s="22" t="s">
        <v>83</v>
      </c>
      <c r="AE137" s="2">
        <v>100</v>
      </c>
      <c r="AF137" s="21">
        <f t="shared" si="17"/>
        <v>3.44686140459913</v>
      </c>
      <c r="AG137" s="4">
        <f t="shared" si="18"/>
        <v>1.46053449347421</v>
      </c>
      <c r="AH137" s="4">
        <f t="shared" si="19"/>
        <v>0.372902423865755</v>
      </c>
    </row>
    <row r="138" spans="1:34">
      <c r="A138" s="2">
        <v>20260109</v>
      </c>
      <c r="B138" s="2" t="s">
        <v>320</v>
      </c>
      <c r="C138" s="2" t="s">
        <v>321</v>
      </c>
      <c r="D138" s="2">
        <v>2</v>
      </c>
      <c r="E138" s="2">
        <v>6</v>
      </c>
      <c r="F138" s="2">
        <v>0</v>
      </c>
      <c r="G138" s="2">
        <v>3</v>
      </c>
      <c r="H138" s="2">
        <v>14</v>
      </c>
      <c r="I138" s="3">
        <v>16</v>
      </c>
      <c r="J138" s="2">
        <v>9</v>
      </c>
      <c r="K138" s="2">
        <v>5</v>
      </c>
      <c r="L138" s="2">
        <v>1</v>
      </c>
      <c r="M138" s="2">
        <v>23</v>
      </c>
      <c r="N138" s="2">
        <v>52</v>
      </c>
      <c r="O138" s="2">
        <v>25</v>
      </c>
      <c r="P138" s="3">
        <v>5</v>
      </c>
      <c r="Q138" s="2">
        <v>284</v>
      </c>
      <c r="R138" s="2">
        <v>0</v>
      </c>
      <c r="S138" s="2">
        <v>3</v>
      </c>
      <c r="T138" s="2">
        <v>0</v>
      </c>
      <c r="U138" s="2">
        <v>0</v>
      </c>
      <c r="V138" s="2">
        <f t="shared" si="13"/>
        <v>71</v>
      </c>
      <c r="W138" s="2">
        <v>1</v>
      </c>
      <c r="X138" s="2">
        <v>4</v>
      </c>
      <c r="Y138" s="2">
        <v>0</v>
      </c>
      <c r="Z138" s="2">
        <f t="shared" si="14"/>
        <v>5</v>
      </c>
      <c r="AA138" s="2">
        <f t="shared" si="15"/>
        <v>76</v>
      </c>
      <c r="AB138" s="2">
        <v>3576</v>
      </c>
      <c r="AC138" s="20">
        <f t="shared" si="16"/>
        <v>2.12527964205817</v>
      </c>
      <c r="AD138" s="22" t="s">
        <v>83</v>
      </c>
      <c r="AE138" s="2">
        <v>100</v>
      </c>
      <c r="AF138" s="21">
        <f t="shared" si="17"/>
        <v>3.99552572706935</v>
      </c>
      <c r="AG138" s="4">
        <f t="shared" si="18"/>
        <v>1.98545861297539</v>
      </c>
      <c r="AH138" s="4">
        <f t="shared" si="19"/>
        <v>0.139821029082774</v>
      </c>
    </row>
    <row r="139" spans="1:34">
      <c r="A139" s="2">
        <v>20260109</v>
      </c>
      <c r="B139" s="2" t="s">
        <v>322</v>
      </c>
      <c r="C139" s="2" t="s">
        <v>323</v>
      </c>
      <c r="D139" s="2">
        <v>7</v>
      </c>
      <c r="E139" s="2">
        <v>22</v>
      </c>
      <c r="F139" s="2">
        <v>31</v>
      </c>
      <c r="G139" s="2">
        <v>8</v>
      </c>
      <c r="H139" s="2">
        <v>16</v>
      </c>
      <c r="I139" s="3">
        <v>23</v>
      </c>
      <c r="J139" s="2">
        <v>12</v>
      </c>
      <c r="K139" s="2">
        <v>12</v>
      </c>
      <c r="L139" s="2">
        <v>1</v>
      </c>
      <c r="M139" s="2">
        <v>19</v>
      </c>
      <c r="N139" s="2">
        <v>63</v>
      </c>
      <c r="O139" s="2">
        <v>70</v>
      </c>
      <c r="P139" s="3">
        <v>6</v>
      </c>
      <c r="Q139" s="2">
        <v>20</v>
      </c>
      <c r="R139" s="2">
        <v>141</v>
      </c>
      <c r="S139" s="2">
        <v>2</v>
      </c>
      <c r="T139" s="2">
        <v>7</v>
      </c>
      <c r="U139" s="2">
        <v>2</v>
      </c>
      <c r="V139" s="2">
        <f t="shared" si="13"/>
        <v>95</v>
      </c>
      <c r="W139" s="2">
        <v>3</v>
      </c>
      <c r="X139" s="2">
        <v>6</v>
      </c>
      <c r="Y139" s="2">
        <v>0</v>
      </c>
      <c r="Z139" s="2">
        <f t="shared" si="14"/>
        <v>11</v>
      </c>
      <c r="AA139" s="2">
        <f t="shared" si="15"/>
        <v>106</v>
      </c>
      <c r="AB139" s="2">
        <v>3727</v>
      </c>
      <c r="AC139" s="20">
        <f t="shared" si="16"/>
        <v>2.844110544674</v>
      </c>
      <c r="AD139" s="22" t="s">
        <v>83</v>
      </c>
      <c r="AE139" s="2">
        <v>100</v>
      </c>
      <c r="AF139" s="21">
        <f t="shared" si="17"/>
        <v>5.34692782398712</v>
      </c>
      <c r="AG139" s="4">
        <f t="shared" si="18"/>
        <v>2.54896699758519</v>
      </c>
      <c r="AH139" s="4">
        <f t="shared" si="19"/>
        <v>0.295143547088811</v>
      </c>
    </row>
    <row r="140" spans="1:34">
      <c r="A140" s="2">
        <v>20260109</v>
      </c>
      <c r="B140" s="2" t="s">
        <v>324</v>
      </c>
      <c r="C140" s="2" t="s">
        <v>325</v>
      </c>
      <c r="D140" s="2">
        <v>1</v>
      </c>
      <c r="E140" s="2">
        <v>3</v>
      </c>
      <c r="F140" s="2">
        <v>8</v>
      </c>
      <c r="G140" s="2">
        <v>5</v>
      </c>
      <c r="H140" s="2">
        <v>19</v>
      </c>
      <c r="I140" s="3">
        <v>23</v>
      </c>
      <c r="J140" s="2">
        <v>9</v>
      </c>
      <c r="K140" s="2">
        <v>9</v>
      </c>
      <c r="L140" s="2">
        <v>0</v>
      </c>
      <c r="M140" s="2">
        <v>71</v>
      </c>
      <c r="N140" s="2">
        <v>117</v>
      </c>
      <c r="O140" s="2">
        <v>11</v>
      </c>
      <c r="P140" s="3">
        <v>10</v>
      </c>
      <c r="Q140" s="2">
        <v>17</v>
      </c>
      <c r="R140" s="2">
        <v>163</v>
      </c>
      <c r="S140" s="2">
        <v>2</v>
      </c>
      <c r="T140" s="2">
        <v>6</v>
      </c>
      <c r="U140" s="2">
        <v>1</v>
      </c>
      <c r="V140" s="2">
        <f t="shared" si="13"/>
        <v>144</v>
      </c>
      <c r="W140" s="2">
        <v>2</v>
      </c>
      <c r="X140" s="2">
        <v>6</v>
      </c>
      <c r="Y140" s="2">
        <v>0</v>
      </c>
      <c r="Z140" s="2">
        <f t="shared" si="14"/>
        <v>9</v>
      </c>
      <c r="AA140" s="2">
        <f t="shared" si="15"/>
        <v>153</v>
      </c>
      <c r="AB140" s="2">
        <v>6275</v>
      </c>
      <c r="AC140" s="20">
        <f t="shared" si="16"/>
        <v>2.43824701195219</v>
      </c>
      <c r="AD140" s="22" t="s">
        <v>83</v>
      </c>
      <c r="AE140" s="2">
        <v>100</v>
      </c>
      <c r="AF140" s="21">
        <f t="shared" si="17"/>
        <v>4.58390438247012</v>
      </c>
      <c r="AG140" s="4">
        <f t="shared" si="18"/>
        <v>2.29482071713147</v>
      </c>
      <c r="AH140" s="4">
        <f t="shared" si="19"/>
        <v>0.143426294820717</v>
      </c>
    </row>
    <row r="141" spans="1:34">
      <c r="A141" s="2">
        <v>20260109</v>
      </c>
      <c r="B141" s="2" t="s">
        <v>326</v>
      </c>
      <c r="C141" s="2" t="s">
        <v>327</v>
      </c>
      <c r="D141" s="2">
        <v>0</v>
      </c>
      <c r="E141" s="2">
        <v>2</v>
      </c>
      <c r="F141" s="2">
        <v>5</v>
      </c>
      <c r="G141" s="2">
        <v>2</v>
      </c>
      <c r="H141" s="2">
        <v>17</v>
      </c>
      <c r="I141" s="3">
        <v>11</v>
      </c>
      <c r="J141" s="2">
        <v>5</v>
      </c>
      <c r="K141" s="2">
        <v>6</v>
      </c>
      <c r="L141" s="2">
        <v>0</v>
      </c>
      <c r="M141" s="2">
        <v>33</v>
      </c>
      <c r="N141" s="2">
        <v>31</v>
      </c>
      <c r="O141" s="2">
        <v>2</v>
      </c>
      <c r="P141" s="3">
        <v>4</v>
      </c>
      <c r="Q141" s="2">
        <v>6</v>
      </c>
      <c r="R141" s="2">
        <v>64</v>
      </c>
      <c r="S141" s="2">
        <v>0</v>
      </c>
      <c r="T141" s="2">
        <v>7</v>
      </c>
      <c r="U141" s="2">
        <v>0</v>
      </c>
      <c r="V141" s="2">
        <f t="shared" si="13"/>
        <v>81</v>
      </c>
      <c r="W141" s="2">
        <v>0</v>
      </c>
      <c r="X141" s="2">
        <v>4</v>
      </c>
      <c r="Y141" s="2">
        <v>0</v>
      </c>
      <c r="Z141" s="2">
        <f t="shared" si="14"/>
        <v>4</v>
      </c>
      <c r="AA141" s="2">
        <f t="shared" si="15"/>
        <v>85</v>
      </c>
      <c r="AB141" s="2">
        <v>3318</v>
      </c>
      <c r="AC141" s="20">
        <f t="shared" si="16"/>
        <v>2.56178420735383</v>
      </c>
      <c r="AD141" s="22" t="s">
        <v>83</v>
      </c>
      <c r="AE141" s="2">
        <v>100</v>
      </c>
      <c r="AF141" s="21">
        <f t="shared" si="17"/>
        <v>4.81615430982519</v>
      </c>
      <c r="AG141" s="4">
        <f t="shared" si="18"/>
        <v>2.44122965641953</v>
      </c>
      <c r="AH141" s="4">
        <f t="shared" si="19"/>
        <v>0.120554550934298</v>
      </c>
    </row>
    <row r="142" spans="1:34">
      <c r="A142" s="2">
        <v>20260109</v>
      </c>
      <c r="B142" s="2" t="s">
        <v>328</v>
      </c>
      <c r="C142" s="2" t="s">
        <v>329</v>
      </c>
      <c r="D142" s="2">
        <v>22</v>
      </c>
      <c r="E142" s="2">
        <v>11</v>
      </c>
      <c r="F142" s="2">
        <v>26</v>
      </c>
      <c r="G142" s="2">
        <v>27</v>
      </c>
      <c r="H142" s="2">
        <v>78</v>
      </c>
      <c r="I142" s="3">
        <v>376</v>
      </c>
      <c r="J142" s="2">
        <v>176</v>
      </c>
      <c r="K142" s="2">
        <v>271</v>
      </c>
      <c r="L142" s="2">
        <v>10</v>
      </c>
      <c r="M142" s="2">
        <v>299</v>
      </c>
      <c r="N142" s="2">
        <v>149</v>
      </c>
      <c r="O142" s="3">
        <v>51</v>
      </c>
      <c r="P142" s="2">
        <v>82</v>
      </c>
      <c r="Q142" s="2">
        <v>37</v>
      </c>
      <c r="R142" s="2">
        <v>233</v>
      </c>
      <c r="S142" s="2">
        <v>7</v>
      </c>
      <c r="T142" s="2">
        <v>15</v>
      </c>
      <c r="U142" s="2">
        <v>17</v>
      </c>
      <c r="V142" s="2">
        <f t="shared" si="13"/>
        <v>1328</v>
      </c>
      <c r="W142" s="2">
        <v>3</v>
      </c>
      <c r="X142" s="2">
        <v>3</v>
      </c>
      <c r="Y142" s="2">
        <v>0</v>
      </c>
      <c r="Z142" s="2">
        <f t="shared" si="14"/>
        <v>23</v>
      </c>
      <c r="AA142" s="2">
        <f t="shared" si="15"/>
        <v>1351</v>
      </c>
      <c r="AB142" s="2">
        <v>7073</v>
      </c>
      <c r="AC142" s="20">
        <f t="shared" si="16"/>
        <v>19.1008058815213</v>
      </c>
      <c r="AD142" s="22" t="s">
        <v>83</v>
      </c>
      <c r="AE142" s="2">
        <v>100</v>
      </c>
      <c r="AF142" s="21">
        <f t="shared" si="17"/>
        <v>35.90951505726</v>
      </c>
      <c r="AG142" s="4">
        <f t="shared" si="18"/>
        <v>18.7756256185494</v>
      </c>
      <c r="AH142" s="4">
        <f t="shared" si="19"/>
        <v>0.325180262971865</v>
      </c>
    </row>
    <row r="143" spans="1:34">
      <c r="A143" s="2">
        <v>20260109</v>
      </c>
      <c r="B143" s="2" t="s">
        <v>330</v>
      </c>
      <c r="C143" s="2" t="s">
        <v>331</v>
      </c>
      <c r="D143" s="2">
        <v>1</v>
      </c>
      <c r="E143" s="2">
        <v>3</v>
      </c>
      <c r="F143" s="2">
        <v>2</v>
      </c>
      <c r="G143" s="2">
        <v>0</v>
      </c>
      <c r="H143" s="2">
        <v>4</v>
      </c>
      <c r="I143" s="3">
        <v>13</v>
      </c>
      <c r="J143" s="2">
        <v>10</v>
      </c>
      <c r="K143" s="2">
        <v>2</v>
      </c>
      <c r="L143" s="2">
        <v>0</v>
      </c>
      <c r="M143" s="2">
        <v>11</v>
      </c>
      <c r="N143" s="2">
        <v>40</v>
      </c>
      <c r="O143" s="2">
        <v>9</v>
      </c>
      <c r="P143" s="3">
        <v>5</v>
      </c>
      <c r="Q143" s="2">
        <v>8</v>
      </c>
      <c r="R143" s="2">
        <v>114</v>
      </c>
      <c r="S143" s="2">
        <v>0</v>
      </c>
      <c r="T143" s="2">
        <v>2</v>
      </c>
      <c r="U143" s="2">
        <v>3</v>
      </c>
      <c r="V143" s="2">
        <f t="shared" si="13"/>
        <v>47</v>
      </c>
      <c r="W143" s="2">
        <v>0</v>
      </c>
      <c r="X143" s="2">
        <v>0</v>
      </c>
      <c r="Y143" s="2">
        <v>0</v>
      </c>
      <c r="Z143" s="2">
        <f t="shared" si="14"/>
        <v>3</v>
      </c>
      <c r="AA143" s="2">
        <f t="shared" si="15"/>
        <v>50</v>
      </c>
      <c r="AB143" s="2">
        <v>3218</v>
      </c>
      <c r="AC143" s="20">
        <f t="shared" si="16"/>
        <v>1.55376009944065</v>
      </c>
      <c r="AD143" s="22" t="s">
        <v>83</v>
      </c>
      <c r="AE143" s="2">
        <v>100</v>
      </c>
      <c r="AF143" s="21">
        <f t="shared" si="17"/>
        <v>2.92106898694841</v>
      </c>
      <c r="AG143" s="4">
        <f t="shared" si="18"/>
        <v>1.46053449347421</v>
      </c>
      <c r="AH143" s="4">
        <f t="shared" si="19"/>
        <v>0.0932256059664388</v>
      </c>
    </row>
    <row r="144" spans="1:34">
      <c r="A144" s="2">
        <v>20260109</v>
      </c>
      <c r="B144" s="2" t="s">
        <v>332</v>
      </c>
      <c r="C144" s="2" t="s">
        <v>333</v>
      </c>
      <c r="D144" s="2">
        <v>3</v>
      </c>
      <c r="E144" s="2">
        <v>4174</v>
      </c>
      <c r="F144" s="2">
        <v>7</v>
      </c>
      <c r="G144" s="2">
        <v>1</v>
      </c>
      <c r="H144" s="2">
        <v>11</v>
      </c>
      <c r="I144" s="3">
        <v>35</v>
      </c>
      <c r="J144" s="2">
        <v>14</v>
      </c>
      <c r="K144" s="2">
        <v>11</v>
      </c>
      <c r="L144" s="2">
        <v>2</v>
      </c>
      <c r="M144" s="2">
        <v>23</v>
      </c>
      <c r="N144" s="2">
        <v>83</v>
      </c>
      <c r="O144" s="2">
        <v>3</v>
      </c>
      <c r="P144" s="3">
        <v>8</v>
      </c>
      <c r="Q144" s="2">
        <v>20</v>
      </c>
      <c r="R144" s="2">
        <v>166</v>
      </c>
      <c r="S144" s="2">
        <v>3</v>
      </c>
      <c r="T144" s="2">
        <v>9</v>
      </c>
      <c r="U144" s="2">
        <v>0</v>
      </c>
      <c r="V144" s="2">
        <f t="shared" si="13"/>
        <v>109</v>
      </c>
      <c r="W144" s="2">
        <v>3</v>
      </c>
      <c r="X144" s="2">
        <v>2</v>
      </c>
      <c r="Y144" s="2">
        <v>0</v>
      </c>
      <c r="Z144" s="2">
        <f t="shared" si="14"/>
        <v>5</v>
      </c>
      <c r="AA144" s="2">
        <f t="shared" si="15"/>
        <v>114</v>
      </c>
      <c r="AB144" s="2">
        <v>6892</v>
      </c>
      <c r="AC144" s="20">
        <f t="shared" si="16"/>
        <v>1.65409170052234</v>
      </c>
      <c r="AD144" s="22" t="s">
        <v>83</v>
      </c>
      <c r="AE144" s="2">
        <v>100</v>
      </c>
      <c r="AF144" s="21">
        <f t="shared" si="17"/>
        <v>3.10969239698201</v>
      </c>
      <c r="AG144" s="4">
        <f t="shared" si="18"/>
        <v>1.58154381892049</v>
      </c>
      <c r="AH144" s="4">
        <f t="shared" si="19"/>
        <v>0.0725478816018572</v>
      </c>
    </row>
    <row r="145" spans="1:34">
      <c r="A145" s="2">
        <v>20260109</v>
      </c>
      <c r="B145" s="2" t="s">
        <v>334</v>
      </c>
      <c r="C145" s="2" t="s">
        <v>335</v>
      </c>
      <c r="D145" s="2">
        <v>2</v>
      </c>
      <c r="E145" s="2">
        <v>35</v>
      </c>
      <c r="F145" s="2">
        <v>2</v>
      </c>
      <c r="G145" s="2">
        <v>2</v>
      </c>
      <c r="H145" s="2">
        <v>18</v>
      </c>
      <c r="I145" s="3">
        <v>55</v>
      </c>
      <c r="J145" s="2">
        <v>36</v>
      </c>
      <c r="K145" s="2">
        <v>13</v>
      </c>
      <c r="L145" s="2">
        <v>12</v>
      </c>
      <c r="M145" s="2">
        <v>69</v>
      </c>
      <c r="N145" s="2">
        <v>13</v>
      </c>
      <c r="O145" s="2">
        <v>0</v>
      </c>
      <c r="P145" s="3">
        <v>87</v>
      </c>
      <c r="Q145" s="2">
        <v>0</v>
      </c>
      <c r="R145" s="2">
        <v>80</v>
      </c>
      <c r="S145" s="2">
        <v>0</v>
      </c>
      <c r="T145" s="2">
        <v>3</v>
      </c>
      <c r="U145" s="2">
        <v>5</v>
      </c>
      <c r="V145" s="2">
        <f t="shared" ref="V145:V208" si="20">AA145-Y145-X145-W145-U145</f>
        <v>295</v>
      </c>
      <c r="W145" s="2">
        <v>0</v>
      </c>
      <c r="X145" s="2">
        <v>0</v>
      </c>
      <c r="Y145" s="2">
        <v>0</v>
      </c>
      <c r="Z145" s="2">
        <f t="shared" si="14"/>
        <v>5</v>
      </c>
      <c r="AA145" s="2">
        <f t="shared" si="15"/>
        <v>300</v>
      </c>
      <c r="AB145" s="2">
        <v>1688</v>
      </c>
      <c r="AC145" s="20">
        <f t="shared" si="16"/>
        <v>17.7725118483412</v>
      </c>
      <c r="AD145" s="22" t="s">
        <v>257</v>
      </c>
      <c r="AE145" s="2">
        <v>150</v>
      </c>
      <c r="AF145" s="21">
        <f t="shared" si="17"/>
        <v>22.2748815165877</v>
      </c>
      <c r="AG145" s="4">
        <f t="shared" si="18"/>
        <v>17.4763033175355</v>
      </c>
      <c r="AH145" s="4">
        <f t="shared" si="19"/>
        <v>0.296208530805687</v>
      </c>
    </row>
    <row r="146" spans="1:34">
      <c r="A146" s="2">
        <v>20260109</v>
      </c>
      <c r="B146" s="2" t="s">
        <v>336</v>
      </c>
      <c r="C146" s="2" t="s">
        <v>337</v>
      </c>
      <c r="D146" s="2">
        <v>2</v>
      </c>
      <c r="E146" s="2">
        <v>35</v>
      </c>
      <c r="F146" s="2">
        <v>3</v>
      </c>
      <c r="G146" s="2">
        <v>4</v>
      </c>
      <c r="H146" s="2">
        <v>17</v>
      </c>
      <c r="I146" s="3">
        <v>22</v>
      </c>
      <c r="J146" s="2">
        <v>21</v>
      </c>
      <c r="K146" s="2">
        <v>6</v>
      </c>
      <c r="L146" s="2">
        <v>3</v>
      </c>
      <c r="M146" s="2">
        <v>26</v>
      </c>
      <c r="N146" s="2">
        <v>4</v>
      </c>
      <c r="O146" s="2">
        <v>0</v>
      </c>
      <c r="P146" s="3">
        <v>59</v>
      </c>
      <c r="Q146" s="2">
        <v>0</v>
      </c>
      <c r="R146" s="2">
        <v>80</v>
      </c>
      <c r="S146" s="2">
        <v>1</v>
      </c>
      <c r="T146" s="2">
        <v>1</v>
      </c>
      <c r="U146" s="2">
        <v>0</v>
      </c>
      <c r="V146" s="2">
        <f t="shared" si="20"/>
        <v>159</v>
      </c>
      <c r="W146" s="2">
        <v>0</v>
      </c>
      <c r="X146" s="2">
        <v>0</v>
      </c>
      <c r="Y146" s="2">
        <v>0</v>
      </c>
      <c r="Z146" s="2">
        <f t="shared" si="14"/>
        <v>0</v>
      </c>
      <c r="AA146" s="2">
        <f t="shared" si="15"/>
        <v>159</v>
      </c>
      <c r="AB146" s="2">
        <v>4325</v>
      </c>
      <c r="AC146" s="20">
        <f t="shared" si="16"/>
        <v>3.67630057803468</v>
      </c>
      <c r="AD146" s="22" t="s">
        <v>257</v>
      </c>
      <c r="AE146" s="2">
        <v>150</v>
      </c>
      <c r="AF146" s="21">
        <f t="shared" si="17"/>
        <v>4.60763005780347</v>
      </c>
      <c r="AG146" s="4">
        <f t="shared" si="18"/>
        <v>3.67630057803468</v>
      </c>
      <c r="AH146" s="4">
        <f t="shared" si="19"/>
        <v>0</v>
      </c>
    </row>
    <row r="147" spans="1:34">
      <c r="A147" s="2">
        <v>20260109</v>
      </c>
      <c r="B147" s="2" t="s">
        <v>338</v>
      </c>
      <c r="C147" s="2" t="s">
        <v>339</v>
      </c>
      <c r="D147" s="2">
        <v>5</v>
      </c>
      <c r="E147" s="2">
        <v>83</v>
      </c>
      <c r="F147" s="2">
        <v>10</v>
      </c>
      <c r="G147" s="2">
        <v>6</v>
      </c>
      <c r="H147" s="2">
        <v>66</v>
      </c>
      <c r="I147" s="3">
        <v>490</v>
      </c>
      <c r="J147" s="2">
        <v>305</v>
      </c>
      <c r="K147" s="2">
        <v>14</v>
      </c>
      <c r="L147" s="2">
        <v>6</v>
      </c>
      <c r="M147" s="2">
        <v>29</v>
      </c>
      <c r="N147" s="30">
        <v>1115</v>
      </c>
      <c r="O147" s="2">
        <v>31</v>
      </c>
      <c r="P147" s="2">
        <v>32</v>
      </c>
      <c r="Q147" s="2">
        <v>33</v>
      </c>
      <c r="R147" s="2">
        <v>125</v>
      </c>
      <c r="S147" s="2">
        <v>2</v>
      </c>
      <c r="T147" s="2">
        <v>107</v>
      </c>
      <c r="U147" s="2">
        <v>3</v>
      </c>
      <c r="V147" s="2">
        <f t="shared" si="20"/>
        <v>1055</v>
      </c>
      <c r="W147" s="2">
        <v>0</v>
      </c>
      <c r="X147" s="2">
        <v>0</v>
      </c>
      <c r="Y147" s="2">
        <v>0</v>
      </c>
      <c r="Z147" s="2">
        <f t="shared" si="14"/>
        <v>3</v>
      </c>
      <c r="AA147" s="2">
        <f t="shared" si="15"/>
        <v>1058</v>
      </c>
      <c r="AB147" s="2">
        <v>3325</v>
      </c>
      <c r="AC147" s="20">
        <f t="shared" si="16"/>
        <v>31.8195488721805</v>
      </c>
      <c r="AD147" s="22" t="s">
        <v>340</v>
      </c>
      <c r="AE147" s="2">
        <v>150</v>
      </c>
      <c r="AF147" s="21">
        <f t="shared" si="17"/>
        <v>39.8805012531328</v>
      </c>
      <c r="AG147" s="4">
        <f t="shared" si="18"/>
        <v>31.7293233082707</v>
      </c>
      <c r="AH147" s="4">
        <f t="shared" si="19"/>
        <v>0.0902255639097744</v>
      </c>
    </row>
    <row r="148" spans="1:34">
      <c r="A148" s="2">
        <v>20260109</v>
      </c>
      <c r="B148" s="2" t="s">
        <v>341</v>
      </c>
      <c r="C148" s="2" t="s">
        <v>342</v>
      </c>
      <c r="D148" s="2">
        <v>0</v>
      </c>
      <c r="E148" s="2">
        <v>63</v>
      </c>
      <c r="F148" s="2">
        <v>3</v>
      </c>
      <c r="G148" s="2">
        <v>6</v>
      </c>
      <c r="H148" s="2">
        <v>17</v>
      </c>
      <c r="I148" s="3">
        <v>21</v>
      </c>
      <c r="J148" s="2">
        <v>28</v>
      </c>
      <c r="K148" s="2">
        <v>3</v>
      </c>
      <c r="L148" s="2">
        <v>2</v>
      </c>
      <c r="M148" s="2">
        <v>12</v>
      </c>
      <c r="N148" s="2">
        <v>22</v>
      </c>
      <c r="O148" s="2">
        <v>1</v>
      </c>
      <c r="P148" s="3">
        <v>45</v>
      </c>
      <c r="Q148" s="2">
        <v>2</v>
      </c>
      <c r="R148" s="2">
        <v>143</v>
      </c>
      <c r="S148" s="2">
        <v>0</v>
      </c>
      <c r="T148" s="2">
        <v>2</v>
      </c>
      <c r="U148" s="2">
        <v>4</v>
      </c>
      <c r="V148" s="2">
        <f t="shared" si="20"/>
        <v>134</v>
      </c>
      <c r="W148" s="2">
        <v>0</v>
      </c>
      <c r="X148" s="2">
        <v>2</v>
      </c>
      <c r="Y148" s="2">
        <v>0</v>
      </c>
      <c r="Z148" s="2">
        <f t="shared" si="14"/>
        <v>6</v>
      </c>
      <c r="AA148" s="2">
        <f t="shared" si="15"/>
        <v>140</v>
      </c>
      <c r="AB148" s="2">
        <v>2585</v>
      </c>
      <c r="AC148" s="20">
        <f t="shared" si="16"/>
        <v>5.41586073500967</v>
      </c>
      <c r="AD148" s="22" t="s">
        <v>343</v>
      </c>
      <c r="AE148" s="2">
        <v>150</v>
      </c>
      <c r="AF148" s="21">
        <f t="shared" si="17"/>
        <v>6.78787878787879</v>
      </c>
      <c r="AG148" s="4">
        <f t="shared" si="18"/>
        <v>5.18375241779497</v>
      </c>
      <c r="AH148" s="4">
        <f t="shared" si="19"/>
        <v>0.2321083172147</v>
      </c>
    </row>
    <row r="149" spans="1:34">
      <c r="A149" s="2">
        <v>20260109</v>
      </c>
      <c r="B149" s="2" t="s">
        <v>344</v>
      </c>
      <c r="C149" s="2" t="s">
        <v>345</v>
      </c>
      <c r="D149" s="2">
        <v>0</v>
      </c>
      <c r="E149" s="2">
        <v>46</v>
      </c>
      <c r="F149" s="2">
        <v>0</v>
      </c>
      <c r="G149" s="2">
        <v>2</v>
      </c>
      <c r="H149" s="2">
        <v>3</v>
      </c>
      <c r="I149" s="3">
        <v>14</v>
      </c>
      <c r="J149" s="2">
        <v>15</v>
      </c>
      <c r="K149" s="2">
        <v>3</v>
      </c>
      <c r="L149" s="2">
        <v>3</v>
      </c>
      <c r="M149" s="2">
        <v>18</v>
      </c>
      <c r="N149" s="2">
        <v>0</v>
      </c>
      <c r="O149" s="2">
        <v>0</v>
      </c>
      <c r="P149" s="3">
        <v>37</v>
      </c>
      <c r="Q149" s="2">
        <v>0</v>
      </c>
      <c r="R149" s="2">
        <v>123</v>
      </c>
      <c r="S149" s="2">
        <v>2</v>
      </c>
      <c r="T149" s="2">
        <v>2</v>
      </c>
      <c r="U149" s="2">
        <v>0</v>
      </c>
      <c r="V149" s="2">
        <f t="shared" si="20"/>
        <v>96</v>
      </c>
      <c r="W149" s="2">
        <v>0</v>
      </c>
      <c r="X149" s="2">
        <v>1</v>
      </c>
      <c r="Y149" s="2">
        <v>0</v>
      </c>
      <c r="Z149" s="2">
        <f t="shared" si="14"/>
        <v>1</v>
      </c>
      <c r="AA149" s="2">
        <f t="shared" si="15"/>
        <v>97</v>
      </c>
      <c r="AB149" s="2">
        <v>2157</v>
      </c>
      <c r="AC149" s="20">
        <f t="shared" si="16"/>
        <v>4.49698655540102</v>
      </c>
      <c r="AD149" s="22" t="s">
        <v>343</v>
      </c>
      <c r="AE149" s="2">
        <v>150</v>
      </c>
      <c r="AF149" s="21">
        <f t="shared" si="17"/>
        <v>5.63622314943595</v>
      </c>
      <c r="AG149" s="4">
        <f t="shared" si="18"/>
        <v>4.45062586926286</v>
      </c>
      <c r="AH149" s="4">
        <f t="shared" si="19"/>
        <v>0.0463606861381548</v>
      </c>
    </row>
    <row r="150" spans="1:34">
      <c r="A150" s="2">
        <v>20260109</v>
      </c>
      <c r="B150" s="2" t="s">
        <v>346</v>
      </c>
      <c r="C150" s="2" t="s">
        <v>347</v>
      </c>
      <c r="D150" s="2">
        <v>0</v>
      </c>
      <c r="E150" s="2">
        <v>51</v>
      </c>
      <c r="F150" s="2">
        <v>6</v>
      </c>
      <c r="G150" s="2">
        <v>2</v>
      </c>
      <c r="H150" s="2">
        <v>11</v>
      </c>
      <c r="I150" s="3">
        <v>13</v>
      </c>
      <c r="J150" s="2">
        <v>18</v>
      </c>
      <c r="K150" s="2">
        <v>3</v>
      </c>
      <c r="L150" s="2">
        <v>3</v>
      </c>
      <c r="M150" s="2">
        <v>12</v>
      </c>
      <c r="N150" s="2">
        <v>0</v>
      </c>
      <c r="O150" s="2">
        <v>0</v>
      </c>
      <c r="P150" s="3">
        <v>25</v>
      </c>
      <c r="Q150" s="2">
        <v>1</v>
      </c>
      <c r="R150" s="2">
        <v>134</v>
      </c>
      <c r="S150" s="2">
        <v>1</v>
      </c>
      <c r="T150" s="2">
        <v>2</v>
      </c>
      <c r="U150" s="2">
        <v>1</v>
      </c>
      <c r="V150" s="2">
        <f t="shared" si="20"/>
        <v>86</v>
      </c>
      <c r="W150" s="2">
        <v>0</v>
      </c>
      <c r="X150" s="2">
        <v>2</v>
      </c>
      <c r="Y150" s="2">
        <v>1</v>
      </c>
      <c r="Z150" s="2">
        <f t="shared" si="14"/>
        <v>4</v>
      </c>
      <c r="AA150" s="2">
        <f t="shared" si="15"/>
        <v>90</v>
      </c>
      <c r="AB150" s="2">
        <v>1964</v>
      </c>
      <c r="AC150" s="20">
        <f t="shared" si="16"/>
        <v>4.58248472505092</v>
      </c>
      <c r="AD150" s="22" t="s">
        <v>343</v>
      </c>
      <c r="AE150" s="2">
        <v>150</v>
      </c>
      <c r="AF150" s="21">
        <f t="shared" si="17"/>
        <v>5.74338085539715</v>
      </c>
      <c r="AG150" s="4">
        <f t="shared" si="18"/>
        <v>4.37881873727088</v>
      </c>
      <c r="AH150" s="4">
        <f t="shared" si="19"/>
        <v>0.203665987780041</v>
      </c>
    </row>
    <row r="151" spans="1:34">
      <c r="A151" s="2">
        <v>20260109</v>
      </c>
      <c r="B151" s="2" t="s">
        <v>348</v>
      </c>
      <c r="C151" s="2" t="s">
        <v>349</v>
      </c>
      <c r="D151" s="2">
        <v>0</v>
      </c>
      <c r="E151" s="2">
        <v>58</v>
      </c>
      <c r="F151" s="2">
        <v>0</v>
      </c>
      <c r="G151" s="2">
        <v>4</v>
      </c>
      <c r="H151" s="2">
        <v>4</v>
      </c>
      <c r="I151" s="3">
        <v>21</v>
      </c>
      <c r="J151" s="2">
        <v>15</v>
      </c>
      <c r="K151" s="2">
        <v>3</v>
      </c>
      <c r="L151" s="2">
        <v>0</v>
      </c>
      <c r="M151" s="2">
        <v>22</v>
      </c>
      <c r="N151" s="2">
        <v>0</v>
      </c>
      <c r="O151" s="2">
        <v>1</v>
      </c>
      <c r="P151" s="3">
        <v>24</v>
      </c>
      <c r="Q151" s="2">
        <v>0</v>
      </c>
      <c r="R151" s="2">
        <v>93</v>
      </c>
      <c r="S151" s="2">
        <v>1</v>
      </c>
      <c r="T151" s="2">
        <v>1</v>
      </c>
      <c r="U151" s="2">
        <v>1</v>
      </c>
      <c r="V151" s="2">
        <f t="shared" si="20"/>
        <v>92</v>
      </c>
      <c r="W151" s="2">
        <v>0</v>
      </c>
      <c r="X151" s="2">
        <v>2</v>
      </c>
      <c r="Y151" s="2">
        <v>0</v>
      </c>
      <c r="Z151" s="2">
        <f t="shared" si="14"/>
        <v>3</v>
      </c>
      <c r="AA151" s="2">
        <f t="shared" si="15"/>
        <v>95</v>
      </c>
      <c r="AB151" s="2">
        <v>2138</v>
      </c>
      <c r="AC151" s="20">
        <f t="shared" si="16"/>
        <v>4.44340505144995</v>
      </c>
      <c r="AD151" s="22" t="s">
        <v>340</v>
      </c>
      <c r="AE151" s="2">
        <v>150</v>
      </c>
      <c r="AF151" s="21">
        <f t="shared" si="17"/>
        <v>5.56906766448394</v>
      </c>
      <c r="AG151" s="4">
        <f t="shared" si="18"/>
        <v>4.30308699719364</v>
      </c>
      <c r="AH151" s="4">
        <f t="shared" si="19"/>
        <v>0.140318054256314</v>
      </c>
    </row>
    <row r="152" spans="1:34">
      <c r="A152" s="2">
        <v>20260109</v>
      </c>
      <c r="B152" s="2" t="s">
        <v>350</v>
      </c>
      <c r="C152" s="2" t="s">
        <v>351</v>
      </c>
      <c r="D152" s="2">
        <v>1</v>
      </c>
      <c r="E152" s="2">
        <v>102</v>
      </c>
      <c r="F152" s="2">
        <v>0</v>
      </c>
      <c r="G152" s="2">
        <v>4</v>
      </c>
      <c r="H152" s="2">
        <v>12</v>
      </c>
      <c r="I152" s="3">
        <v>24</v>
      </c>
      <c r="J152" s="2">
        <v>31</v>
      </c>
      <c r="K152" s="2">
        <v>6</v>
      </c>
      <c r="L152" s="2">
        <v>3</v>
      </c>
      <c r="M152" s="2">
        <v>17</v>
      </c>
      <c r="N152" s="2">
        <v>1</v>
      </c>
      <c r="O152" s="2">
        <v>0</v>
      </c>
      <c r="P152" s="3">
        <v>50</v>
      </c>
      <c r="Q152" s="2">
        <v>0</v>
      </c>
      <c r="R152" s="2">
        <v>150</v>
      </c>
      <c r="S152" s="2">
        <v>1</v>
      </c>
      <c r="T152" s="2">
        <v>7</v>
      </c>
      <c r="U152" s="2">
        <v>9</v>
      </c>
      <c r="V152" s="2">
        <f t="shared" si="20"/>
        <v>153</v>
      </c>
      <c r="W152" s="2">
        <v>1</v>
      </c>
      <c r="X152" s="2">
        <v>0</v>
      </c>
      <c r="Y152" s="2">
        <v>0</v>
      </c>
      <c r="Z152" s="2">
        <f t="shared" si="14"/>
        <v>10</v>
      </c>
      <c r="AA152" s="2">
        <f t="shared" si="15"/>
        <v>163</v>
      </c>
      <c r="AB152" s="2">
        <v>3517</v>
      </c>
      <c r="AC152" s="20">
        <f t="shared" si="16"/>
        <v>4.63463178845607</v>
      </c>
      <c r="AD152" s="22" t="s">
        <v>340</v>
      </c>
      <c r="AE152" s="2">
        <v>150</v>
      </c>
      <c r="AF152" s="21">
        <f t="shared" si="17"/>
        <v>5.80873850819828</v>
      </c>
      <c r="AG152" s="4">
        <f t="shared" si="18"/>
        <v>4.35029854990048</v>
      </c>
      <c r="AH152" s="4">
        <f t="shared" si="19"/>
        <v>0.284333238555587</v>
      </c>
    </row>
    <row r="153" spans="1:34">
      <c r="A153" s="2">
        <v>20260110</v>
      </c>
      <c r="B153" s="2" t="s">
        <v>352</v>
      </c>
      <c r="C153" s="2" t="s">
        <v>353</v>
      </c>
      <c r="D153" s="2">
        <v>0</v>
      </c>
      <c r="E153" s="2">
        <v>91</v>
      </c>
      <c r="F153" s="2">
        <v>3</v>
      </c>
      <c r="G153" s="2">
        <v>3</v>
      </c>
      <c r="H153" s="2">
        <v>17</v>
      </c>
      <c r="I153" s="3">
        <v>21</v>
      </c>
      <c r="J153" s="2">
        <v>18</v>
      </c>
      <c r="K153" s="2">
        <v>2</v>
      </c>
      <c r="L153" s="2">
        <v>3</v>
      </c>
      <c r="M153" s="2">
        <v>29</v>
      </c>
      <c r="N153" s="2">
        <v>4</v>
      </c>
      <c r="O153" s="2">
        <v>0</v>
      </c>
      <c r="P153" s="3">
        <v>43</v>
      </c>
      <c r="Q153" s="2">
        <v>3</v>
      </c>
      <c r="R153" s="2">
        <v>141</v>
      </c>
      <c r="S153" s="2">
        <v>3</v>
      </c>
      <c r="T153" s="2">
        <v>4</v>
      </c>
      <c r="U153" s="2">
        <v>4</v>
      </c>
      <c r="V153" s="2">
        <f t="shared" si="20"/>
        <v>136</v>
      </c>
      <c r="W153" s="2">
        <v>1</v>
      </c>
      <c r="X153" s="2">
        <v>3</v>
      </c>
      <c r="Y153" s="2">
        <v>0</v>
      </c>
      <c r="Z153" s="2">
        <f t="shared" si="14"/>
        <v>8</v>
      </c>
      <c r="AA153" s="2">
        <f t="shared" si="15"/>
        <v>144</v>
      </c>
      <c r="AB153" s="2">
        <v>3317</v>
      </c>
      <c r="AC153" s="20">
        <f t="shared" si="16"/>
        <v>4.34127223394634</v>
      </c>
      <c r="AD153" s="22" t="s">
        <v>340</v>
      </c>
      <c r="AE153" s="2">
        <v>150</v>
      </c>
      <c r="AF153" s="21">
        <f t="shared" si="17"/>
        <v>5.44106119987941</v>
      </c>
      <c r="AG153" s="4">
        <f t="shared" si="18"/>
        <v>4.10009044317154</v>
      </c>
      <c r="AH153" s="4">
        <f t="shared" si="19"/>
        <v>0.241181790774797</v>
      </c>
    </row>
    <row r="154" spans="1:34">
      <c r="A154" s="2">
        <v>20260110</v>
      </c>
      <c r="B154" s="2" t="s">
        <v>354</v>
      </c>
      <c r="C154" s="2" t="s">
        <v>355</v>
      </c>
      <c r="D154" s="2">
        <v>0</v>
      </c>
      <c r="E154" s="2">
        <v>68</v>
      </c>
      <c r="F154" s="2">
        <v>2</v>
      </c>
      <c r="G154" s="2">
        <v>3</v>
      </c>
      <c r="H154" s="2">
        <v>6</v>
      </c>
      <c r="I154" s="3">
        <v>15</v>
      </c>
      <c r="J154" s="2">
        <v>21</v>
      </c>
      <c r="K154" s="2">
        <v>4</v>
      </c>
      <c r="L154" s="2">
        <v>0</v>
      </c>
      <c r="M154" s="2">
        <v>16</v>
      </c>
      <c r="N154" s="2">
        <v>2</v>
      </c>
      <c r="O154" s="2">
        <v>0</v>
      </c>
      <c r="P154" s="3">
        <v>45</v>
      </c>
      <c r="Q154" s="2">
        <v>0</v>
      </c>
      <c r="R154" s="2">
        <v>138</v>
      </c>
      <c r="S154" s="2">
        <v>1</v>
      </c>
      <c r="T154" s="2">
        <v>2</v>
      </c>
      <c r="U154" s="2">
        <v>4</v>
      </c>
      <c r="V154" s="2">
        <f t="shared" si="20"/>
        <v>111</v>
      </c>
      <c r="W154" s="2">
        <v>1</v>
      </c>
      <c r="X154" s="2">
        <v>0</v>
      </c>
      <c r="Y154" s="2">
        <v>0</v>
      </c>
      <c r="Z154" s="2">
        <f t="shared" si="14"/>
        <v>5</v>
      </c>
      <c r="AA154" s="2">
        <f t="shared" si="15"/>
        <v>116</v>
      </c>
      <c r="AB154" s="2">
        <v>3317</v>
      </c>
      <c r="AC154" s="20">
        <f t="shared" si="16"/>
        <v>3.49713596623455</v>
      </c>
      <c r="AD154" s="22" t="s">
        <v>340</v>
      </c>
      <c r="AE154" s="2">
        <v>150</v>
      </c>
      <c r="AF154" s="21">
        <f t="shared" si="17"/>
        <v>4.38307707768064</v>
      </c>
      <c r="AG154" s="4">
        <f t="shared" si="18"/>
        <v>3.3463973470003</v>
      </c>
      <c r="AH154" s="4">
        <f t="shared" si="19"/>
        <v>0.150738619234248</v>
      </c>
    </row>
    <row r="155" spans="1:34">
      <c r="A155" s="2">
        <v>20260110</v>
      </c>
      <c r="B155" s="2" t="s">
        <v>356</v>
      </c>
      <c r="C155" s="2" t="s">
        <v>357</v>
      </c>
      <c r="D155" s="2">
        <v>0</v>
      </c>
      <c r="E155" s="2">
        <v>82</v>
      </c>
      <c r="F155" s="2">
        <v>0</v>
      </c>
      <c r="G155" s="2">
        <v>1</v>
      </c>
      <c r="H155" s="2">
        <v>5</v>
      </c>
      <c r="I155" s="3">
        <v>11</v>
      </c>
      <c r="J155" s="2">
        <v>23</v>
      </c>
      <c r="K155" s="2">
        <v>3</v>
      </c>
      <c r="L155" s="2">
        <v>0</v>
      </c>
      <c r="M155" s="2">
        <v>15</v>
      </c>
      <c r="N155" s="2">
        <v>1</v>
      </c>
      <c r="O155" s="2">
        <v>0</v>
      </c>
      <c r="P155" s="3">
        <v>29</v>
      </c>
      <c r="Q155" s="2">
        <v>0</v>
      </c>
      <c r="R155" s="2">
        <v>137</v>
      </c>
      <c r="S155" s="2">
        <v>0</v>
      </c>
      <c r="T155" s="2">
        <v>2</v>
      </c>
      <c r="U155" s="2">
        <v>0</v>
      </c>
      <c r="V155" s="2">
        <f t="shared" si="20"/>
        <v>84</v>
      </c>
      <c r="W155" s="2">
        <v>2</v>
      </c>
      <c r="X155" s="2">
        <v>3</v>
      </c>
      <c r="Y155" s="2">
        <v>0</v>
      </c>
      <c r="Z155" s="2">
        <f t="shared" si="14"/>
        <v>5</v>
      </c>
      <c r="AA155" s="2">
        <f t="shared" si="15"/>
        <v>89</v>
      </c>
      <c r="AB155" s="2">
        <v>3317</v>
      </c>
      <c r="AC155" s="20">
        <f t="shared" si="16"/>
        <v>2.68314742236961</v>
      </c>
      <c r="AD155" s="22" t="s">
        <v>340</v>
      </c>
      <c r="AE155" s="2">
        <v>150</v>
      </c>
      <c r="AF155" s="21">
        <f t="shared" si="17"/>
        <v>3.36287810270325</v>
      </c>
      <c r="AG155" s="4">
        <f t="shared" si="18"/>
        <v>2.53240880313536</v>
      </c>
      <c r="AH155" s="4">
        <f t="shared" si="19"/>
        <v>0.150738619234248</v>
      </c>
    </row>
    <row r="156" spans="1:34">
      <c r="A156" s="2">
        <v>20260110</v>
      </c>
      <c r="B156" s="2" t="s">
        <v>358</v>
      </c>
      <c r="C156" s="2" t="s">
        <v>359</v>
      </c>
      <c r="D156" s="2">
        <v>0</v>
      </c>
      <c r="E156" s="2">
        <v>33</v>
      </c>
      <c r="F156" s="2">
        <v>0</v>
      </c>
      <c r="G156" s="2">
        <v>0</v>
      </c>
      <c r="H156" s="2">
        <v>1</v>
      </c>
      <c r="I156" s="3">
        <v>6</v>
      </c>
      <c r="J156" s="2">
        <v>10</v>
      </c>
      <c r="K156" s="2">
        <v>2</v>
      </c>
      <c r="L156" s="2">
        <v>1</v>
      </c>
      <c r="M156" s="2">
        <v>4</v>
      </c>
      <c r="N156" s="2">
        <v>0</v>
      </c>
      <c r="O156" s="2">
        <v>0</v>
      </c>
      <c r="P156" s="3">
        <v>12</v>
      </c>
      <c r="Q156" s="2">
        <v>0</v>
      </c>
      <c r="R156" s="2">
        <v>70</v>
      </c>
      <c r="S156" s="2">
        <v>0</v>
      </c>
      <c r="T156" s="2">
        <v>0</v>
      </c>
      <c r="U156" s="2">
        <v>1</v>
      </c>
      <c r="V156" s="2">
        <f t="shared" si="20"/>
        <v>32</v>
      </c>
      <c r="W156" s="2">
        <v>0</v>
      </c>
      <c r="X156" s="2">
        <v>4</v>
      </c>
      <c r="Y156" s="2">
        <v>0</v>
      </c>
      <c r="Z156" s="2">
        <f t="shared" si="14"/>
        <v>5</v>
      </c>
      <c r="AA156" s="2">
        <f t="shared" si="15"/>
        <v>37</v>
      </c>
      <c r="AB156" s="2">
        <v>1759</v>
      </c>
      <c r="AC156" s="20">
        <f t="shared" si="16"/>
        <v>2.10346787947698</v>
      </c>
      <c r="AD156" s="22" t="s">
        <v>340</v>
      </c>
      <c r="AE156" s="2">
        <v>150</v>
      </c>
      <c r="AF156" s="21">
        <f t="shared" si="17"/>
        <v>2.63634640894448</v>
      </c>
      <c r="AG156" s="4">
        <f t="shared" si="18"/>
        <v>1.81921546333144</v>
      </c>
      <c r="AH156" s="4">
        <f t="shared" si="19"/>
        <v>0.284252416145537</v>
      </c>
    </row>
    <row r="157" spans="1:34">
      <c r="A157" s="2">
        <v>20260110</v>
      </c>
      <c r="B157" s="2" t="s">
        <v>360</v>
      </c>
      <c r="C157" s="2" t="s">
        <v>361</v>
      </c>
      <c r="D157" s="2">
        <v>0</v>
      </c>
      <c r="E157" s="2">
        <v>1</v>
      </c>
      <c r="F157" s="2">
        <v>2</v>
      </c>
      <c r="G157" s="2">
        <v>9</v>
      </c>
      <c r="H157" s="2">
        <v>14</v>
      </c>
      <c r="I157" s="3">
        <v>19</v>
      </c>
      <c r="J157" s="2">
        <v>14</v>
      </c>
      <c r="K157" s="2">
        <v>5</v>
      </c>
      <c r="L157" s="2">
        <v>1</v>
      </c>
      <c r="M157" s="2">
        <v>23</v>
      </c>
      <c r="N157" s="2">
        <v>9</v>
      </c>
      <c r="O157" s="2">
        <v>0</v>
      </c>
      <c r="P157" s="3">
        <v>21</v>
      </c>
      <c r="Q157" s="2">
        <v>0</v>
      </c>
      <c r="R157" s="2">
        <v>6</v>
      </c>
      <c r="S157" s="2">
        <v>2</v>
      </c>
      <c r="T157" s="2">
        <v>15</v>
      </c>
      <c r="U157" s="2">
        <v>2</v>
      </c>
      <c r="V157" s="2">
        <f t="shared" si="20"/>
        <v>117</v>
      </c>
      <c r="W157" s="2">
        <v>0</v>
      </c>
      <c r="X157" s="2">
        <v>4</v>
      </c>
      <c r="Y157" s="2">
        <v>0</v>
      </c>
      <c r="Z157" s="2">
        <f t="shared" si="14"/>
        <v>6</v>
      </c>
      <c r="AA157" s="2">
        <f t="shared" si="15"/>
        <v>123</v>
      </c>
      <c r="AB157" s="2">
        <v>4625</v>
      </c>
      <c r="AC157" s="20">
        <f t="shared" si="16"/>
        <v>2.65945945945946</v>
      </c>
      <c r="AD157" s="22" t="s">
        <v>257</v>
      </c>
      <c r="AE157" s="2">
        <v>100</v>
      </c>
      <c r="AF157" s="21">
        <f t="shared" si="17"/>
        <v>4.99978378378378</v>
      </c>
      <c r="AG157" s="4">
        <f t="shared" si="18"/>
        <v>2.52972972972973</v>
      </c>
      <c r="AH157" s="4">
        <f t="shared" si="19"/>
        <v>0.12972972972973</v>
      </c>
    </row>
    <row r="158" spans="1:34">
      <c r="A158" s="2">
        <v>20260110</v>
      </c>
      <c r="B158" s="2" t="s">
        <v>362</v>
      </c>
      <c r="C158" s="2" t="s">
        <v>363</v>
      </c>
      <c r="D158" s="2">
        <v>0</v>
      </c>
      <c r="E158" s="2">
        <v>6</v>
      </c>
      <c r="F158" s="2">
        <v>0</v>
      </c>
      <c r="G158" s="2">
        <v>15</v>
      </c>
      <c r="H158" s="2">
        <v>22</v>
      </c>
      <c r="I158" s="3">
        <v>22</v>
      </c>
      <c r="J158" s="2">
        <v>15</v>
      </c>
      <c r="K158" s="2">
        <v>5</v>
      </c>
      <c r="L158" s="2">
        <v>1</v>
      </c>
      <c r="M158" s="2">
        <v>36</v>
      </c>
      <c r="N158" s="2">
        <v>34</v>
      </c>
      <c r="O158" s="2">
        <v>0</v>
      </c>
      <c r="P158" s="3">
        <v>35</v>
      </c>
      <c r="Q158" s="2">
        <v>0</v>
      </c>
      <c r="R158" s="2">
        <v>15</v>
      </c>
      <c r="S158" s="2">
        <v>4</v>
      </c>
      <c r="T158" s="2">
        <v>54</v>
      </c>
      <c r="U158" s="2">
        <v>6</v>
      </c>
      <c r="V158" s="2">
        <f t="shared" si="20"/>
        <v>197</v>
      </c>
      <c r="W158" s="2">
        <v>2</v>
      </c>
      <c r="X158" s="2">
        <v>6</v>
      </c>
      <c r="Y158" s="2">
        <v>0</v>
      </c>
      <c r="Z158" s="2">
        <f t="shared" si="14"/>
        <v>14</v>
      </c>
      <c r="AA158" s="2">
        <f t="shared" si="15"/>
        <v>211</v>
      </c>
      <c r="AB158" s="2">
        <v>6425</v>
      </c>
      <c r="AC158" s="20">
        <f t="shared" si="16"/>
        <v>3.284046692607</v>
      </c>
      <c r="AD158" s="22" t="s">
        <v>257</v>
      </c>
      <c r="AE158" s="2">
        <v>100</v>
      </c>
      <c r="AF158" s="21">
        <f t="shared" si="17"/>
        <v>6.17400778210117</v>
      </c>
      <c r="AG158" s="4">
        <f t="shared" si="18"/>
        <v>3.06614785992218</v>
      </c>
      <c r="AH158" s="4">
        <f t="shared" si="19"/>
        <v>0.217898832684825</v>
      </c>
    </row>
    <row r="159" spans="1:34">
      <c r="A159" s="2">
        <v>20260110</v>
      </c>
      <c r="B159" s="2" t="s">
        <v>364</v>
      </c>
      <c r="C159" s="2" t="s">
        <v>365</v>
      </c>
      <c r="D159" s="2">
        <v>0</v>
      </c>
      <c r="E159" s="2">
        <v>1</v>
      </c>
      <c r="F159" s="2">
        <v>0</v>
      </c>
      <c r="G159" s="2">
        <v>3</v>
      </c>
      <c r="H159" s="2">
        <v>4</v>
      </c>
      <c r="I159" s="3">
        <v>16</v>
      </c>
      <c r="J159" s="2">
        <v>7</v>
      </c>
      <c r="K159" s="2">
        <v>2</v>
      </c>
      <c r="L159" s="2">
        <v>3</v>
      </c>
      <c r="M159" s="2">
        <v>10</v>
      </c>
      <c r="N159" s="2">
        <v>6</v>
      </c>
      <c r="O159" s="2">
        <v>0</v>
      </c>
      <c r="P159" s="3">
        <v>32</v>
      </c>
      <c r="Q159" s="2">
        <v>0</v>
      </c>
      <c r="R159" s="2">
        <v>16</v>
      </c>
      <c r="S159" s="2">
        <v>1</v>
      </c>
      <c r="T159" s="2">
        <v>2</v>
      </c>
      <c r="U159" s="2">
        <v>0</v>
      </c>
      <c r="V159" s="2">
        <f t="shared" si="20"/>
        <v>68</v>
      </c>
      <c r="W159" s="2">
        <v>7</v>
      </c>
      <c r="X159" s="2">
        <v>4</v>
      </c>
      <c r="Y159" s="2">
        <v>0</v>
      </c>
      <c r="Z159" s="2">
        <f t="shared" si="14"/>
        <v>11</v>
      </c>
      <c r="AA159" s="2">
        <f t="shared" si="15"/>
        <v>79</v>
      </c>
      <c r="AB159" s="2">
        <v>2205</v>
      </c>
      <c r="AC159" s="20">
        <f t="shared" si="16"/>
        <v>3.5827664399093</v>
      </c>
      <c r="AD159" s="2" t="s">
        <v>44</v>
      </c>
      <c r="AE159" s="2">
        <v>125</v>
      </c>
      <c r="AF159" s="21">
        <f t="shared" si="17"/>
        <v>5.38848072562358</v>
      </c>
      <c r="AG159" s="4">
        <f t="shared" si="18"/>
        <v>3.08390022675737</v>
      </c>
      <c r="AH159" s="4">
        <f t="shared" si="19"/>
        <v>0.498866213151927</v>
      </c>
    </row>
    <row r="160" spans="1:34">
      <c r="A160" s="2">
        <v>20260110</v>
      </c>
      <c r="B160" s="2" t="s">
        <v>366</v>
      </c>
      <c r="C160" s="2" t="s">
        <v>367</v>
      </c>
      <c r="D160" s="2">
        <v>0</v>
      </c>
      <c r="E160" s="2">
        <v>2</v>
      </c>
      <c r="F160" s="2">
        <v>0</v>
      </c>
      <c r="G160" s="2">
        <v>3</v>
      </c>
      <c r="H160" s="2">
        <v>5</v>
      </c>
      <c r="I160" s="3">
        <v>29</v>
      </c>
      <c r="J160" s="2">
        <v>11</v>
      </c>
      <c r="K160" s="2">
        <v>2</v>
      </c>
      <c r="L160" s="2">
        <v>0</v>
      </c>
      <c r="M160" s="2">
        <v>18</v>
      </c>
      <c r="N160" s="2">
        <v>8</v>
      </c>
      <c r="O160" s="2">
        <v>0</v>
      </c>
      <c r="P160" s="3">
        <v>42</v>
      </c>
      <c r="Q160" s="2">
        <v>2</v>
      </c>
      <c r="R160" s="2">
        <v>38</v>
      </c>
      <c r="S160" s="2">
        <v>3</v>
      </c>
      <c r="T160" s="2">
        <v>5</v>
      </c>
      <c r="U160" s="2">
        <v>0</v>
      </c>
      <c r="V160" s="2">
        <f t="shared" si="20"/>
        <v>103</v>
      </c>
      <c r="W160" s="2">
        <v>6</v>
      </c>
      <c r="X160" s="2">
        <v>6</v>
      </c>
      <c r="Y160" s="2">
        <v>0</v>
      </c>
      <c r="Z160" s="2">
        <f t="shared" si="14"/>
        <v>12</v>
      </c>
      <c r="AA160" s="2">
        <f t="shared" si="15"/>
        <v>115</v>
      </c>
      <c r="AB160" s="2">
        <v>4362</v>
      </c>
      <c r="AC160" s="20">
        <f t="shared" si="16"/>
        <v>2.63640531866116</v>
      </c>
      <c r="AD160" s="2" t="s">
        <v>44</v>
      </c>
      <c r="AE160" s="2">
        <v>125</v>
      </c>
      <c r="AF160" s="21">
        <f t="shared" si="17"/>
        <v>3.96515359926639</v>
      </c>
      <c r="AG160" s="4">
        <f t="shared" si="18"/>
        <v>2.36130215497478</v>
      </c>
      <c r="AH160" s="4">
        <f t="shared" si="19"/>
        <v>0.275103163686382</v>
      </c>
    </row>
    <row r="161" spans="1:34">
      <c r="A161" s="2">
        <v>20260110</v>
      </c>
      <c r="B161" s="2" t="s">
        <v>368</v>
      </c>
      <c r="C161" s="2" t="s">
        <v>369</v>
      </c>
      <c r="D161" s="2">
        <v>0</v>
      </c>
      <c r="E161" s="2">
        <v>5</v>
      </c>
      <c r="F161" s="2">
        <v>0</v>
      </c>
      <c r="G161" s="2">
        <v>4</v>
      </c>
      <c r="H161" s="2">
        <v>3</v>
      </c>
      <c r="I161" s="3">
        <v>17</v>
      </c>
      <c r="J161" s="2">
        <v>6</v>
      </c>
      <c r="K161" s="2">
        <v>0</v>
      </c>
      <c r="L161" s="2">
        <v>1</v>
      </c>
      <c r="M161" s="2">
        <v>3</v>
      </c>
      <c r="N161" s="2">
        <v>1</v>
      </c>
      <c r="O161" s="2">
        <v>0</v>
      </c>
      <c r="P161" s="3">
        <v>25</v>
      </c>
      <c r="Q161" s="2">
        <v>0</v>
      </c>
      <c r="R161" s="2">
        <v>24</v>
      </c>
      <c r="S161" s="2">
        <v>0</v>
      </c>
      <c r="T161" s="2">
        <v>0</v>
      </c>
      <c r="U161" s="2">
        <v>0</v>
      </c>
      <c r="V161" s="2">
        <f t="shared" si="20"/>
        <v>46</v>
      </c>
      <c r="W161" s="2">
        <v>3</v>
      </c>
      <c r="X161" s="2">
        <v>10</v>
      </c>
      <c r="Y161" s="2">
        <v>0</v>
      </c>
      <c r="Z161" s="2">
        <f t="shared" si="14"/>
        <v>13</v>
      </c>
      <c r="AA161" s="2">
        <f t="shared" si="15"/>
        <v>59</v>
      </c>
      <c r="AB161" s="2">
        <v>5162</v>
      </c>
      <c r="AC161" s="20">
        <f t="shared" si="16"/>
        <v>1.14296784192174</v>
      </c>
      <c r="AD161" s="2" t="s">
        <v>44</v>
      </c>
      <c r="AE161" s="2">
        <v>125</v>
      </c>
      <c r="AF161" s="21">
        <f t="shared" si="17"/>
        <v>1.71902363425029</v>
      </c>
      <c r="AG161" s="4">
        <f t="shared" si="18"/>
        <v>0.891127469972879</v>
      </c>
      <c r="AH161" s="4">
        <f t="shared" si="19"/>
        <v>0.251840371948857</v>
      </c>
    </row>
    <row r="162" spans="1:34">
      <c r="A162" s="2">
        <v>20260110</v>
      </c>
      <c r="B162" s="2" t="s">
        <v>370</v>
      </c>
      <c r="C162" s="2" t="s">
        <v>371</v>
      </c>
      <c r="D162" s="2">
        <v>1</v>
      </c>
      <c r="E162" s="2">
        <v>8</v>
      </c>
      <c r="F162" s="2">
        <v>0</v>
      </c>
      <c r="G162" s="2">
        <v>3</v>
      </c>
      <c r="H162" s="2">
        <v>6</v>
      </c>
      <c r="I162" s="3">
        <v>13</v>
      </c>
      <c r="J162" s="2">
        <v>8</v>
      </c>
      <c r="K162" s="2">
        <v>1</v>
      </c>
      <c r="L162" s="2">
        <v>1</v>
      </c>
      <c r="M162" s="2">
        <v>14</v>
      </c>
      <c r="N162" s="2">
        <v>9</v>
      </c>
      <c r="O162" s="2">
        <v>0</v>
      </c>
      <c r="P162" s="3">
        <v>29</v>
      </c>
      <c r="Q162" s="2">
        <v>0</v>
      </c>
      <c r="R162" s="2">
        <v>27</v>
      </c>
      <c r="S162" s="2">
        <v>1</v>
      </c>
      <c r="T162" s="2">
        <v>8</v>
      </c>
      <c r="U162" s="2">
        <v>0</v>
      </c>
      <c r="V162" s="2">
        <f t="shared" si="20"/>
        <v>80</v>
      </c>
      <c r="W162" s="2">
        <v>2</v>
      </c>
      <c r="X162" s="2">
        <v>1</v>
      </c>
      <c r="Y162" s="2">
        <v>0</v>
      </c>
      <c r="Z162" s="2">
        <f t="shared" si="14"/>
        <v>3</v>
      </c>
      <c r="AA162" s="2">
        <f t="shared" si="15"/>
        <v>83</v>
      </c>
      <c r="AB162" s="2">
        <v>2469</v>
      </c>
      <c r="AC162" s="20">
        <f t="shared" si="16"/>
        <v>3.3616848926691</v>
      </c>
      <c r="AD162" s="2" t="s">
        <v>44</v>
      </c>
      <c r="AE162" s="2">
        <v>125</v>
      </c>
      <c r="AF162" s="21">
        <f t="shared" si="17"/>
        <v>5.05597407857432</v>
      </c>
      <c r="AG162" s="4">
        <f t="shared" si="18"/>
        <v>3.24017820980154</v>
      </c>
      <c r="AH162" s="4">
        <f t="shared" si="19"/>
        <v>0.121506682867558</v>
      </c>
    </row>
    <row r="163" spans="1:34">
      <c r="A163" s="2">
        <v>20260110</v>
      </c>
      <c r="B163" s="2" t="s">
        <v>372</v>
      </c>
      <c r="C163" s="2" t="s">
        <v>373</v>
      </c>
      <c r="D163" s="2">
        <v>6</v>
      </c>
      <c r="E163" s="2">
        <v>20</v>
      </c>
      <c r="F163" s="2">
        <v>7</v>
      </c>
      <c r="G163" s="2">
        <v>4</v>
      </c>
      <c r="H163" s="2">
        <v>8</v>
      </c>
      <c r="I163" s="3">
        <v>18</v>
      </c>
      <c r="J163" s="2">
        <v>25</v>
      </c>
      <c r="K163" s="2">
        <v>7</v>
      </c>
      <c r="L163" s="2">
        <v>0</v>
      </c>
      <c r="M163" s="2">
        <v>7</v>
      </c>
      <c r="N163" s="2">
        <v>25</v>
      </c>
      <c r="O163" s="2">
        <v>27</v>
      </c>
      <c r="P163" s="3">
        <v>28</v>
      </c>
      <c r="Q163" s="2">
        <v>14</v>
      </c>
      <c r="R163" s="2">
        <v>99</v>
      </c>
      <c r="S163" s="2">
        <v>2</v>
      </c>
      <c r="T163" s="2">
        <v>10</v>
      </c>
      <c r="U163" s="2">
        <v>0</v>
      </c>
      <c r="V163" s="2">
        <f t="shared" si="20"/>
        <v>101</v>
      </c>
      <c r="W163" s="2">
        <v>2</v>
      </c>
      <c r="X163" s="2">
        <v>4</v>
      </c>
      <c r="Y163" s="2">
        <v>0</v>
      </c>
      <c r="Z163" s="2">
        <f t="shared" si="14"/>
        <v>6</v>
      </c>
      <c r="AA163" s="2">
        <f t="shared" si="15"/>
        <v>107</v>
      </c>
      <c r="AB163" s="2">
        <v>2743</v>
      </c>
      <c r="AC163" s="20">
        <f t="shared" si="16"/>
        <v>3.9008384979949</v>
      </c>
      <c r="AD163" s="2" t="s">
        <v>44</v>
      </c>
      <c r="AE163" s="2">
        <v>125</v>
      </c>
      <c r="AF163" s="21">
        <f t="shared" si="17"/>
        <v>5.86686110098432</v>
      </c>
      <c r="AG163" s="4">
        <f t="shared" si="18"/>
        <v>3.6820998906307</v>
      </c>
      <c r="AH163" s="4">
        <f t="shared" si="19"/>
        <v>0.2187386073642</v>
      </c>
    </row>
    <row r="164" spans="1:34">
      <c r="A164" s="2">
        <v>20260110</v>
      </c>
      <c r="B164" s="2" t="s">
        <v>374</v>
      </c>
      <c r="C164" s="2" t="s">
        <v>375</v>
      </c>
      <c r="D164" s="2">
        <v>0</v>
      </c>
      <c r="E164" s="2">
        <v>9</v>
      </c>
      <c r="F164" s="2">
        <v>7</v>
      </c>
      <c r="G164" s="2">
        <v>5</v>
      </c>
      <c r="H164" s="2">
        <v>10</v>
      </c>
      <c r="I164" s="3">
        <v>25</v>
      </c>
      <c r="J164" s="2">
        <v>14</v>
      </c>
      <c r="K164" s="2">
        <v>2</v>
      </c>
      <c r="L164" s="2">
        <v>0</v>
      </c>
      <c r="M164" s="2">
        <v>17</v>
      </c>
      <c r="N164" s="2">
        <v>7</v>
      </c>
      <c r="O164" s="2">
        <v>0</v>
      </c>
      <c r="P164" s="3">
        <v>35</v>
      </c>
      <c r="Q164" s="2">
        <v>3</v>
      </c>
      <c r="R164" s="2">
        <v>31</v>
      </c>
      <c r="S164" s="2">
        <v>1</v>
      </c>
      <c r="T164" s="2">
        <v>7</v>
      </c>
      <c r="U164" s="2">
        <v>1</v>
      </c>
      <c r="V164" s="2">
        <f t="shared" si="20"/>
        <v>103</v>
      </c>
      <c r="W164" s="2">
        <v>3</v>
      </c>
      <c r="X164" s="2">
        <v>9</v>
      </c>
      <c r="Y164" s="2">
        <v>0</v>
      </c>
      <c r="Z164" s="2">
        <f t="shared" si="14"/>
        <v>13</v>
      </c>
      <c r="AA164" s="2">
        <f t="shared" si="15"/>
        <v>116</v>
      </c>
      <c r="AB164" s="2">
        <v>4402</v>
      </c>
      <c r="AC164" s="20">
        <f t="shared" si="16"/>
        <v>2.63516583371195</v>
      </c>
      <c r="AD164" s="2" t="s">
        <v>44</v>
      </c>
      <c r="AE164" s="2">
        <v>125</v>
      </c>
      <c r="AF164" s="21">
        <f t="shared" si="17"/>
        <v>3.96328941390277</v>
      </c>
      <c r="AG164" s="4">
        <f t="shared" si="18"/>
        <v>2.33984552476147</v>
      </c>
      <c r="AH164" s="4">
        <f t="shared" si="19"/>
        <v>0.295320308950477</v>
      </c>
    </row>
    <row r="165" spans="1:34">
      <c r="A165" s="2">
        <v>20260110</v>
      </c>
      <c r="B165" s="2" t="s">
        <v>376</v>
      </c>
      <c r="C165" s="2" t="s">
        <v>377</v>
      </c>
      <c r="D165" s="2">
        <v>0</v>
      </c>
      <c r="E165" s="2">
        <v>19</v>
      </c>
      <c r="F165" s="2">
        <v>11</v>
      </c>
      <c r="G165" s="2">
        <v>2</v>
      </c>
      <c r="H165" s="2">
        <v>9</v>
      </c>
      <c r="I165" s="3">
        <v>11</v>
      </c>
      <c r="J165" s="2">
        <v>2</v>
      </c>
      <c r="K165" s="2">
        <v>9</v>
      </c>
      <c r="L165" s="2">
        <v>17</v>
      </c>
      <c r="M165" s="2">
        <v>13</v>
      </c>
      <c r="N165" s="2">
        <v>6</v>
      </c>
      <c r="O165" s="2">
        <v>0</v>
      </c>
      <c r="P165" s="3">
        <v>245</v>
      </c>
      <c r="Q165" s="2">
        <v>16</v>
      </c>
      <c r="R165" s="2">
        <v>37</v>
      </c>
      <c r="S165" s="2">
        <v>274</v>
      </c>
      <c r="T165" s="2">
        <v>1</v>
      </c>
      <c r="U165" s="2">
        <v>3</v>
      </c>
      <c r="V165" s="2">
        <f t="shared" si="20"/>
        <v>299</v>
      </c>
      <c r="W165" s="2">
        <v>5</v>
      </c>
      <c r="X165" s="2">
        <v>5</v>
      </c>
      <c r="Y165" s="2">
        <v>0</v>
      </c>
      <c r="Z165" s="2">
        <f t="shared" si="14"/>
        <v>13</v>
      </c>
      <c r="AA165" s="2">
        <f t="shared" si="15"/>
        <v>312</v>
      </c>
      <c r="AB165" s="2">
        <v>2564</v>
      </c>
      <c r="AC165" s="20">
        <f t="shared" si="16"/>
        <v>12.1684867394696</v>
      </c>
      <c r="AD165" s="2" t="s">
        <v>44</v>
      </c>
      <c r="AE165" s="2">
        <v>125</v>
      </c>
      <c r="AF165" s="21">
        <f t="shared" si="17"/>
        <v>18.3014040561622</v>
      </c>
      <c r="AG165" s="4">
        <f t="shared" si="18"/>
        <v>11.6614664586583</v>
      </c>
      <c r="AH165" s="4">
        <f t="shared" si="19"/>
        <v>0.507020280811233</v>
      </c>
    </row>
    <row r="166" spans="1:34">
      <c r="A166" s="2">
        <v>20260110</v>
      </c>
      <c r="B166" s="2" t="s">
        <v>378</v>
      </c>
      <c r="C166" s="2" t="s">
        <v>379</v>
      </c>
      <c r="D166" s="2">
        <v>1</v>
      </c>
      <c r="E166" s="2">
        <v>3</v>
      </c>
      <c r="F166" s="2">
        <v>3</v>
      </c>
      <c r="G166" s="2">
        <v>4</v>
      </c>
      <c r="H166" s="2">
        <v>6</v>
      </c>
      <c r="I166" s="3">
        <v>18</v>
      </c>
      <c r="J166" s="2">
        <v>9</v>
      </c>
      <c r="K166" s="2">
        <v>1</v>
      </c>
      <c r="L166" s="2">
        <v>1</v>
      </c>
      <c r="M166" s="2">
        <v>9</v>
      </c>
      <c r="N166" s="2">
        <v>1</v>
      </c>
      <c r="O166" s="2">
        <v>1</v>
      </c>
      <c r="P166" s="3">
        <v>34</v>
      </c>
      <c r="Q166" s="2">
        <v>2</v>
      </c>
      <c r="R166" s="2">
        <v>26</v>
      </c>
      <c r="S166" s="2">
        <v>3</v>
      </c>
      <c r="T166" s="2">
        <v>0</v>
      </c>
      <c r="U166" s="2">
        <v>1</v>
      </c>
      <c r="V166" s="2">
        <f t="shared" si="20"/>
        <v>76</v>
      </c>
      <c r="W166" s="2">
        <v>3</v>
      </c>
      <c r="X166" s="2">
        <v>3</v>
      </c>
      <c r="Y166" s="2">
        <v>0</v>
      </c>
      <c r="Z166" s="2">
        <f t="shared" ref="Z166:Z229" si="21">Y166+X166+W166+U166</f>
        <v>7</v>
      </c>
      <c r="AA166" s="2">
        <f t="shared" si="15"/>
        <v>83</v>
      </c>
      <c r="AB166" s="2">
        <v>2444</v>
      </c>
      <c r="AC166" s="20">
        <f t="shared" si="16"/>
        <v>3.39607201309329</v>
      </c>
      <c r="AD166" s="2" t="s">
        <v>44</v>
      </c>
      <c r="AE166" s="2">
        <v>125</v>
      </c>
      <c r="AF166" s="21">
        <f t="shared" si="17"/>
        <v>5.10769230769231</v>
      </c>
      <c r="AG166" s="4">
        <f t="shared" si="18"/>
        <v>3.10965630114566</v>
      </c>
      <c r="AH166" s="4">
        <f t="shared" si="19"/>
        <v>0.286415711947627</v>
      </c>
    </row>
    <row r="167" spans="1:34">
      <c r="A167" s="2">
        <v>20260110</v>
      </c>
      <c r="B167" s="2" t="s">
        <v>380</v>
      </c>
      <c r="C167" s="2" t="s">
        <v>381</v>
      </c>
      <c r="D167" s="2">
        <v>0</v>
      </c>
      <c r="E167" s="2">
        <v>7</v>
      </c>
      <c r="F167" s="2">
        <v>1</v>
      </c>
      <c r="G167" s="2">
        <v>0</v>
      </c>
      <c r="H167" s="2">
        <v>2</v>
      </c>
      <c r="I167" s="3">
        <v>14</v>
      </c>
      <c r="J167" s="2">
        <v>9</v>
      </c>
      <c r="K167" s="2">
        <v>2</v>
      </c>
      <c r="L167" s="2">
        <v>1</v>
      </c>
      <c r="M167" s="2">
        <v>8</v>
      </c>
      <c r="N167" s="2">
        <v>7</v>
      </c>
      <c r="O167" s="2">
        <v>1</v>
      </c>
      <c r="P167" s="3">
        <v>27</v>
      </c>
      <c r="Q167" s="2">
        <v>2</v>
      </c>
      <c r="R167" s="2">
        <v>187</v>
      </c>
      <c r="S167" s="2">
        <v>1</v>
      </c>
      <c r="T167" s="2">
        <v>6</v>
      </c>
      <c r="U167" s="2">
        <v>1</v>
      </c>
      <c r="V167" s="2">
        <f t="shared" si="20"/>
        <v>60</v>
      </c>
      <c r="W167" s="2">
        <v>2</v>
      </c>
      <c r="X167" s="2">
        <v>7</v>
      </c>
      <c r="Y167" s="2">
        <v>0</v>
      </c>
      <c r="Z167" s="2">
        <f t="shared" si="21"/>
        <v>10</v>
      </c>
      <c r="AA167" s="2">
        <f t="shared" si="15"/>
        <v>70</v>
      </c>
      <c r="AB167" s="2">
        <v>2205</v>
      </c>
      <c r="AC167" s="20">
        <f t="shared" si="16"/>
        <v>3.17460317460317</v>
      </c>
      <c r="AD167" s="2" t="s">
        <v>44</v>
      </c>
      <c r="AE167" s="2">
        <v>125</v>
      </c>
      <c r="AF167" s="21">
        <f t="shared" si="17"/>
        <v>4.77460317460317</v>
      </c>
      <c r="AG167" s="4">
        <f t="shared" si="18"/>
        <v>2.72108843537415</v>
      </c>
      <c r="AH167" s="4">
        <f t="shared" si="19"/>
        <v>0.453514739229025</v>
      </c>
    </row>
    <row r="168" spans="1:34">
      <c r="A168" s="2">
        <v>20260110</v>
      </c>
      <c r="B168" s="2" t="s">
        <v>382</v>
      </c>
      <c r="C168" s="2" t="s">
        <v>383</v>
      </c>
      <c r="D168" s="2">
        <v>3</v>
      </c>
      <c r="E168" s="2">
        <v>13</v>
      </c>
      <c r="F168" s="2">
        <v>10</v>
      </c>
      <c r="G168" s="2">
        <v>8</v>
      </c>
      <c r="H168" s="2">
        <v>18</v>
      </c>
      <c r="I168" s="3">
        <v>20</v>
      </c>
      <c r="J168" s="2">
        <v>20</v>
      </c>
      <c r="K168" s="2">
        <v>19</v>
      </c>
      <c r="L168" s="2">
        <v>0</v>
      </c>
      <c r="M168" s="2">
        <v>11</v>
      </c>
      <c r="N168" s="2">
        <v>27</v>
      </c>
      <c r="O168" s="2">
        <v>59</v>
      </c>
      <c r="P168" s="3">
        <v>30</v>
      </c>
      <c r="Q168" s="2">
        <v>24</v>
      </c>
      <c r="R168" s="2">
        <v>76</v>
      </c>
      <c r="S168" s="2">
        <v>4</v>
      </c>
      <c r="T168" s="2">
        <v>13</v>
      </c>
      <c r="U168" s="2">
        <v>2</v>
      </c>
      <c r="V168" s="2">
        <f t="shared" si="20"/>
        <v>138</v>
      </c>
      <c r="W168" s="2">
        <v>1</v>
      </c>
      <c r="X168" s="2">
        <v>0</v>
      </c>
      <c r="Y168" s="2">
        <v>0</v>
      </c>
      <c r="Z168" s="2">
        <f t="shared" si="21"/>
        <v>3</v>
      </c>
      <c r="AA168" s="2">
        <f t="shared" si="15"/>
        <v>141</v>
      </c>
      <c r="AB168" s="2">
        <v>2705</v>
      </c>
      <c r="AC168" s="20">
        <f t="shared" si="16"/>
        <v>5.21256931608133</v>
      </c>
      <c r="AD168" s="2" t="s">
        <v>44</v>
      </c>
      <c r="AE168" s="2">
        <v>125</v>
      </c>
      <c r="AF168" s="21">
        <f t="shared" si="17"/>
        <v>7.83970425138632</v>
      </c>
      <c r="AG168" s="4">
        <f t="shared" si="18"/>
        <v>5.10166358595194</v>
      </c>
      <c r="AH168" s="4">
        <f t="shared" si="19"/>
        <v>0.11090573012939</v>
      </c>
    </row>
    <row r="169" spans="1:34">
      <c r="A169" s="2">
        <v>20260110</v>
      </c>
      <c r="B169" s="2" t="s">
        <v>384</v>
      </c>
      <c r="C169" s="2" t="s">
        <v>385</v>
      </c>
      <c r="D169" s="2">
        <v>0</v>
      </c>
      <c r="E169" s="2">
        <v>3</v>
      </c>
      <c r="F169" s="2">
        <v>0</v>
      </c>
      <c r="G169" s="2">
        <v>1</v>
      </c>
      <c r="H169" s="2">
        <v>3</v>
      </c>
      <c r="I169" s="3">
        <v>8</v>
      </c>
      <c r="J169" s="2">
        <v>8</v>
      </c>
      <c r="K169" s="2">
        <v>1</v>
      </c>
      <c r="L169" s="2">
        <v>0</v>
      </c>
      <c r="M169" s="2">
        <v>8</v>
      </c>
      <c r="N169" s="2">
        <v>0</v>
      </c>
      <c r="O169" s="2">
        <v>0</v>
      </c>
      <c r="P169" s="3">
        <v>20</v>
      </c>
      <c r="Q169" s="2">
        <v>1</v>
      </c>
      <c r="R169" s="2">
        <v>289</v>
      </c>
      <c r="S169" s="2">
        <v>0</v>
      </c>
      <c r="T169" s="2">
        <v>0</v>
      </c>
      <c r="U169" s="2">
        <v>0</v>
      </c>
      <c r="V169" s="2">
        <f t="shared" si="20"/>
        <v>46</v>
      </c>
      <c r="W169" s="2">
        <v>3</v>
      </c>
      <c r="X169" s="2">
        <v>0</v>
      </c>
      <c r="Y169" s="2">
        <v>0</v>
      </c>
      <c r="Z169" s="2">
        <f t="shared" si="21"/>
        <v>3</v>
      </c>
      <c r="AA169" s="2">
        <f t="shared" si="15"/>
        <v>49</v>
      </c>
      <c r="AB169" s="2">
        <v>2204</v>
      </c>
      <c r="AC169" s="20">
        <f t="shared" si="16"/>
        <v>2.22323049001815</v>
      </c>
      <c r="AD169" s="2" t="s">
        <v>44</v>
      </c>
      <c r="AE169" s="2">
        <v>125</v>
      </c>
      <c r="AF169" s="21">
        <f t="shared" si="17"/>
        <v>3.3437386569873</v>
      </c>
      <c r="AG169" s="4">
        <f t="shared" si="18"/>
        <v>2.08711433756806</v>
      </c>
      <c r="AH169" s="4">
        <f t="shared" si="19"/>
        <v>0.136116152450091</v>
      </c>
    </row>
    <row r="170" spans="1:34">
      <c r="A170" s="2">
        <v>20260110</v>
      </c>
      <c r="B170" s="2" t="s">
        <v>386</v>
      </c>
      <c r="C170" s="2" t="s">
        <v>387</v>
      </c>
      <c r="D170" s="2">
        <v>0</v>
      </c>
      <c r="E170" s="2">
        <v>7</v>
      </c>
      <c r="F170" s="2">
        <v>2</v>
      </c>
      <c r="G170" s="2">
        <v>0</v>
      </c>
      <c r="H170" s="2">
        <v>2</v>
      </c>
      <c r="I170" s="3">
        <v>22</v>
      </c>
      <c r="J170" s="2">
        <v>12</v>
      </c>
      <c r="K170" s="2">
        <v>4</v>
      </c>
      <c r="L170" s="2">
        <v>3</v>
      </c>
      <c r="M170" s="2">
        <v>9</v>
      </c>
      <c r="N170" s="2">
        <v>6</v>
      </c>
      <c r="O170" s="2">
        <v>0</v>
      </c>
      <c r="P170" s="3">
        <v>28</v>
      </c>
      <c r="Q170" s="2">
        <v>3</v>
      </c>
      <c r="R170" s="2">
        <v>139</v>
      </c>
      <c r="S170" s="2">
        <v>1</v>
      </c>
      <c r="T170" s="2">
        <v>0</v>
      </c>
      <c r="U170" s="2">
        <v>1</v>
      </c>
      <c r="V170" s="2">
        <f t="shared" si="20"/>
        <v>77</v>
      </c>
      <c r="W170" s="2">
        <v>3</v>
      </c>
      <c r="X170" s="2">
        <v>0</v>
      </c>
      <c r="Y170" s="2">
        <v>0</v>
      </c>
      <c r="Z170" s="2">
        <f t="shared" si="21"/>
        <v>4</v>
      </c>
      <c r="AA170" s="2">
        <f t="shared" si="15"/>
        <v>81</v>
      </c>
      <c r="AB170" s="2">
        <v>2503</v>
      </c>
      <c r="AC170" s="20">
        <f t="shared" si="16"/>
        <v>3.23611666000799</v>
      </c>
      <c r="AD170" s="2" t="s">
        <v>44</v>
      </c>
      <c r="AE170" s="2">
        <v>125</v>
      </c>
      <c r="AF170" s="21">
        <f t="shared" si="17"/>
        <v>4.86711945665202</v>
      </c>
      <c r="AG170" s="4">
        <f t="shared" si="18"/>
        <v>3.07630842988414</v>
      </c>
      <c r="AH170" s="4">
        <f t="shared" si="19"/>
        <v>0.159808230123851</v>
      </c>
    </row>
    <row r="171" spans="1:34">
      <c r="A171" s="2">
        <v>20260110</v>
      </c>
      <c r="B171" s="2" t="s">
        <v>388</v>
      </c>
      <c r="C171" s="2" t="s">
        <v>389</v>
      </c>
      <c r="D171" s="2">
        <v>1</v>
      </c>
      <c r="E171" s="2">
        <v>6</v>
      </c>
      <c r="F171" s="2">
        <v>0</v>
      </c>
      <c r="G171" s="2">
        <v>2</v>
      </c>
      <c r="H171" s="2">
        <v>2</v>
      </c>
      <c r="I171" s="3">
        <v>28</v>
      </c>
      <c r="J171" s="2">
        <v>12</v>
      </c>
      <c r="K171" s="2">
        <v>5</v>
      </c>
      <c r="L171" s="2">
        <v>1</v>
      </c>
      <c r="M171" s="2">
        <v>12</v>
      </c>
      <c r="N171" s="2">
        <v>12</v>
      </c>
      <c r="O171" s="2">
        <v>0</v>
      </c>
      <c r="P171" s="3">
        <v>16</v>
      </c>
      <c r="Q171" s="2">
        <v>3</v>
      </c>
      <c r="R171" s="2">
        <v>74</v>
      </c>
      <c r="S171" s="2">
        <v>1</v>
      </c>
      <c r="T171" s="2">
        <v>7</v>
      </c>
      <c r="U171" s="2">
        <v>0</v>
      </c>
      <c r="V171" s="2">
        <f t="shared" si="20"/>
        <v>81</v>
      </c>
      <c r="W171" s="2">
        <v>1</v>
      </c>
      <c r="X171" s="2">
        <v>3</v>
      </c>
      <c r="Y171" s="2">
        <v>0</v>
      </c>
      <c r="Z171" s="2">
        <f t="shared" si="21"/>
        <v>4</v>
      </c>
      <c r="AA171" s="2">
        <f t="shared" si="15"/>
        <v>85</v>
      </c>
      <c r="AB171" s="2">
        <v>3218</v>
      </c>
      <c r="AC171" s="20">
        <f t="shared" si="16"/>
        <v>2.6413921690491</v>
      </c>
      <c r="AD171" s="2" t="s">
        <v>58</v>
      </c>
      <c r="AE171" s="2">
        <v>100</v>
      </c>
      <c r="AF171" s="21">
        <f t="shared" si="17"/>
        <v>4.96581727781231</v>
      </c>
      <c r="AG171" s="4">
        <f t="shared" si="18"/>
        <v>2.51709136109385</v>
      </c>
      <c r="AH171" s="4">
        <f t="shared" si="19"/>
        <v>0.124300807955252</v>
      </c>
    </row>
    <row r="172" spans="1:34">
      <c r="A172" s="2">
        <v>20260110</v>
      </c>
      <c r="B172" s="2" t="s">
        <v>390</v>
      </c>
      <c r="C172" s="2" t="s">
        <v>391</v>
      </c>
      <c r="D172" s="2">
        <v>0</v>
      </c>
      <c r="E172" s="2">
        <v>11</v>
      </c>
      <c r="F172" s="2">
        <v>2</v>
      </c>
      <c r="G172" s="2">
        <v>1</v>
      </c>
      <c r="H172" s="2">
        <v>16</v>
      </c>
      <c r="I172" s="3">
        <v>46</v>
      </c>
      <c r="J172" s="2">
        <v>21</v>
      </c>
      <c r="K172" s="2">
        <v>7</v>
      </c>
      <c r="L172" s="2">
        <v>0</v>
      </c>
      <c r="M172" s="2">
        <v>17</v>
      </c>
      <c r="N172" s="2">
        <v>24</v>
      </c>
      <c r="O172" s="2">
        <v>1</v>
      </c>
      <c r="P172" s="3">
        <v>33</v>
      </c>
      <c r="Q172" s="2">
        <v>2</v>
      </c>
      <c r="R172" s="2">
        <v>114</v>
      </c>
      <c r="S172" s="2">
        <v>4</v>
      </c>
      <c r="T172" s="2">
        <v>4</v>
      </c>
      <c r="U172" s="2">
        <v>3</v>
      </c>
      <c r="V172" s="2">
        <f t="shared" si="20"/>
        <v>133</v>
      </c>
      <c r="W172" s="2">
        <v>4</v>
      </c>
      <c r="X172" s="2">
        <v>8</v>
      </c>
      <c r="Y172" s="2">
        <v>0</v>
      </c>
      <c r="Z172" s="2">
        <f t="shared" si="21"/>
        <v>15</v>
      </c>
      <c r="AA172" s="2">
        <f t="shared" si="15"/>
        <v>148</v>
      </c>
      <c r="AB172" s="2">
        <v>6275</v>
      </c>
      <c r="AC172" s="20">
        <f t="shared" si="16"/>
        <v>2.35856573705179</v>
      </c>
      <c r="AD172" s="2" t="s">
        <v>58</v>
      </c>
      <c r="AE172" s="2">
        <v>100</v>
      </c>
      <c r="AF172" s="21">
        <f t="shared" si="17"/>
        <v>4.43410358565737</v>
      </c>
      <c r="AG172" s="4">
        <f t="shared" si="18"/>
        <v>2.1195219123506</v>
      </c>
      <c r="AH172" s="4">
        <f t="shared" si="19"/>
        <v>0.239043824701195</v>
      </c>
    </row>
    <row r="173" spans="1:34">
      <c r="A173" s="2">
        <v>20260110</v>
      </c>
      <c r="B173" s="2" t="s">
        <v>392</v>
      </c>
      <c r="C173" s="2" t="s">
        <v>393</v>
      </c>
      <c r="D173" s="2">
        <v>0</v>
      </c>
      <c r="E173" s="2">
        <v>1</v>
      </c>
      <c r="F173" s="2">
        <v>2</v>
      </c>
      <c r="G173" s="2">
        <v>8</v>
      </c>
      <c r="H173" s="2">
        <v>23</v>
      </c>
      <c r="I173" s="3">
        <v>7</v>
      </c>
      <c r="J173" s="2">
        <v>2</v>
      </c>
      <c r="K173" s="2">
        <v>1</v>
      </c>
      <c r="L173" s="2">
        <v>5</v>
      </c>
      <c r="M173" s="2">
        <v>6</v>
      </c>
      <c r="N173" s="2">
        <v>0</v>
      </c>
      <c r="O173" s="2">
        <v>18</v>
      </c>
      <c r="P173" s="3">
        <v>0</v>
      </c>
      <c r="Q173" s="2">
        <v>51</v>
      </c>
      <c r="R173" s="2">
        <v>4</v>
      </c>
      <c r="S173" s="2">
        <v>9</v>
      </c>
      <c r="T173" s="2">
        <v>0</v>
      </c>
      <c r="U173" s="2">
        <v>0</v>
      </c>
      <c r="V173" s="2">
        <f t="shared" si="20"/>
        <v>48</v>
      </c>
      <c r="W173" s="2">
        <v>2</v>
      </c>
      <c r="X173" s="2">
        <v>2</v>
      </c>
      <c r="Y173" s="2">
        <v>0</v>
      </c>
      <c r="Z173" s="2">
        <f t="shared" si="21"/>
        <v>4</v>
      </c>
      <c r="AA173" s="2">
        <f t="shared" si="15"/>
        <v>52</v>
      </c>
      <c r="AB173" s="2">
        <v>3418</v>
      </c>
      <c r="AC173" s="20">
        <f t="shared" si="16"/>
        <v>1.52135751901697</v>
      </c>
      <c r="AD173" s="2" t="s">
        <v>58</v>
      </c>
      <c r="AE173" s="2">
        <v>100</v>
      </c>
      <c r="AF173" s="21">
        <f t="shared" si="17"/>
        <v>2.8601521357519</v>
      </c>
      <c r="AG173" s="4">
        <f t="shared" si="18"/>
        <v>1.40433001755413</v>
      </c>
      <c r="AH173" s="4">
        <f t="shared" si="19"/>
        <v>0.117027501462844</v>
      </c>
    </row>
    <row r="174" spans="1:34">
      <c r="A174" s="2">
        <v>20260110</v>
      </c>
      <c r="B174" s="2" t="s">
        <v>394</v>
      </c>
      <c r="C174" s="2" t="s">
        <v>395</v>
      </c>
      <c r="D174" s="2">
        <v>0</v>
      </c>
      <c r="E174" s="2">
        <v>5</v>
      </c>
      <c r="F174" s="2">
        <v>4</v>
      </c>
      <c r="G174" s="2">
        <v>27</v>
      </c>
      <c r="H174" s="2">
        <v>29</v>
      </c>
      <c r="I174" s="3">
        <v>50</v>
      </c>
      <c r="J174" s="2">
        <v>39</v>
      </c>
      <c r="K174" s="2">
        <v>5</v>
      </c>
      <c r="L174" s="2">
        <v>1</v>
      </c>
      <c r="M174" s="2">
        <v>8</v>
      </c>
      <c r="N174" s="2">
        <v>17</v>
      </c>
      <c r="O174" s="2">
        <v>1</v>
      </c>
      <c r="P174" s="3">
        <v>62</v>
      </c>
      <c r="Q174" s="2">
        <v>3</v>
      </c>
      <c r="R174" s="2">
        <v>67</v>
      </c>
      <c r="S174" s="2">
        <v>16</v>
      </c>
      <c r="T174" s="2">
        <v>81</v>
      </c>
      <c r="U174" s="2">
        <v>2</v>
      </c>
      <c r="V174" s="2">
        <f t="shared" si="20"/>
        <v>299</v>
      </c>
      <c r="W174" s="2">
        <v>3</v>
      </c>
      <c r="X174" s="2">
        <v>0</v>
      </c>
      <c r="Y174" s="2">
        <v>0</v>
      </c>
      <c r="Z174" s="2">
        <f t="shared" si="21"/>
        <v>5</v>
      </c>
      <c r="AA174" s="2">
        <f t="shared" si="15"/>
        <v>304</v>
      </c>
      <c r="AB174" s="2">
        <v>6275</v>
      </c>
      <c r="AC174" s="20">
        <f t="shared" si="16"/>
        <v>4.84462151394422</v>
      </c>
      <c r="AD174" s="2" t="s">
        <v>58</v>
      </c>
      <c r="AE174" s="2">
        <v>100</v>
      </c>
      <c r="AF174" s="21">
        <f t="shared" si="17"/>
        <v>9.10788844621514</v>
      </c>
      <c r="AG174" s="4">
        <f t="shared" si="18"/>
        <v>4.76494023904382</v>
      </c>
      <c r="AH174" s="4">
        <f t="shared" si="19"/>
        <v>0.0796812749003984</v>
      </c>
    </row>
    <row r="175" spans="1:34">
      <c r="A175" s="2">
        <v>20260110</v>
      </c>
      <c r="B175" s="2" t="s">
        <v>396</v>
      </c>
      <c r="C175" s="2" t="s">
        <v>397</v>
      </c>
      <c r="D175" s="2">
        <v>0</v>
      </c>
      <c r="E175" s="2">
        <v>1</v>
      </c>
      <c r="F175" s="2">
        <v>2</v>
      </c>
      <c r="G175" s="2">
        <v>2</v>
      </c>
      <c r="H175" s="2">
        <v>4</v>
      </c>
      <c r="I175" s="3">
        <v>26</v>
      </c>
      <c r="J175" s="2">
        <v>8</v>
      </c>
      <c r="K175" s="2">
        <v>5</v>
      </c>
      <c r="L175" s="2">
        <v>0</v>
      </c>
      <c r="M175" s="2">
        <v>10</v>
      </c>
      <c r="N175" s="2">
        <v>5</v>
      </c>
      <c r="O175" s="2">
        <v>0</v>
      </c>
      <c r="P175" s="3">
        <v>16</v>
      </c>
      <c r="Q175" s="2">
        <v>0</v>
      </c>
      <c r="R175" s="2">
        <v>36</v>
      </c>
      <c r="S175" s="2">
        <v>2</v>
      </c>
      <c r="T175" s="2">
        <v>4</v>
      </c>
      <c r="U175" s="2">
        <v>2</v>
      </c>
      <c r="V175" s="2">
        <f t="shared" si="20"/>
        <v>73</v>
      </c>
      <c r="W175" s="2">
        <v>2</v>
      </c>
      <c r="X175" s="2">
        <v>0</v>
      </c>
      <c r="Y175" s="2">
        <v>0</v>
      </c>
      <c r="Z175" s="2">
        <f t="shared" si="21"/>
        <v>4</v>
      </c>
      <c r="AA175" s="2">
        <f t="shared" si="15"/>
        <v>77</v>
      </c>
      <c r="AB175" s="2">
        <v>3209</v>
      </c>
      <c r="AC175" s="20">
        <f t="shared" si="16"/>
        <v>2.39950140230601</v>
      </c>
      <c r="AD175" s="2" t="s">
        <v>58</v>
      </c>
      <c r="AE175" s="2">
        <v>100</v>
      </c>
      <c r="AF175" s="21">
        <f t="shared" si="17"/>
        <v>4.51106263633531</v>
      </c>
      <c r="AG175" s="4">
        <f t="shared" si="18"/>
        <v>2.2748519788096</v>
      </c>
      <c r="AH175" s="4">
        <f t="shared" si="19"/>
        <v>0.124649423496416</v>
      </c>
    </row>
    <row r="176" spans="1:34">
      <c r="A176" s="2">
        <v>20260111</v>
      </c>
      <c r="B176" s="2" t="s">
        <v>398</v>
      </c>
      <c r="C176" s="2" t="s">
        <v>399</v>
      </c>
      <c r="D176" s="2">
        <v>0</v>
      </c>
      <c r="E176" s="2">
        <v>4</v>
      </c>
      <c r="F176" s="2">
        <v>0</v>
      </c>
      <c r="G176" s="2">
        <v>2</v>
      </c>
      <c r="H176" s="2">
        <v>13</v>
      </c>
      <c r="I176" s="3">
        <v>14</v>
      </c>
      <c r="J176" s="2">
        <v>20</v>
      </c>
      <c r="K176" s="2">
        <v>3</v>
      </c>
      <c r="L176" s="2">
        <v>0</v>
      </c>
      <c r="M176" s="2">
        <v>25</v>
      </c>
      <c r="N176" s="2">
        <v>6</v>
      </c>
      <c r="O176" s="2">
        <v>0</v>
      </c>
      <c r="P176" s="3">
        <v>42</v>
      </c>
      <c r="Q176" s="2">
        <v>3</v>
      </c>
      <c r="R176" s="2">
        <v>44</v>
      </c>
      <c r="S176" s="2">
        <v>3</v>
      </c>
      <c r="T176" s="2">
        <v>12</v>
      </c>
      <c r="U176" s="2">
        <v>1</v>
      </c>
      <c r="V176" s="2">
        <f t="shared" si="20"/>
        <v>121</v>
      </c>
      <c r="W176" s="2">
        <v>5</v>
      </c>
      <c r="X176" s="2">
        <v>5</v>
      </c>
      <c r="Y176" s="2">
        <v>0</v>
      </c>
      <c r="Z176" s="2">
        <f t="shared" si="21"/>
        <v>11</v>
      </c>
      <c r="AA176" s="2">
        <f t="shared" si="15"/>
        <v>132</v>
      </c>
      <c r="AB176" s="2">
        <v>2215</v>
      </c>
      <c r="AC176" s="20">
        <f t="shared" si="16"/>
        <v>5.95936794582393</v>
      </c>
      <c r="AD176" s="2" t="s">
        <v>41</v>
      </c>
      <c r="AE176" s="2">
        <v>125</v>
      </c>
      <c r="AF176" s="21">
        <f t="shared" si="17"/>
        <v>8.96288939051919</v>
      </c>
      <c r="AG176" s="4">
        <f t="shared" si="18"/>
        <v>5.4627539503386</v>
      </c>
      <c r="AH176" s="4">
        <f t="shared" si="19"/>
        <v>0.496613995485327</v>
      </c>
    </row>
    <row r="177" spans="1:34">
      <c r="A177" s="2">
        <v>20260111</v>
      </c>
      <c r="B177" s="2" t="s">
        <v>400</v>
      </c>
      <c r="C177" s="2" t="s">
        <v>401</v>
      </c>
      <c r="D177" s="2">
        <v>1</v>
      </c>
      <c r="E177" s="2">
        <v>3</v>
      </c>
      <c r="F177" s="2">
        <v>4</v>
      </c>
      <c r="G177" s="2">
        <v>21</v>
      </c>
      <c r="H177" s="2">
        <v>30</v>
      </c>
      <c r="I177" s="3">
        <v>25</v>
      </c>
      <c r="J177" s="2">
        <v>20</v>
      </c>
      <c r="K177" s="2">
        <v>3</v>
      </c>
      <c r="L177" s="2">
        <v>3</v>
      </c>
      <c r="M177" s="2">
        <v>12</v>
      </c>
      <c r="N177" s="2">
        <v>0</v>
      </c>
      <c r="O177" s="2">
        <v>0</v>
      </c>
      <c r="P177" s="3">
        <v>52</v>
      </c>
      <c r="Q177" s="2">
        <v>1</v>
      </c>
      <c r="R177" s="2">
        <v>48</v>
      </c>
      <c r="S177" s="2">
        <v>13</v>
      </c>
      <c r="T177" s="2">
        <v>23</v>
      </c>
      <c r="U177" s="2">
        <v>0</v>
      </c>
      <c r="V177" s="2">
        <f t="shared" si="20"/>
        <v>176</v>
      </c>
      <c r="W177" s="2">
        <v>1</v>
      </c>
      <c r="X177" s="2">
        <v>12</v>
      </c>
      <c r="Y177" s="2">
        <v>0</v>
      </c>
      <c r="Z177" s="2">
        <f t="shared" si="21"/>
        <v>13</v>
      </c>
      <c r="AA177" s="2">
        <f t="shared" si="15"/>
        <v>189</v>
      </c>
      <c r="AB177" s="2">
        <v>3763</v>
      </c>
      <c r="AC177" s="20">
        <f t="shared" si="16"/>
        <v>5.02258836035078</v>
      </c>
      <c r="AD177" s="2" t="s">
        <v>41</v>
      </c>
      <c r="AE177" s="2">
        <v>125</v>
      </c>
      <c r="AF177" s="21">
        <f t="shared" si="17"/>
        <v>7.55397289396758</v>
      </c>
      <c r="AG177" s="4">
        <f t="shared" si="18"/>
        <v>4.67711931969174</v>
      </c>
      <c r="AH177" s="4">
        <f t="shared" si="19"/>
        <v>0.345469040659049</v>
      </c>
    </row>
    <row r="178" spans="1:34">
      <c r="A178" s="2">
        <v>20260111</v>
      </c>
      <c r="B178" s="2" t="s">
        <v>402</v>
      </c>
      <c r="C178" s="2" t="s">
        <v>403</v>
      </c>
      <c r="D178" s="2">
        <v>3</v>
      </c>
      <c r="E178" s="2">
        <v>4</v>
      </c>
      <c r="F178" s="2">
        <v>19</v>
      </c>
      <c r="G178" s="2">
        <v>20</v>
      </c>
      <c r="H178" s="2">
        <v>17</v>
      </c>
      <c r="I178" s="3">
        <v>22</v>
      </c>
      <c r="J178" s="2">
        <v>18</v>
      </c>
      <c r="K178" s="2">
        <v>15</v>
      </c>
      <c r="L178" s="2">
        <v>0</v>
      </c>
      <c r="M178" s="2">
        <v>27</v>
      </c>
      <c r="N178" s="2">
        <v>16</v>
      </c>
      <c r="O178" s="2">
        <v>49</v>
      </c>
      <c r="P178" s="3">
        <v>64</v>
      </c>
      <c r="Q178" s="2">
        <v>16</v>
      </c>
      <c r="R178" s="2">
        <v>34</v>
      </c>
      <c r="S178" s="2">
        <v>10</v>
      </c>
      <c r="T178" s="2">
        <v>33</v>
      </c>
      <c r="U178" s="2">
        <v>1</v>
      </c>
      <c r="V178" s="2">
        <f t="shared" si="20"/>
        <v>209</v>
      </c>
      <c r="W178" s="2">
        <v>1</v>
      </c>
      <c r="X178" s="2">
        <v>6</v>
      </c>
      <c r="Y178" s="2">
        <v>0</v>
      </c>
      <c r="Z178" s="2">
        <f t="shared" si="21"/>
        <v>8</v>
      </c>
      <c r="AA178" s="2">
        <f t="shared" si="15"/>
        <v>217</v>
      </c>
      <c r="AB178" s="2">
        <v>4532</v>
      </c>
      <c r="AC178" s="20">
        <f t="shared" si="16"/>
        <v>4.78817299205649</v>
      </c>
      <c r="AD178" s="2" t="s">
        <v>41</v>
      </c>
      <c r="AE178" s="2">
        <v>125</v>
      </c>
      <c r="AF178" s="21">
        <f t="shared" si="17"/>
        <v>7.20141218005296</v>
      </c>
      <c r="AG178" s="4">
        <f t="shared" si="18"/>
        <v>4.61165048543689</v>
      </c>
      <c r="AH178" s="4">
        <f t="shared" si="19"/>
        <v>0.176522506619594</v>
      </c>
    </row>
    <row r="179" spans="1:34">
      <c r="A179" s="2">
        <v>20260111</v>
      </c>
      <c r="B179" s="2" t="s">
        <v>404</v>
      </c>
      <c r="C179" s="2" t="s">
        <v>405</v>
      </c>
      <c r="D179" s="2">
        <v>2</v>
      </c>
      <c r="E179" s="2">
        <v>42</v>
      </c>
      <c r="F179" s="2">
        <v>31</v>
      </c>
      <c r="G179" s="2">
        <v>37</v>
      </c>
      <c r="H179" s="2">
        <v>35</v>
      </c>
      <c r="I179" s="3">
        <v>20</v>
      </c>
      <c r="J179" s="2">
        <v>55</v>
      </c>
      <c r="K179" s="2">
        <v>5</v>
      </c>
      <c r="L179" s="2">
        <v>2</v>
      </c>
      <c r="M179" s="2">
        <v>25</v>
      </c>
      <c r="N179" s="2">
        <v>35</v>
      </c>
      <c r="O179" s="2">
        <v>44</v>
      </c>
      <c r="P179" s="3">
        <v>55</v>
      </c>
      <c r="Q179" s="2">
        <v>11</v>
      </c>
      <c r="R179" s="2">
        <v>36</v>
      </c>
      <c r="S179" s="2">
        <v>24</v>
      </c>
      <c r="T179" s="2">
        <v>49</v>
      </c>
      <c r="U179" s="2">
        <v>0</v>
      </c>
      <c r="V179" s="2">
        <f t="shared" si="20"/>
        <v>274</v>
      </c>
      <c r="W179" s="2">
        <v>3</v>
      </c>
      <c r="X179" s="2">
        <v>6</v>
      </c>
      <c r="Y179" s="2">
        <v>0</v>
      </c>
      <c r="Z179" s="2">
        <f t="shared" si="21"/>
        <v>9</v>
      </c>
      <c r="AA179" s="2">
        <f t="shared" si="15"/>
        <v>283</v>
      </c>
      <c r="AB179" s="2">
        <v>4652</v>
      </c>
      <c r="AC179" s="20">
        <f t="shared" si="16"/>
        <v>6.08340498710232</v>
      </c>
      <c r="AD179" s="2" t="s">
        <v>41</v>
      </c>
      <c r="AE179" s="2">
        <v>125</v>
      </c>
      <c r="AF179" s="21">
        <f t="shared" si="17"/>
        <v>9.14944110060189</v>
      </c>
      <c r="AG179" s="4">
        <f t="shared" si="18"/>
        <v>5.88993981083405</v>
      </c>
      <c r="AH179" s="4">
        <f t="shared" si="19"/>
        <v>0.193465176268272</v>
      </c>
    </row>
    <row r="180" spans="1:34">
      <c r="A180" s="2">
        <v>20260111</v>
      </c>
      <c r="B180" s="2" t="s">
        <v>406</v>
      </c>
      <c r="C180" s="2" t="s">
        <v>407</v>
      </c>
      <c r="D180" s="2">
        <v>6</v>
      </c>
      <c r="E180" s="2">
        <v>4</v>
      </c>
      <c r="F180" s="2">
        <v>18</v>
      </c>
      <c r="G180" s="2">
        <v>28</v>
      </c>
      <c r="H180" s="2">
        <v>17</v>
      </c>
      <c r="I180" s="3">
        <v>25</v>
      </c>
      <c r="J180" s="2">
        <v>32</v>
      </c>
      <c r="K180" s="2">
        <v>26</v>
      </c>
      <c r="L180" s="2">
        <v>2</v>
      </c>
      <c r="M180" s="2">
        <v>17</v>
      </c>
      <c r="N180" s="2">
        <v>12</v>
      </c>
      <c r="O180" s="2">
        <v>37</v>
      </c>
      <c r="P180" s="3">
        <v>57</v>
      </c>
      <c r="Q180" s="2">
        <v>12</v>
      </c>
      <c r="R180" s="2">
        <v>27</v>
      </c>
      <c r="S180" s="2">
        <v>10</v>
      </c>
      <c r="T180" s="2">
        <v>26</v>
      </c>
      <c r="U180" s="2">
        <v>3</v>
      </c>
      <c r="V180" s="2">
        <f t="shared" si="20"/>
        <v>221</v>
      </c>
      <c r="W180" s="2">
        <v>4</v>
      </c>
      <c r="X180" s="2">
        <v>5</v>
      </c>
      <c r="Y180" s="2">
        <v>0</v>
      </c>
      <c r="Z180" s="2">
        <f t="shared" si="21"/>
        <v>12</v>
      </c>
      <c r="AA180" s="2">
        <f t="shared" si="15"/>
        <v>233</v>
      </c>
      <c r="AB180" s="2">
        <v>4412</v>
      </c>
      <c r="AC180" s="20">
        <f t="shared" si="16"/>
        <v>5.28105167724388</v>
      </c>
      <c r="AD180" s="2" t="s">
        <v>41</v>
      </c>
      <c r="AE180" s="2">
        <v>125</v>
      </c>
      <c r="AF180" s="21">
        <f t="shared" si="17"/>
        <v>7.9427017225748</v>
      </c>
      <c r="AG180" s="4">
        <f t="shared" si="18"/>
        <v>5.0090661831369</v>
      </c>
      <c r="AH180" s="4">
        <f t="shared" si="19"/>
        <v>0.271985494106981</v>
      </c>
    </row>
    <row r="181" spans="1:34">
      <c r="A181" s="2">
        <v>20260111</v>
      </c>
      <c r="B181" s="2" t="s">
        <v>408</v>
      </c>
      <c r="C181" s="2" t="s">
        <v>409</v>
      </c>
      <c r="D181" s="2">
        <v>1</v>
      </c>
      <c r="E181" s="2">
        <v>3</v>
      </c>
      <c r="F181" s="2">
        <v>11</v>
      </c>
      <c r="G181" s="2">
        <v>21</v>
      </c>
      <c r="H181" s="2">
        <v>11</v>
      </c>
      <c r="I181" s="3">
        <v>35</v>
      </c>
      <c r="J181" s="2">
        <v>41</v>
      </c>
      <c r="K181" s="2">
        <v>2</v>
      </c>
      <c r="L181" s="2">
        <v>0</v>
      </c>
      <c r="M181" s="2">
        <v>17</v>
      </c>
      <c r="N181" s="2">
        <v>19</v>
      </c>
      <c r="O181" s="2">
        <v>6</v>
      </c>
      <c r="P181" s="3">
        <v>59</v>
      </c>
      <c r="Q181" s="2">
        <v>17</v>
      </c>
      <c r="R181" s="2">
        <v>32</v>
      </c>
      <c r="S181" s="2">
        <v>13</v>
      </c>
      <c r="T181" s="2">
        <v>21</v>
      </c>
      <c r="U181" s="2">
        <v>1</v>
      </c>
      <c r="V181" s="2">
        <f t="shared" si="20"/>
        <v>200</v>
      </c>
      <c r="W181" s="2">
        <v>1</v>
      </c>
      <c r="X181" s="2">
        <v>6</v>
      </c>
      <c r="Y181" s="2">
        <v>0</v>
      </c>
      <c r="Z181" s="2">
        <f t="shared" si="21"/>
        <v>8</v>
      </c>
      <c r="AA181" s="2">
        <f t="shared" si="15"/>
        <v>208</v>
      </c>
      <c r="AB181" s="2">
        <v>4922</v>
      </c>
      <c r="AC181" s="20">
        <f t="shared" si="16"/>
        <v>4.22592442096709</v>
      </c>
      <c r="AD181" s="2" t="s">
        <v>41</v>
      </c>
      <c r="AE181" s="2">
        <v>125</v>
      </c>
      <c r="AF181" s="21">
        <f t="shared" si="17"/>
        <v>6.3557903291345</v>
      </c>
      <c r="AG181" s="4">
        <f t="shared" si="18"/>
        <v>4.06338886631451</v>
      </c>
      <c r="AH181" s="4">
        <f t="shared" si="19"/>
        <v>0.16253555465258</v>
      </c>
    </row>
    <row r="182" spans="1:34">
      <c r="A182" s="2">
        <v>20260111</v>
      </c>
      <c r="B182" s="2" t="s">
        <v>410</v>
      </c>
      <c r="C182" s="2" t="s">
        <v>411</v>
      </c>
      <c r="D182" s="2">
        <v>0</v>
      </c>
      <c r="E182" s="2">
        <v>2</v>
      </c>
      <c r="F182" s="2">
        <v>7</v>
      </c>
      <c r="G182" s="2">
        <v>5</v>
      </c>
      <c r="H182" s="2">
        <v>4</v>
      </c>
      <c r="I182" s="3">
        <v>24</v>
      </c>
      <c r="J182" s="2">
        <v>20</v>
      </c>
      <c r="K182" s="2">
        <v>2</v>
      </c>
      <c r="L182" s="2">
        <v>0</v>
      </c>
      <c r="M182" s="2">
        <v>6</v>
      </c>
      <c r="N182" s="2">
        <v>22</v>
      </c>
      <c r="O182" s="2">
        <v>4</v>
      </c>
      <c r="P182" s="3">
        <v>25</v>
      </c>
      <c r="Q182" s="2">
        <v>6</v>
      </c>
      <c r="R182" s="2">
        <v>17</v>
      </c>
      <c r="S182" s="2">
        <v>2</v>
      </c>
      <c r="T182" s="2">
        <v>9</v>
      </c>
      <c r="U182" s="2">
        <v>2</v>
      </c>
      <c r="V182" s="2">
        <f t="shared" si="20"/>
        <v>83</v>
      </c>
      <c r="W182" s="2">
        <v>4</v>
      </c>
      <c r="X182" s="2">
        <v>8</v>
      </c>
      <c r="Y182" s="2">
        <v>0</v>
      </c>
      <c r="Z182" s="2">
        <f t="shared" si="21"/>
        <v>14</v>
      </c>
      <c r="AA182" s="2">
        <f t="shared" si="15"/>
        <v>97</v>
      </c>
      <c r="AB182" s="2">
        <v>2205</v>
      </c>
      <c r="AC182" s="20">
        <f t="shared" si="16"/>
        <v>4.39909297052154</v>
      </c>
      <c r="AD182" s="2" t="s">
        <v>44</v>
      </c>
      <c r="AE182" s="2">
        <v>125</v>
      </c>
      <c r="AF182" s="21">
        <f t="shared" si="17"/>
        <v>6.6162358276644</v>
      </c>
      <c r="AG182" s="4">
        <f t="shared" si="18"/>
        <v>3.76417233560091</v>
      </c>
      <c r="AH182" s="4">
        <f t="shared" si="19"/>
        <v>0.634920634920635</v>
      </c>
    </row>
    <row r="183" spans="1:34">
      <c r="A183" s="2">
        <v>20260111</v>
      </c>
      <c r="B183" s="2" t="s">
        <v>412</v>
      </c>
      <c r="C183" s="2" t="s">
        <v>413</v>
      </c>
      <c r="D183" s="2">
        <v>2</v>
      </c>
      <c r="E183" s="2">
        <v>7</v>
      </c>
      <c r="F183" s="2">
        <v>6</v>
      </c>
      <c r="G183" s="2">
        <v>13</v>
      </c>
      <c r="H183" s="2">
        <v>9</v>
      </c>
      <c r="I183" s="3">
        <v>28</v>
      </c>
      <c r="J183" s="2">
        <v>38</v>
      </c>
      <c r="K183" s="2">
        <v>8</v>
      </c>
      <c r="L183" s="2">
        <v>4</v>
      </c>
      <c r="M183" s="2">
        <v>23</v>
      </c>
      <c r="N183" s="2">
        <v>26</v>
      </c>
      <c r="O183" s="2">
        <v>9</v>
      </c>
      <c r="P183" s="3">
        <v>49</v>
      </c>
      <c r="Q183" s="2">
        <v>10</v>
      </c>
      <c r="R183" s="2">
        <v>36</v>
      </c>
      <c r="S183" s="2">
        <v>8</v>
      </c>
      <c r="T183" s="2">
        <v>16</v>
      </c>
      <c r="U183" s="2">
        <v>0</v>
      </c>
      <c r="V183" s="2">
        <f t="shared" si="20"/>
        <v>179</v>
      </c>
      <c r="W183" s="2">
        <v>7</v>
      </c>
      <c r="X183" s="2">
        <v>2</v>
      </c>
      <c r="Y183" s="2">
        <v>0</v>
      </c>
      <c r="Z183" s="2">
        <f t="shared" si="21"/>
        <v>9</v>
      </c>
      <c r="AA183" s="2">
        <f t="shared" si="15"/>
        <v>188</v>
      </c>
      <c r="AB183" s="2">
        <v>4259</v>
      </c>
      <c r="AC183" s="20">
        <f t="shared" si="16"/>
        <v>4.41418173280113</v>
      </c>
      <c r="AD183" s="2" t="s">
        <v>44</v>
      </c>
      <c r="AE183" s="2">
        <v>125</v>
      </c>
      <c r="AF183" s="21">
        <f t="shared" si="17"/>
        <v>6.6389293261329</v>
      </c>
      <c r="AG183" s="4">
        <f t="shared" si="18"/>
        <v>4.20286452218831</v>
      </c>
      <c r="AH183" s="4">
        <f t="shared" si="19"/>
        <v>0.21131721061282</v>
      </c>
    </row>
    <row r="184" spans="1:34">
      <c r="A184" s="2">
        <v>20260111</v>
      </c>
      <c r="B184" s="2" t="s">
        <v>414</v>
      </c>
      <c r="C184" s="2" t="s">
        <v>415</v>
      </c>
      <c r="D184" s="2">
        <v>9</v>
      </c>
      <c r="E184" s="2">
        <v>3</v>
      </c>
      <c r="F184" s="2">
        <v>8</v>
      </c>
      <c r="G184" s="2">
        <v>2</v>
      </c>
      <c r="H184" s="2">
        <v>11</v>
      </c>
      <c r="I184" s="3">
        <v>27</v>
      </c>
      <c r="J184" s="2">
        <v>9</v>
      </c>
      <c r="K184" s="2">
        <v>111</v>
      </c>
      <c r="L184" s="2">
        <v>1</v>
      </c>
      <c r="M184" s="2">
        <v>13</v>
      </c>
      <c r="N184" s="2">
        <v>23</v>
      </c>
      <c r="O184" s="2">
        <v>77</v>
      </c>
      <c r="P184" s="3">
        <v>35</v>
      </c>
      <c r="Q184" s="2">
        <v>14</v>
      </c>
      <c r="R184" s="2">
        <v>29</v>
      </c>
      <c r="S184" s="2">
        <v>2</v>
      </c>
      <c r="T184" s="2">
        <v>11</v>
      </c>
      <c r="U184" s="2">
        <v>0</v>
      </c>
      <c r="V184" s="2">
        <f t="shared" si="20"/>
        <v>194</v>
      </c>
      <c r="W184" s="2">
        <v>8</v>
      </c>
      <c r="X184" s="2">
        <v>18</v>
      </c>
      <c r="Y184" s="2">
        <v>0</v>
      </c>
      <c r="Z184" s="2">
        <f t="shared" si="21"/>
        <v>26</v>
      </c>
      <c r="AA184" s="2">
        <f t="shared" si="15"/>
        <v>220</v>
      </c>
      <c r="AB184" s="2">
        <v>2452</v>
      </c>
      <c r="AC184" s="20">
        <f t="shared" si="16"/>
        <v>8.97226753670473</v>
      </c>
      <c r="AD184" s="2" t="s">
        <v>44</v>
      </c>
      <c r="AE184" s="2">
        <v>125</v>
      </c>
      <c r="AF184" s="21">
        <f t="shared" si="17"/>
        <v>13.4942903752039</v>
      </c>
      <c r="AG184" s="4">
        <f t="shared" si="18"/>
        <v>7.91190864600326</v>
      </c>
      <c r="AH184" s="4">
        <f t="shared" si="19"/>
        <v>1.06035889070147</v>
      </c>
    </row>
    <row r="185" spans="1:34">
      <c r="A185" s="2">
        <v>20260111</v>
      </c>
      <c r="B185" s="2" t="s">
        <v>416</v>
      </c>
      <c r="C185" s="2" t="s">
        <v>417</v>
      </c>
      <c r="D185" s="2">
        <v>1</v>
      </c>
      <c r="E185" s="2">
        <v>9</v>
      </c>
      <c r="F185" s="2">
        <v>7</v>
      </c>
      <c r="G185" s="2">
        <v>2</v>
      </c>
      <c r="H185" s="2">
        <v>5</v>
      </c>
      <c r="I185" s="3">
        <v>15</v>
      </c>
      <c r="J185" s="2">
        <v>19</v>
      </c>
      <c r="K185" s="2">
        <v>6</v>
      </c>
      <c r="L185" s="2">
        <v>1</v>
      </c>
      <c r="M185" s="2">
        <v>2</v>
      </c>
      <c r="N185" s="2">
        <v>45</v>
      </c>
      <c r="O185" s="2">
        <v>7</v>
      </c>
      <c r="P185" s="3">
        <v>15</v>
      </c>
      <c r="Q185" s="2">
        <v>8</v>
      </c>
      <c r="R185" s="2">
        <v>1245</v>
      </c>
      <c r="S185" s="2">
        <v>3</v>
      </c>
      <c r="T185" s="2">
        <v>4</v>
      </c>
      <c r="U185" s="2">
        <v>0</v>
      </c>
      <c r="V185" s="2">
        <f t="shared" si="20"/>
        <v>64</v>
      </c>
      <c r="W185" s="2">
        <v>2</v>
      </c>
      <c r="X185" s="2">
        <v>3</v>
      </c>
      <c r="Y185" s="2">
        <v>0</v>
      </c>
      <c r="Z185" s="2">
        <f t="shared" si="21"/>
        <v>5</v>
      </c>
      <c r="AA185" s="2">
        <f t="shared" si="15"/>
        <v>69</v>
      </c>
      <c r="AB185" s="2">
        <v>2561</v>
      </c>
      <c r="AC185" s="20">
        <f t="shared" si="16"/>
        <v>2.69426005466615</v>
      </c>
      <c r="AD185" s="2" t="s">
        <v>44</v>
      </c>
      <c r="AE185" s="2">
        <v>125</v>
      </c>
      <c r="AF185" s="21">
        <f t="shared" si="17"/>
        <v>4.05216712221788</v>
      </c>
      <c r="AG185" s="4">
        <f t="shared" si="18"/>
        <v>2.49902381882077</v>
      </c>
      <c r="AH185" s="4">
        <f t="shared" si="19"/>
        <v>0.195236235845373</v>
      </c>
    </row>
    <row r="186" spans="1:34">
      <c r="A186" s="2">
        <v>20260111</v>
      </c>
      <c r="B186" s="2" t="s">
        <v>418</v>
      </c>
      <c r="C186" s="2" t="s">
        <v>419</v>
      </c>
      <c r="D186" s="2">
        <v>8</v>
      </c>
      <c r="E186" s="2">
        <v>10</v>
      </c>
      <c r="F186" s="2">
        <v>15</v>
      </c>
      <c r="G186" s="2">
        <v>3</v>
      </c>
      <c r="H186" s="2">
        <v>8</v>
      </c>
      <c r="I186" s="3">
        <v>24</v>
      </c>
      <c r="J186" s="2">
        <v>14</v>
      </c>
      <c r="K186" s="2">
        <v>10</v>
      </c>
      <c r="L186" s="2">
        <v>4</v>
      </c>
      <c r="M186" s="2">
        <v>11</v>
      </c>
      <c r="N186" s="2">
        <v>50</v>
      </c>
      <c r="O186" s="2">
        <v>44</v>
      </c>
      <c r="P186" s="3">
        <v>17</v>
      </c>
      <c r="Q186" s="2">
        <v>27</v>
      </c>
      <c r="R186" s="2">
        <v>506</v>
      </c>
      <c r="S186" s="2">
        <v>1</v>
      </c>
      <c r="T186" s="2">
        <v>12</v>
      </c>
      <c r="U186" s="2">
        <v>0</v>
      </c>
      <c r="V186" s="2">
        <f t="shared" si="20"/>
        <v>93</v>
      </c>
      <c r="W186" s="2">
        <v>3</v>
      </c>
      <c r="X186" s="2">
        <v>7</v>
      </c>
      <c r="Y186" s="2">
        <v>0</v>
      </c>
      <c r="Z186" s="2">
        <f t="shared" si="21"/>
        <v>10</v>
      </c>
      <c r="AA186" s="2">
        <f t="shared" si="15"/>
        <v>103</v>
      </c>
      <c r="AB186" s="2">
        <v>3459</v>
      </c>
      <c r="AC186" s="20">
        <f t="shared" si="16"/>
        <v>2.97773923099162</v>
      </c>
      <c r="AD186" s="2" t="s">
        <v>44</v>
      </c>
      <c r="AE186" s="2">
        <v>125</v>
      </c>
      <c r="AF186" s="21">
        <f t="shared" si="17"/>
        <v>4.47851980341139</v>
      </c>
      <c r="AG186" s="4">
        <f t="shared" si="18"/>
        <v>2.68863833477884</v>
      </c>
      <c r="AH186" s="4">
        <f t="shared" si="19"/>
        <v>0.289100896212778</v>
      </c>
    </row>
    <row r="187" spans="1:34">
      <c r="A187" s="2">
        <v>20260111</v>
      </c>
      <c r="B187" s="2" t="s">
        <v>420</v>
      </c>
      <c r="C187" s="2" t="s">
        <v>421</v>
      </c>
      <c r="D187" s="2">
        <v>1</v>
      </c>
      <c r="E187" s="2">
        <v>7</v>
      </c>
      <c r="F187" s="2">
        <v>8</v>
      </c>
      <c r="G187" s="2">
        <v>0</v>
      </c>
      <c r="H187" s="2">
        <v>8</v>
      </c>
      <c r="I187" s="3">
        <v>15</v>
      </c>
      <c r="J187" s="2">
        <v>18</v>
      </c>
      <c r="K187" s="2">
        <v>5</v>
      </c>
      <c r="L187" s="2">
        <v>2</v>
      </c>
      <c r="M187" s="2">
        <v>6</v>
      </c>
      <c r="N187" s="2">
        <v>28</v>
      </c>
      <c r="O187" s="2">
        <v>8</v>
      </c>
      <c r="P187" s="3">
        <v>21</v>
      </c>
      <c r="Q187" s="2">
        <v>7</v>
      </c>
      <c r="R187" s="2">
        <v>295</v>
      </c>
      <c r="S187" s="2">
        <v>9</v>
      </c>
      <c r="T187" s="2">
        <v>7</v>
      </c>
      <c r="U187" s="2">
        <v>1</v>
      </c>
      <c r="V187" s="2">
        <f t="shared" si="20"/>
        <v>72</v>
      </c>
      <c r="W187" s="2">
        <v>6</v>
      </c>
      <c r="X187" s="2">
        <v>4</v>
      </c>
      <c r="Y187" s="2">
        <v>0</v>
      </c>
      <c r="Z187" s="2">
        <f t="shared" si="21"/>
        <v>11</v>
      </c>
      <c r="AA187" s="2">
        <f t="shared" si="15"/>
        <v>83</v>
      </c>
      <c r="AB187" s="2">
        <v>4410</v>
      </c>
      <c r="AC187" s="20">
        <f t="shared" si="16"/>
        <v>1.88208616780045</v>
      </c>
      <c r="AD187" s="2" t="s">
        <v>44</v>
      </c>
      <c r="AE187" s="2">
        <v>125</v>
      </c>
      <c r="AF187" s="21">
        <f t="shared" si="17"/>
        <v>2.83065759637188</v>
      </c>
      <c r="AG187" s="4">
        <f t="shared" si="18"/>
        <v>1.63265306122449</v>
      </c>
      <c r="AH187" s="4">
        <f t="shared" si="19"/>
        <v>0.249433106575964</v>
      </c>
    </row>
    <row r="188" spans="1:34">
      <c r="A188" s="2">
        <v>20260112</v>
      </c>
      <c r="B188" s="2" t="s">
        <v>422</v>
      </c>
      <c r="C188" s="2" t="s">
        <v>423</v>
      </c>
      <c r="D188" s="2">
        <v>0</v>
      </c>
      <c r="E188" s="2">
        <v>4</v>
      </c>
      <c r="F188" s="2">
        <v>3</v>
      </c>
      <c r="G188" s="2">
        <v>1</v>
      </c>
      <c r="H188" s="2">
        <v>2</v>
      </c>
      <c r="I188" s="3">
        <v>9</v>
      </c>
      <c r="J188" s="2">
        <v>10</v>
      </c>
      <c r="K188" s="2">
        <v>2</v>
      </c>
      <c r="L188" s="2">
        <v>0</v>
      </c>
      <c r="M188" s="2">
        <v>4</v>
      </c>
      <c r="N188" s="2">
        <v>33</v>
      </c>
      <c r="O188" s="2">
        <v>3</v>
      </c>
      <c r="P188" s="3">
        <v>9</v>
      </c>
      <c r="Q188" s="2">
        <v>12</v>
      </c>
      <c r="R188" s="2">
        <v>84</v>
      </c>
      <c r="S188" s="2">
        <v>2</v>
      </c>
      <c r="T188" s="2">
        <v>0</v>
      </c>
      <c r="U188" s="2">
        <v>0</v>
      </c>
      <c r="V188" s="2">
        <f t="shared" si="20"/>
        <v>36</v>
      </c>
      <c r="W188" s="2">
        <v>0</v>
      </c>
      <c r="X188" s="2">
        <v>1</v>
      </c>
      <c r="Y188" s="2">
        <v>0</v>
      </c>
      <c r="Z188" s="2">
        <f t="shared" si="21"/>
        <v>1</v>
      </c>
      <c r="AA188" s="2">
        <f t="shared" si="15"/>
        <v>37</v>
      </c>
      <c r="AB188" s="2">
        <v>2342</v>
      </c>
      <c r="AC188" s="20">
        <f t="shared" si="16"/>
        <v>1.5798462852263</v>
      </c>
      <c r="AD188" s="2" t="s">
        <v>44</v>
      </c>
      <c r="AE188" s="2">
        <v>125</v>
      </c>
      <c r="AF188" s="21">
        <f t="shared" si="17"/>
        <v>2.37608881298036</v>
      </c>
      <c r="AG188" s="4">
        <f t="shared" si="18"/>
        <v>1.53714773697694</v>
      </c>
      <c r="AH188" s="4">
        <f t="shared" si="19"/>
        <v>0.0426985482493595</v>
      </c>
    </row>
    <row r="189" spans="1:34">
      <c r="A189" s="2">
        <v>20260112</v>
      </c>
      <c r="B189" s="2" t="s">
        <v>424</v>
      </c>
      <c r="C189" s="2" t="s">
        <v>425</v>
      </c>
      <c r="D189" s="2">
        <v>1</v>
      </c>
      <c r="E189" s="2">
        <v>1</v>
      </c>
      <c r="F189" s="2">
        <v>6</v>
      </c>
      <c r="G189" s="2">
        <v>10</v>
      </c>
      <c r="H189" s="2">
        <v>6</v>
      </c>
      <c r="I189" s="3">
        <v>19</v>
      </c>
      <c r="J189" s="2">
        <v>7</v>
      </c>
      <c r="K189" s="2">
        <v>11</v>
      </c>
      <c r="L189" s="2">
        <v>2</v>
      </c>
      <c r="M189" s="2">
        <v>10</v>
      </c>
      <c r="N189" s="2">
        <v>55</v>
      </c>
      <c r="O189" s="2">
        <v>3</v>
      </c>
      <c r="P189" s="3">
        <v>11</v>
      </c>
      <c r="Q189" s="2">
        <v>13</v>
      </c>
      <c r="R189" s="2">
        <v>117</v>
      </c>
      <c r="S189" s="2">
        <v>2</v>
      </c>
      <c r="T189" s="2">
        <v>4</v>
      </c>
      <c r="U189" s="2">
        <v>1</v>
      </c>
      <c r="V189" s="2">
        <f t="shared" si="20"/>
        <v>72</v>
      </c>
      <c r="W189" s="2">
        <v>3</v>
      </c>
      <c r="X189" s="2">
        <v>5</v>
      </c>
      <c r="Y189" s="2">
        <v>0</v>
      </c>
      <c r="Z189" s="2">
        <f t="shared" si="21"/>
        <v>9</v>
      </c>
      <c r="AA189" s="2">
        <f t="shared" si="15"/>
        <v>81</v>
      </c>
      <c r="AB189" s="2">
        <v>3398</v>
      </c>
      <c r="AC189" s="20">
        <f t="shared" si="16"/>
        <v>2.38375515008829</v>
      </c>
      <c r="AD189" s="2" t="s">
        <v>58</v>
      </c>
      <c r="AE189" s="2">
        <v>100</v>
      </c>
      <c r="AF189" s="21">
        <f t="shared" si="17"/>
        <v>4.48145968216598</v>
      </c>
      <c r="AG189" s="4">
        <f t="shared" si="18"/>
        <v>2.11889346674514</v>
      </c>
      <c r="AH189" s="4">
        <f t="shared" si="19"/>
        <v>0.264861683343143</v>
      </c>
    </row>
    <row r="190" spans="1:34">
      <c r="A190" s="2">
        <v>20260112</v>
      </c>
      <c r="B190" s="2" t="s">
        <v>426</v>
      </c>
      <c r="C190" s="2" t="s">
        <v>427</v>
      </c>
      <c r="D190" s="2">
        <v>0</v>
      </c>
      <c r="E190" s="2">
        <v>0</v>
      </c>
      <c r="F190" s="2">
        <v>1</v>
      </c>
      <c r="G190" s="2">
        <v>0</v>
      </c>
      <c r="H190" s="2">
        <v>6</v>
      </c>
      <c r="I190" s="3">
        <v>28</v>
      </c>
      <c r="J190" s="2">
        <v>10</v>
      </c>
      <c r="K190" s="2">
        <v>4</v>
      </c>
      <c r="L190" s="2">
        <v>2</v>
      </c>
      <c r="M190" s="2">
        <v>8</v>
      </c>
      <c r="N190" s="2">
        <v>40</v>
      </c>
      <c r="O190" s="2">
        <v>3</v>
      </c>
      <c r="P190" s="3">
        <v>12</v>
      </c>
      <c r="Q190" s="2">
        <v>1</v>
      </c>
      <c r="R190" s="2">
        <v>83</v>
      </c>
      <c r="S190" s="2">
        <v>4</v>
      </c>
      <c r="T190" s="2">
        <v>1</v>
      </c>
      <c r="U190" s="2">
        <v>0</v>
      </c>
      <c r="V190" s="2">
        <f t="shared" si="20"/>
        <v>54</v>
      </c>
      <c r="W190" s="2">
        <v>4</v>
      </c>
      <c r="X190" s="2">
        <v>13</v>
      </c>
      <c r="Y190" s="2">
        <v>0</v>
      </c>
      <c r="Z190" s="2">
        <f t="shared" si="21"/>
        <v>17</v>
      </c>
      <c r="AA190" s="2">
        <f t="shared" si="15"/>
        <v>71</v>
      </c>
      <c r="AB190" s="2">
        <v>3219</v>
      </c>
      <c r="AC190" s="20">
        <f t="shared" si="16"/>
        <v>2.20565392979186</v>
      </c>
      <c r="AD190" s="2" t="s">
        <v>58</v>
      </c>
      <c r="AE190" s="2">
        <v>100</v>
      </c>
      <c r="AF190" s="21">
        <f t="shared" si="17"/>
        <v>4.1466293880087</v>
      </c>
      <c r="AG190" s="4">
        <f t="shared" si="18"/>
        <v>1.67753960857409</v>
      </c>
      <c r="AH190" s="4">
        <f t="shared" si="19"/>
        <v>0.528114321217769</v>
      </c>
    </row>
    <row r="191" spans="1:34">
      <c r="A191" s="2">
        <v>20260112</v>
      </c>
      <c r="B191" s="2" t="s">
        <v>428</v>
      </c>
      <c r="C191" s="2" t="s">
        <v>429</v>
      </c>
      <c r="D191" s="2">
        <v>3</v>
      </c>
      <c r="E191" s="2">
        <v>8</v>
      </c>
      <c r="F191" s="2">
        <v>15</v>
      </c>
      <c r="G191" s="2">
        <v>11</v>
      </c>
      <c r="H191" s="2">
        <v>9</v>
      </c>
      <c r="I191" s="3">
        <v>44</v>
      </c>
      <c r="J191" s="2">
        <v>25</v>
      </c>
      <c r="K191" s="2">
        <v>11</v>
      </c>
      <c r="L191" s="2">
        <v>2</v>
      </c>
      <c r="M191" s="2">
        <v>13</v>
      </c>
      <c r="N191" s="2">
        <v>70</v>
      </c>
      <c r="O191" s="2">
        <v>10</v>
      </c>
      <c r="P191" s="3">
        <v>14</v>
      </c>
      <c r="Q191" s="2">
        <v>16</v>
      </c>
      <c r="R191" s="2">
        <v>329</v>
      </c>
      <c r="S191" s="2">
        <v>8</v>
      </c>
      <c r="T191" s="2">
        <v>9</v>
      </c>
      <c r="U191" s="2">
        <v>2</v>
      </c>
      <c r="V191" s="2">
        <f t="shared" si="20"/>
        <v>134</v>
      </c>
      <c r="W191" s="2">
        <v>4</v>
      </c>
      <c r="X191" s="2">
        <v>0</v>
      </c>
      <c r="Y191" s="2">
        <v>0</v>
      </c>
      <c r="Z191" s="2">
        <f t="shared" si="21"/>
        <v>6</v>
      </c>
      <c r="AA191" s="2">
        <f t="shared" si="15"/>
        <v>140</v>
      </c>
      <c r="AB191" s="2">
        <v>6277</v>
      </c>
      <c r="AC191" s="20">
        <f t="shared" si="16"/>
        <v>2.23036482396049</v>
      </c>
      <c r="AD191" s="2" t="s">
        <v>58</v>
      </c>
      <c r="AE191" s="2">
        <v>100</v>
      </c>
      <c r="AF191" s="21">
        <f t="shared" si="17"/>
        <v>4.19308586904572</v>
      </c>
      <c r="AG191" s="4">
        <f t="shared" si="18"/>
        <v>2.13477776007647</v>
      </c>
      <c r="AH191" s="4">
        <f t="shared" si="19"/>
        <v>0.095587063884021</v>
      </c>
    </row>
    <row r="192" spans="1:34">
      <c r="A192" s="2">
        <v>20260112</v>
      </c>
      <c r="B192" s="2" t="s">
        <v>430</v>
      </c>
      <c r="C192" s="2" t="s">
        <v>431</v>
      </c>
      <c r="D192" s="2">
        <v>0</v>
      </c>
      <c r="E192" s="2">
        <v>5</v>
      </c>
      <c r="F192" s="2">
        <v>5</v>
      </c>
      <c r="G192" s="2">
        <v>3</v>
      </c>
      <c r="H192" s="2">
        <v>6</v>
      </c>
      <c r="I192" s="3">
        <v>22</v>
      </c>
      <c r="J192" s="2">
        <v>10</v>
      </c>
      <c r="K192" s="2">
        <v>3</v>
      </c>
      <c r="L192" s="2">
        <v>0</v>
      </c>
      <c r="M192" s="2">
        <v>15</v>
      </c>
      <c r="N192" s="2">
        <v>49</v>
      </c>
      <c r="O192" s="2">
        <v>3</v>
      </c>
      <c r="P192" s="3">
        <v>11</v>
      </c>
      <c r="Q192" s="2">
        <v>4</v>
      </c>
      <c r="R192" s="2">
        <v>77</v>
      </c>
      <c r="S192" s="2">
        <v>0</v>
      </c>
      <c r="T192" s="2">
        <v>3</v>
      </c>
      <c r="U192" s="2">
        <v>0</v>
      </c>
      <c r="V192" s="2">
        <f t="shared" si="20"/>
        <v>65</v>
      </c>
      <c r="W192" s="2">
        <v>3</v>
      </c>
      <c r="X192" s="2">
        <v>5</v>
      </c>
      <c r="Y192" s="2">
        <v>0</v>
      </c>
      <c r="Z192" s="2">
        <f t="shared" si="21"/>
        <v>8</v>
      </c>
      <c r="AA192" s="2">
        <f t="shared" si="15"/>
        <v>73</v>
      </c>
      <c r="AB192" s="2">
        <v>3219</v>
      </c>
      <c r="AC192" s="20">
        <f t="shared" si="16"/>
        <v>2.26778502640572</v>
      </c>
      <c r="AD192" s="2" t="s">
        <v>58</v>
      </c>
      <c r="AE192" s="2">
        <v>100</v>
      </c>
      <c r="AF192" s="21">
        <f t="shared" si="17"/>
        <v>4.26343584964275</v>
      </c>
      <c r="AG192" s="4">
        <f t="shared" si="18"/>
        <v>2.01926063995029</v>
      </c>
      <c r="AH192" s="4">
        <f t="shared" si="19"/>
        <v>0.248524386455421</v>
      </c>
    </row>
    <row r="193" spans="1:34">
      <c r="A193" s="2">
        <v>20260112</v>
      </c>
      <c r="B193" s="2" t="s">
        <v>432</v>
      </c>
      <c r="C193" s="2" t="s">
        <v>433</v>
      </c>
      <c r="D193" s="2">
        <v>0</v>
      </c>
      <c r="E193" s="2">
        <v>49</v>
      </c>
      <c r="F193" s="2">
        <v>0</v>
      </c>
      <c r="G193" s="2">
        <v>3</v>
      </c>
      <c r="H193" s="2">
        <v>5</v>
      </c>
      <c r="I193" s="2">
        <v>17</v>
      </c>
      <c r="J193" s="3">
        <v>6</v>
      </c>
      <c r="K193" s="2">
        <v>7</v>
      </c>
      <c r="L193" s="2">
        <v>5</v>
      </c>
      <c r="M193" s="2">
        <v>9</v>
      </c>
      <c r="N193" s="2">
        <v>7</v>
      </c>
      <c r="O193" s="2">
        <v>3</v>
      </c>
      <c r="P193" s="2">
        <v>22</v>
      </c>
      <c r="Q193" s="3">
        <v>2</v>
      </c>
      <c r="R193" s="2">
        <v>2</v>
      </c>
      <c r="S193" s="2">
        <v>0</v>
      </c>
      <c r="T193" s="2">
        <v>3</v>
      </c>
      <c r="U193" s="2">
        <v>1</v>
      </c>
      <c r="V193" s="2">
        <f t="shared" si="20"/>
        <v>75</v>
      </c>
      <c r="W193" s="2">
        <v>1</v>
      </c>
      <c r="X193" s="2">
        <v>1</v>
      </c>
      <c r="Y193" s="2">
        <v>0</v>
      </c>
      <c r="Z193" s="2">
        <f t="shared" si="21"/>
        <v>3</v>
      </c>
      <c r="AA193" s="2">
        <f t="shared" si="15"/>
        <v>78</v>
      </c>
      <c r="AB193" s="2">
        <v>2121</v>
      </c>
      <c r="AC193" s="20">
        <f t="shared" si="16"/>
        <v>3.67751060820368</v>
      </c>
      <c r="AD193" s="2" t="s">
        <v>257</v>
      </c>
      <c r="AE193" s="2">
        <v>100</v>
      </c>
      <c r="AF193" s="21">
        <f t="shared" si="17"/>
        <v>6.91371994342291</v>
      </c>
      <c r="AG193" s="4">
        <f t="shared" si="18"/>
        <v>3.53606789250354</v>
      </c>
      <c r="AH193" s="4">
        <f t="shared" si="19"/>
        <v>0.141442715700141</v>
      </c>
    </row>
    <row r="194" spans="1:34">
      <c r="A194" s="2">
        <v>20260112</v>
      </c>
      <c r="B194" s="2" t="s">
        <v>434</v>
      </c>
      <c r="C194" s="2" t="s">
        <v>435</v>
      </c>
      <c r="D194" s="2">
        <v>1</v>
      </c>
      <c r="E194" s="2">
        <v>3459</v>
      </c>
      <c r="F194" s="2">
        <v>6</v>
      </c>
      <c r="G194" s="2">
        <v>5</v>
      </c>
      <c r="H194" s="2">
        <v>31</v>
      </c>
      <c r="I194" s="3">
        <v>19</v>
      </c>
      <c r="J194" s="2">
        <v>86</v>
      </c>
      <c r="K194" s="2">
        <v>11</v>
      </c>
      <c r="L194" s="2">
        <v>5</v>
      </c>
      <c r="M194" s="2">
        <v>15</v>
      </c>
      <c r="N194" s="2">
        <v>18</v>
      </c>
      <c r="O194" s="2">
        <v>33</v>
      </c>
      <c r="P194" s="3">
        <v>22</v>
      </c>
      <c r="Q194" s="2">
        <v>8</v>
      </c>
      <c r="R194" s="2">
        <v>53</v>
      </c>
      <c r="S194" s="2">
        <v>1</v>
      </c>
      <c r="T194" s="2">
        <v>148</v>
      </c>
      <c r="U194" s="2">
        <v>2</v>
      </c>
      <c r="V194" s="2">
        <f t="shared" si="20"/>
        <v>342</v>
      </c>
      <c r="W194" s="2">
        <v>0</v>
      </c>
      <c r="X194" s="2">
        <v>0</v>
      </c>
      <c r="Y194" s="2">
        <v>0</v>
      </c>
      <c r="Z194" s="2">
        <f t="shared" si="21"/>
        <v>2</v>
      </c>
      <c r="AA194" s="2">
        <f t="shared" ref="AA194:AA239" si="22">G194+H194+I194+J194+K194+L194+M194+P194+T194+U194</f>
        <v>344</v>
      </c>
      <c r="AB194" s="2">
        <v>4195</v>
      </c>
      <c r="AC194" s="20">
        <f t="shared" ref="AC194:AC257" si="23">AA194/AB194*100</f>
        <v>8.20023837902265</v>
      </c>
      <c r="AD194" s="2" t="s">
        <v>257</v>
      </c>
      <c r="AE194" s="2">
        <v>100</v>
      </c>
      <c r="AF194" s="21">
        <f t="shared" ref="AF194:AF257" si="24">188/AE194*AC194</f>
        <v>15.4164481525626</v>
      </c>
      <c r="AG194" s="4">
        <f t="shared" ref="AG194:AG239" si="25">V194/AB194*100</f>
        <v>8.15256257449344</v>
      </c>
      <c r="AH194" s="4">
        <f t="shared" ref="AH194:AH257" si="26">Z194/AB194*100</f>
        <v>0.0476758045292014</v>
      </c>
    </row>
    <row r="195" spans="1:34">
      <c r="A195" s="2">
        <v>20260112</v>
      </c>
      <c r="B195" s="2" t="s">
        <v>436</v>
      </c>
      <c r="C195" s="2" t="s">
        <v>437</v>
      </c>
      <c r="D195" s="2">
        <v>2</v>
      </c>
      <c r="E195" s="2">
        <v>2</v>
      </c>
      <c r="F195" s="2">
        <v>1</v>
      </c>
      <c r="G195" s="2">
        <v>7</v>
      </c>
      <c r="H195" s="2">
        <v>5</v>
      </c>
      <c r="I195" s="3">
        <v>128</v>
      </c>
      <c r="J195" s="2">
        <v>15</v>
      </c>
      <c r="K195" s="2">
        <v>5</v>
      </c>
      <c r="L195" s="2">
        <v>1</v>
      </c>
      <c r="M195" s="2">
        <v>7</v>
      </c>
      <c r="N195" s="2">
        <v>13</v>
      </c>
      <c r="O195" s="2">
        <v>3</v>
      </c>
      <c r="P195" s="3">
        <v>6</v>
      </c>
      <c r="Q195" s="2">
        <v>2</v>
      </c>
      <c r="R195" s="2">
        <v>13</v>
      </c>
      <c r="S195" s="2">
        <v>1</v>
      </c>
      <c r="T195" s="2">
        <v>5</v>
      </c>
      <c r="U195" s="2">
        <v>1</v>
      </c>
      <c r="V195" s="2">
        <f t="shared" si="20"/>
        <v>148</v>
      </c>
      <c r="W195" s="2">
        <v>31</v>
      </c>
      <c r="X195" s="2">
        <v>0</v>
      </c>
      <c r="Y195" s="2">
        <v>0</v>
      </c>
      <c r="Z195" s="2">
        <f t="shared" si="21"/>
        <v>32</v>
      </c>
      <c r="AA195" s="2">
        <f t="shared" si="22"/>
        <v>180</v>
      </c>
      <c r="AB195" s="2">
        <v>3309</v>
      </c>
      <c r="AC195" s="20">
        <f t="shared" si="23"/>
        <v>5.43970988213962</v>
      </c>
      <c r="AD195" s="2" t="s">
        <v>438</v>
      </c>
      <c r="AE195" s="2">
        <v>100</v>
      </c>
      <c r="AF195" s="21">
        <f t="shared" si="24"/>
        <v>10.2266545784225</v>
      </c>
      <c r="AG195" s="4">
        <f t="shared" si="25"/>
        <v>4.47265034753702</v>
      </c>
      <c r="AH195" s="4">
        <f t="shared" si="26"/>
        <v>0.967059534602599</v>
      </c>
    </row>
    <row r="196" spans="1:34">
      <c r="A196" s="2">
        <v>20260112</v>
      </c>
      <c r="B196" s="2" t="s">
        <v>439</v>
      </c>
      <c r="C196" s="2" t="s">
        <v>440</v>
      </c>
      <c r="D196" s="2">
        <v>0</v>
      </c>
      <c r="E196" s="2">
        <v>13</v>
      </c>
      <c r="F196" s="2">
        <v>9</v>
      </c>
      <c r="G196" s="2">
        <v>1</v>
      </c>
      <c r="H196" s="2">
        <v>5</v>
      </c>
      <c r="I196" s="3">
        <v>5</v>
      </c>
      <c r="J196" s="2">
        <v>107</v>
      </c>
      <c r="K196" s="2">
        <v>2</v>
      </c>
      <c r="L196" s="2">
        <v>1</v>
      </c>
      <c r="M196" s="2">
        <v>6</v>
      </c>
      <c r="N196" s="2">
        <v>616</v>
      </c>
      <c r="O196" s="2">
        <v>6</v>
      </c>
      <c r="P196" s="3">
        <v>8</v>
      </c>
      <c r="Q196" s="2">
        <v>26</v>
      </c>
      <c r="R196" s="2">
        <v>10</v>
      </c>
      <c r="S196" s="2">
        <v>304</v>
      </c>
      <c r="T196" s="2">
        <v>1</v>
      </c>
      <c r="U196" s="2">
        <v>1</v>
      </c>
      <c r="V196" s="2">
        <f t="shared" si="20"/>
        <v>121</v>
      </c>
      <c r="W196" s="2">
        <v>5</v>
      </c>
      <c r="X196" s="2">
        <v>10</v>
      </c>
      <c r="Y196" s="2">
        <v>0</v>
      </c>
      <c r="Z196" s="2">
        <f t="shared" si="21"/>
        <v>16</v>
      </c>
      <c r="AA196" s="2">
        <f t="shared" si="22"/>
        <v>137</v>
      </c>
      <c r="AB196" s="2">
        <v>6345</v>
      </c>
      <c r="AC196" s="20">
        <f t="shared" si="23"/>
        <v>2.1591804570528</v>
      </c>
      <c r="AD196" s="2" t="s">
        <v>438</v>
      </c>
      <c r="AE196" s="2">
        <v>100</v>
      </c>
      <c r="AF196" s="21">
        <f t="shared" si="24"/>
        <v>4.05925925925926</v>
      </c>
      <c r="AG196" s="4">
        <f t="shared" si="25"/>
        <v>1.9070133963751</v>
      </c>
      <c r="AH196" s="4">
        <f t="shared" si="26"/>
        <v>0.252167060677699</v>
      </c>
    </row>
    <row r="197" spans="1:34">
      <c r="A197" s="2">
        <v>20260112</v>
      </c>
      <c r="B197" s="2" t="s">
        <v>441</v>
      </c>
      <c r="C197" s="2" t="s">
        <v>442</v>
      </c>
      <c r="D197" s="2">
        <v>0</v>
      </c>
      <c r="E197" s="2">
        <v>16</v>
      </c>
      <c r="F197" s="2">
        <v>1</v>
      </c>
      <c r="G197" s="2">
        <v>3</v>
      </c>
      <c r="H197" s="2">
        <v>9</v>
      </c>
      <c r="I197" s="3">
        <v>17</v>
      </c>
      <c r="J197" s="2">
        <v>11</v>
      </c>
      <c r="K197" s="2">
        <v>2</v>
      </c>
      <c r="L197" s="2">
        <v>2</v>
      </c>
      <c r="M197" s="2">
        <v>6</v>
      </c>
      <c r="N197" s="2">
        <v>16</v>
      </c>
      <c r="O197" s="2">
        <v>6</v>
      </c>
      <c r="P197" s="3">
        <v>11</v>
      </c>
      <c r="Q197" s="2">
        <v>6</v>
      </c>
      <c r="R197" s="2">
        <v>23</v>
      </c>
      <c r="S197" s="2">
        <v>0</v>
      </c>
      <c r="T197" s="2">
        <v>1</v>
      </c>
      <c r="U197" s="2">
        <v>2</v>
      </c>
      <c r="V197" s="2">
        <f t="shared" si="20"/>
        <v>54</v>
      </c>
      <c r="W197" s="2">
        <v>0</v>
      </c>
      <c r="X197" s="2">
        <v>8</v>
      </c>
      <c r="Y197" s="2">
        <v>0</v>
      </c>
      <c r="Z197" s="2">
        <f t="shared" si="21"/>
        <v>10</v>
      </c>
      <c r="AA197" s="2">
        <f t="shared" si="22"/>
        <v>64</v>
      </c>
      <c r="AB197" s="2">
        <v>3259</v>
      </c>
      <c r="AC197" s="20">
        <f t="shared" si="23"/>
        <v>1.96379257440933</v>
      </c>
      <c r="AD197" s="2" t="s">
        <v>438</v>
      </c>
      <c r="AE197" s="2">
        <v>100</v>
      </c>
      <c r="AF197" s="21">
        <f t="shared" si="24"/>
        <v>3.69193003988954</v>
      </c>
      <c r="AG197" s="4">
        <f t="shared" si="25"/>
        <v>1.65694998465787</v>
      </c>
      <c r="AH197" s="4">
        <f t="shared" si="26"/>
        <v>0.306842589751458</v>
      </c>
    </row>
    <row r="198" spans="1:34">
      <c r="A198" s="2">
        <v>20260112</v>
      </c>
      <c r="B198" s="2" t="s">
        <v>443</v>
      </c>
      <c r="C198" s="2" t="s">
        <v>444</v>
      </c>
      <c r="D198" s="2">
        <v>1</v>
      </c>
      <c r="E198" s="2">
        <v>6</v>
      </c>
      <c r="F198" s="2">
        <v>4</v>
      </c>
      <c r="G198" s="2">
        <v>2</v>
      </c>
      <c r="H198" s="2">
        <v>4</v>
      </c>
      <c r="I198" s="3">
        <v>12</v>
      </c>
      <c r="J198" s="2">
        <v>8</v>
      </c>
      <c r="K198" s="2">
        <v>3</v>
      </c>
      <c r="L198" s="2">
        <v>2</v>
      </c>
      <c r="M198" s="2">
        <v>3</v>
      </c>
      <c r="N198" s="2">
        <v>9</v>
      </c>
      <c r="O198" s="2">
        <v>7</v>
      </c>
      <c r="P198" s="3">
        <v>9</v>
      </c>
      <c r="Q198" s="2">
        <v>3</v>
      </c>
      <c r="R198" s="2">
        <v>10</v>
      </c>
      <c r="S198" s="2">
        <v>1</v>
      </c>
      <c r="T198" s="2">
        <v>1</v>
      </c>
      <c r="U198" s="2">
        <v>0</v>
      </c>
      <c r="V198" s="2">
        <f t="shared" si="20"/>
        <v>39</v>
      </c>
      <c r="W198" s="2">
        <v>5</v>
      </c>
      <c r="X198" s="2">
        <v>0</v>
      </c>
      <c r="Y198" s="2">
        <v>0</v>
      </c>
      <c r="Z198" s="2">
        <f t="shared" si="21"/>
        <v>5</v>
      </c>
      <c r="AA198" s="2">
        <f t="shared" si="22"/>
        <v>44</v>
      </c>
      <c r="AB198" s="2">
        <v>2209</v>
      </c>
      <c r="AC198" s="20">
        <f t="shared" si="23"/>
        <v>1.99185151652331</v>
      </c>
      <c r="AD198" s="2" t="s">
        <v>438</v>
      </c>
      <c r="AE198" s="2">
        <v>100</v>
      </c>
      <c r="AF198" s="21">
        <f t="shared" si="24"/>
        <v>3.74468085106383</v>
      </c>
      <c r="AG198" s="4">
        <f t="shared" si="25"/>
        <v>1.76550475328203</v>
      </c>
      <c r="AH198" s="4">
        <f t="shared" si="26"/>
        <v>0.226346763241286</v>
      </c>
    </row>
    <row r="199" spans="1:34">
      <c r="A199" s="2">
        <v>20260112</v>
      </c>
      <c r="B199" s="2" t="s">
        <v>445</v>
      </c>
      <c r="C199" s="2" t="s">
        <v>446</v>
      </c>
      <c r="D199" s="2">
        <v>0</v>
      </c>
      <c r="E199" s="2">
        <v>2</v>
      </c>
      <c r="F199" s="2">
        <v>1</v>
      </c>
      <c r="G199" s="2">
        <v>4</v>
      </c>
      <c r="H199" s="2">
        <v>8</v>
      </c>
      <c r="I199" s="3">
        <v>31</v>
      </c>
      <c r="J199" s="2">
        <v>7</v>
      </c>
      <c r="K199" s="2">
        <v>2</v>
      </c>
      <c r="L199" s="2">
        <v>0</v>
      </c>
      <c r="M199" s="2">
        <v>3</v>
      </c>
      <c r="N199" s="2">
        <v>17</v>
      </c>
      <c r="O199" s="2">
        <v>2</v>
      </c>
      <c r="P199" s="3">
        <v>8</v>
      </c>
      <c r="Q199" s="2">
        <v>2</v>
      </c>
      <c r="R199" s="2">
        <v>43</v>
      </c>
      <c r="S199" s="2">
        <v>0</v>
      </c>
      <c r="T199" s="2">
        <v>1</v>
      </c>
      <c r="U199" s="2">
        <v>2</v>
      </c>
      <c r="V199" s="2">
        <f t="shared" si="20"/>
        <v>56</v>
      </c>
      <c r="W199" s="2">
        <v>0</v>
      </c>
      <c r="X199" s="2">
        <v>8</v>
      </c>
      <c r="Y199" s="2">
        <v>0</v>
      </c>
      <c r="Z199" s="2">
        <f t="shared" si="21"/>
        <v>10</v>
      </c>
      <c r="AA199" s="2">
        <f t="shared" si="22"/>
        <v>66</v>
      </c>
      <c r="AB199" s="2">
        <v>3109</v>
      </c>
      <c r="AC199" s="20">
        <f t="shared" si="23"/>
        <v>2.12286908973947</v>
      </c>
      <c r="AD199" s="2" t="s">
        <v>229</v>
      </c>
      <c r="AE199" s="2">
        <v>100</v>
      </c>
      <c r="AF199" s="21">
        <f t="shared" si="24"/>
        <v>3.9909938887102</v>
      </c>
      <c r="AG199" s="4">
        <f t="shared" si="25"/>
        <v>1.80122225796076</v>
      </c>
      <c r="AH199" s="4">
        <f t="shared" si="26"/>
        <v>0.321646831778707</v>
      </c>
    </row>
    <row r="200" spans="1:34">
      <c r="A200" s="2">
        <v>20260112</v>
      </c>
      <c r="B200" s="2" t="s">
        <v>447</v>
      </c>
      <c r="C200" s="2" t="s">
        <v>448</v>
      </c>
      <c r="D200" s="2">
        <v>2</v>
      </c>
      <c r="E200" s="2">
        <v>9</v>
      </c>
      <c r="F200" s="2">
        <v>7</v>
      </c>
      <c r="G200" s="2">
        <v>6</v>
      </c>
      <c r="H200" s="2">
        <v>24</v>
      </c>
      <c r="I200" s="3">
        <v>38</v>
      </c>
      <c r="J200" s="2">
        <v>17</v>
      </c>
      <c r="K200" s="2">
        <v>6</v>
      </c>
      <c r="L200" s="2">
        <v>1</v>
      </c>
      <c r="M200" s="2">
        <v>16</v>
      </c>
      <c r="N200" s="2">
        <v>59</v>
      </c>
      <c r="O200" s="2">
        <v>4</v>
      </c>
      <c r="P200" s="3">
        <v>27</v>
      </c>
      <c r="Q200" s="2">
        <v>10</v>
      </c>
      <c r="R200" s="2">
        <v>96</v>
      </c>
      <c r="S200" s="2">
        <v>2</v>
      </c>
      <c r="T200" s="2">
        <v>5</v>
      </c>
      <c r="U200" s="2">
        <v>2</v>
      </c>
      <c r="V200" s="2">
        <f t="shared" si="20"/>
        <v>132</v>
      </c>
      <c r="W200" s="2">
        <v>3</v>
      </c>
      <c r="X200" s="2">
        <v>5</v>
      </c>
      <c r="Y200" s="2">
        <v>0</v>
      </c>
      <c r="Z200" s="2">
        <f t="shared" si="21"/>
        <v>10</v>
      </c>
      <c r="AA200" s="2">
        <f t="shared" si="22"/>
        <v>142</v>
      </c>
      <c r="AB200" s="2">
        <v>6171</v>
      </c>
      <c r="AC200" s="20">
        <f t="shared" si="23"/>
        <v>2.30108572354562</v>
      </c>
      <c r="AD200" s="2" t="s">
        <v>58</v>
      </c>
      <c r="AE200" s="2">
        <v>100</v>
      </c>
      <c r="AF200" s="21">
        <f t="shared" si="24"/>
        <v>4.32604116026576</v>
      </c>
      <c r="AG200" s="4">
        <f t="shared" si="25"/>
        <v>2.13903743315508</v>
      </c>
      <c r="AH200" s="4">
        <f t="shared" si="26"/>
        <v>0.162048290390536</v>
      </c>
    </row>
    <row r="201" spans="1:34">
      <c r="A201" s="2">
        <v>20260113</v>
      </c>
      <c r="B201" s="2" t="s">
        <v>449</v>
      </c>
      <c r="C201" s="2" t="s">
        <v>450</v>
      </c>
      <c r="D201" s="2">
        <v>1</v>
      </c>
      <c r="E201" s="2">
        <v>3</v>
      </c>
      <c r="F201" s="2">
        <v>5</v>
      </c>
      <c r="G201" s="2">
        <v>2</v>
      </c>
      <c r="H201" s="2">
        <v>2</v>
      </c>
      <c r="I201" s="3">
        <v>19</v>
      </c>
      <c r="J201" s="2">
        <v>7</v>
      </c>
      <c r="K201" s="2">
        <v>5</v>
      </c>
      <c r="L201" s="2">
        <v>0</v>
      </c>
      <c r="M201" s="2">
        <v>15</v>
      </c>
      <c r="N201" s="2">
        <v>48</v>
      </c>
      <c r="O201" s="2">
        <v>2</v>
      </c>
      <c r="P201" s="3">
        <v>33</v>
      </c>
      <c r="Q201" s="2">
        <v>3</v>
      </c>
      <c r="R201" s="2">
        <v>54</v>
      </c>
      <c r="S201" s="2">
        <v>1</v>
      </c>
      <c r="T201" s="2">
        <v>6</v>
      </c>
      <c r="U201" s="2">
        <v>1</v>
      </c>
      <c r="V201" s="2">
        <f t="shared" si="20"/>
        <v>84</v>
      </c>
      <c r="W201" s="2">
        <v>0</v>
      </c>
      <c r="X201" s="2">
        <v>5</v>
      </c>
      <c r="Y201" s="2">
        <v>0</v>
      </c>
      <c r="Z201" s="2">
        <f t="shared" si="21"/>
        <v>6</v>
      </c>
      <c r="AA201" s="2">
        <f t="shared" si="22"/>
        <v>90</v>
      </c>
      <c r="AB201" s="2">
        <v>3219</v>
      </c>
      <c r="AC201" s="20">
        <f t="shared" si="23"/>
        <v>2.79589934762349</v>
      </c>
      <c r="AD201" s="2" t="s">
        <v>58</v>
      </c>
      <c r="AE201" s="2">
        <v>100</v>
      </c>
      <c r="AF201" s="21">
        <f t="shared" si="24"/>
        <v>5.25629077353215</v>
      </c>
      <c r="AG201" s="4">
        <f t="shared" si="25"/>
        <v>2.60950605778192</v>
      </c>
      <c r="AH201" s="4">
        <f t="shared" si="26"/>
        <v>0.186393289841566</v>
      </c>
    </row>
    <row r="202" spans="1:34">
      <c r="A202" s="2">
        <v>20260113</v>
      </c>
      <c r="B202" s="2" t="s">
        <v>451</v>
      </c>
      <c r="C202" s="2" t="s">
        <v>452</v>
      </c>
      <c r="D202" s="2">
        <v>2</v>
      </c>
      <c r="E202" s="2">
        <v>0</v>
      </c>
      <c r="F202" s="2">
        <v>6</v>
      </c>
      <c r="G202" s="2">
        <v>3</v>
      </c>
      <c r="H202" s="2">
        <v>7</v>
      </c>
      <c r="I202" s="3">
        <v>34</v>
      </c>
      <c r="J202" s="2">
        <v>17</v>
      </c>
      <c r="K202" s="2">
        <v>13</v>
      </c>
      <c r="L202" s="2">
        <v>5</v>
      </c>
      <c r="M202" s="2">
        <v>24</v>
      </c>
      <c r="N202" s="2">
        <v>28</v>
      </c>
      <c r="O202" s="2">
        <v>4</v>
      </c>
      <c r="P202" s="3">
        <v>29</v>
      </c>
      <c r="Q202" s="2">
        <v>11</v>
      </c>
      <c r="R202" s="2">
        <v>156</v>
      </c>
      <c r="S202" s="2">
        <v>0</v>
      </c>
      <c r="T202" s="2">
        <v>6</v>
      </c>
      <c r="U202" s="2">
        <v>0</v>
      </c>
      <c r="V202" s="2">
        <f t="shared" si="20"/>
        <v>135</v>
      </c>
      <c r="W202" s="2">
        <v>2</v>
      </c>
      <c r="X202" s="2">
        <v>1</v>
      </c>
      <c r="Y202" s="2">
        <v>0</v>
      </c>
      <c r="Z202" s="2">
        <f t="shared" si="21"/>
        <v>3</v>
      </c>
      <c r="AA202" s="2">
        <f t="shared" si="22"/>
        <v>138</v>
      </c>
      <c r="AB202" s="2">
        <v>6175</v>
      </c>
      <c r="AC202" s="20">
        <f t="shared" si="23"/>
        <v>2.23481781376518</v>
      </c>
      <c r="AD202" s="2" t="s">
        <v>58</v>
      </c>
      <c r="AE202" s="2">
        <v>100</v>
      </c>
      <c r="AF202" s="21">
        <f t="shared" si="24"/>
        <v>4.20145748987854</v>
      </c>
      <c r="AG202" s="4">
        <f t="shared" si="25"/>
        <v>2.18623481781376</v>
      </c>
      <c r="AH202" s="4">
        <f t="shared" si="26"/>
        <v>0.048582995951417</v>
      </c>
    </row>
    <row r="203" spans="1:34">
      <c r="A203" s="2">
        <v>20260113</v>
      </c>
      <c r="B203" s="2" t="s">
        <v>453</v>
      </c>
      <c r="C203" s="2" t="s">
        <v>454</v>
      </c>
      <c r="D203" s="2">
        <v>2</v>
      </c>
      <c r="E203" s="2">
        <v>9</v>
      </c>
      <c r="F203" s="2">
        <v>4</v>
      </c>
      <c r="G203" s="2">
        <v>0</v>
      </c>
      <c r="H203" s="2">
        <v>14</v>
      </c>
      <c r="I203" s="3">
        <v>38</v>
      </c>
      <c r="J203" s="2">
        <v>14</v>
      </c>
      <c r="K203" s="2">
        <v>10</v>
      </c>
      <c r="L203" s="2">
        <v>1</v>
      </c>
      <c r="M203" s="2">
        <v>15</v>
      </c>
      <c r="N203" s="2">
        <v>51</v>
      </c>
      <c r="O203" s="2">
        <v>1</v>
      </c>
      <c r="P203" s="3">
        <v>30</v>
      </c>
      <c r="Q203" s="2">
        <v>10</v>
      </c>
      <c r="R203" s="2">
        <v>89</v>
      </c>
      <c r="S203" s="2">
        <v>5</v>
      </c>
      <c r="T203" s="2">
        <v>6</v>
      </c>
      <c r="U203" s="2">
        <v>0</v>
      </c>
      <c r="V203" s="2">
        <f t="shared" si="20"/>
        <v>122</v>
      </c>
      <c r="W203" s="2">
        <v>0</v>
      </c>
      <c r="X203" s="2">
        <v>6</v>
      </c>
      <c r="Y203" s="2">
        <v>0</v>
      </c>
      <c r="Z203" s="2">
        <f t="shared" si="21"/>
        <v>6</v>
      </c>
      <c r="AA203" s="2">
        <f t="shared" si="22"/>
        <v>128</v>
      </c>
      <c r="AB203" s="2">
        <v>6039</v>
      </c>
      <c r="AC203" s="20">
        <f t="shared" si="23"/>
        <v>2.11955621791687</v>
      </c>
      <c r="AD203" s="2" t="s">
        <v>58</v>
      </c>
      <c r="AE203" s="2">
        <v>100</v>
      </c>
      <c r="AF203" s="21">
        <f t="shared" si="24"/>
        <v>3.98476568968372</v>
      </c>
      <c r="AG203" s="4">
        <f t="shared" si="25"/>
        <v>2.02020202020202</v>
      </c>
      <c r="AH203" s="4">
        <f t="shared" si="26"/>
        <v>0.0993541977148535</v>
      </c>
    </row>
    <row r="204" spans="1:34">
      <c r="A204" s="2">
        <v>20260113</v>
      </c>
      <c r="B204" s="2" t="s">
        <v>455</v>
      </c>
      <c r="C204" s="2" t="s">
        <v>456</v>
      </c>
      <c r="D204" s="2">
        <v>0</v>
      </c>
      <c r="E204" s="2">
        <v>6</v>
      </c>
      <c r="F204" s="2">
        <v>9</v>
      </c>
      <c r="G204" s="2">
        <v>5</v>
      </c>
      <c r="H204" s="2">
        <v>11</v>
      </c>
      <c r="I204" s="3">
        <v>36</v>
      </c>
      <c r="J204" s="2">
        <v>15</v>
      </c>
      <c r="K204" s="2">
        <v>13</v>
      </c>
      <c r="L204" s="2">
        <v>1</v>
      </c>
      <c r="M204" s="2">
        <v>30</v>
      </c>
      <c r="N204" s="2">
        <v>39</v>
      </c>
      <c r="O204" s="2">
        <v>3</v>
      </c>
      <c r="P204" s="3">
        <v>29</v>
      </c>
      <c r="Q204" s="2">
        <v>23</v>
      </c>
      <c r="R204" s="2">
        <v>64</v>
      </c>
      <c r="S204" s="2">
        <v>3</v>
      </c>
      <c r="T204" s="2">
        <v>10</v>
      </c>
      <c r="U204" s="2">
        <v>0</v>
      </c>
      <c r="V204" s="2">
        <f t="shared" si="20"/>
        <v>142</v>
      </c>
      <c r="W204" s="2">
        <v>1</v>
      </c>
      <c r="X204" s="2">
        <v>7</v>
      </c>
      <c r="Y204" s="2">
        <v>0</v>
      </c>
      <c r="Z204" s="2">
        <f t="shared" si="21"/>
        <v>8</v>
      </c>
      <c r="AA204" s="2">
        <f t="shared" si="22"/>
        <v>150</v>
      </c>
      <c r="AB204" s="2">
        <v>6175</v>
      </c>
      <c r="AC204" s="20">
        <f t="shared" si="23"/>
        <v>2.42914979757085</v>
      </c>
      <c r="AD204" s="2" t="s">
        <v>58</v>
      </c>
      <c r="AE204" s="2">
        <v>100</v>
      </c>
      <c r="AF204" s="21">
        <f t="shared" si="24"/>
        <v>4.5668016194332</v>
      </c>
      <c r="AG204" s="4">
        <f t="shared" si="25"/>
        <v>2.2995951417004</v>
      </c>
      <c r="AH204" s="4">
        <f t="shared" si="26"/>
        <v>0.129554655870445</v>
      </c>
    </row>
    <row r="205" spans="1:34">
      <c r="A205" s="2">
        <v>20260113</v>
      </c>
      <c r="B205" s="2" t="s">
        <v>457</v>
      </c>
      <c r="C205" s="2" t="s">
        <v>458</v>
      </c>
      <c r="D205" s="2">
        <v>1</v>
      </c>
      <c r="E205" s="2">
        <v>4</v>
      </c>
      <c r="F205" s="2">
        <v>7</v>
      </c>
      <c r="G205" s="2">
        <v>7</v>
      </c>
      <c r="H205" s="2">
        <v>6</v>
      </c>
      <c r="I205" s="3">
        <v>27</v>
      </c>
      <c r="J205" s="2">
        <v>15</v>
      </c>
      <c r="K205" s="2">
        <v>6</v>
      </c>
      <c r="L205" s="2">
        <v>2</v>
      </c>
      <c r="M205" s="2">
        <v>11</v>
      </c>
      <c r="N205" s="2">
        <v>8</v>
      </c>
      <c r="O205" s="2">
        <v>5</v>
      </c>
      <c r="P205" s="3">
        <v>28</v>
      </c>
      <c r="Q205" s="2">
        <v>7</v>
      </c>
      <c r="R205" s="2">
        <v>3</v>
      </c>
      <c r="S205" s="2">
        <v>3</v>
      </c>
      <c r="T205" s="2">
        <v>16</v>
      </c>
      <c r="U205" s="2">
        <v>1</v>
      </c>
      <c r="V205" s="2">
        <f t="shared" si="20"/>
        <v>105</v>
      </c>
      <c r="W205" s="2">
        <v>5</v>
      </c>
      <c r="X205" s="2">
        <v>8</v>
      </c>
      <c r="Y205" s="2">
        <v>0</v>
      </c>
      <c r="Z205" s="2">
        <f t="shared" si="21"/>
        <v>14</v>
      </c>
      <c r="AA205" s="2">
        <f t="shared" si="22"/>
        <v>119</v>
      </c>
      <c r="AB205" s="2">
        <v>3303</v>
      </c>
      <c r="AC205" s="20">
        <f t="shared" si="23"/>
        <v>3.60278534665456</v>
      </c>
      <c r="AD205" s="2" t="s">
        <v>49</v>
      </c>
      <c r="AE205" s="2">
        <v>125</v>
      </c>
      <c r="AF205" s="21">
        <f t="shared" si="24"/>
        <v>5.41858916136845</v>
      </c>
      <c r="AG205" s="4">
        <f t="shared" si="25"/>
        <v>3.17892824704814</v>
      </c>
      <c r="AH205" s="4">
        <f t="shared" si="26"/>
        <v>0.423857099606418</v>
      </c>
    </row>
    <row r="206" spans="1:34">
      <c r="A206" s="2">
        <v>20260113</v>
      </c>
      <c r="B206" s="2" t="s">
        <v>459</v>
      </c>
      <c r="C206" s="2" t="s">
        <v>460</v>
      </c>
      <c r="D206" s="2">
        <v>2</v>
      </c>
      <c r="E206" s="2">
        <v>1</v>
      </c>
      <c r="F206" s="2">
        <v>8</v>
      </c>
      <c r="G206" s="2">
        <v>13</v>
      </c>
      <c r="H206" s="2">
        <v>8</v>
      </c>
      <c r="I206" s="3">
        <v>26</v>
      </c>
      <c r="J206" s="2">
        <v>25</v>
      </c>
      <c r="K206" s="2">
        <v>3</v>
      </c>
      <c r="L206" s="2">
        <v>2</v>
      </c>
      <c r="M206" s="2">
        <v>11</v>
      </c>
      <c r="N206" s="2">
        <v>18</v>
      </c>
      <c r="O206" s="2">
        <v>9</v>
      </c>
      <c r="P206" s="3">
        <v>22</v>
      </c>
      <c r="Q206" s="2">
        <v>11</v>
      </c>
      <c r="R206" s="2">
        <v>6</v>
      </c>
      <c r="S206" s="2">
        <v>8</v>
      </c>
      <c r="T206" s="2">
        <v>14</v>
      </c>
      <c r="U206" s="2">
        <v>0</v>
      </c>
      <c r="V206" s="2">
        <f t="shared" si="20"/>
        <v>110</v>
      </c>
      <c r="W206" s="2">
        <v>6</v>
      </c>
      <c r="X206" s="2">
        <v>8</v>
      </c>
      <c r="Y206" s="2">
        <v>0</v>
      </c>
      <c r="Z206" s="2">
        <f t="shared" si="21"/>
        <v>14</v>
      </c>
      <c r="AA206" s="2">
        <f t="shared" si="22"/>
        <v>124</v>
      </c>
      <c r="AB206" s="2">
        <v>3303</v>
      </c>
      <c r="AC206" s="20">
        <f t="shared" si="23"/>
        <v>3.75416288222828</v>
      </c>
      <c r="AD206" s="2" t="s">
        <v>49</v>
      </c>
      <c r="AE206" s="2">
        <v>125</v>
      </c>
      <c r="AF206" s="21">
        <f t="shared" si="24"/>
        <v>5.64626097487133</v>
      </c>
      <c r="AG206" s="4">
        <f t="shared" si="25"/>
        <v>3.33030578262186</v>
      </c>
      <c r="AH206" s="4">
        <f t="shared" si="26"/>
        <v>0.423857099606418</v>
      </c>
    </row>
    <row r="207" spans="1:34">
      <c r="A207" s="2">
        <v>20260113</v>
      </c>
      <c r="B207" s="2" t="s">
        <v>461</v>
      </c>
      <c r="C207" s="2" t="s">
        <v>462</v>
      </c>
      <c r="D207" s="2">
        <v>1</v>
      </c>
      <c r="E207" s="2">
        <v>1</v>
      </c>
      <c r="F207" s="2">
        <v>5</v>
      </c>
      <c r="G207" s="2">
        <v>16</v>
      </c>
      <c r="H207" s="2">
        <v>19</v>
      </c>
      <c r="I207" s="3">
        <v>49</v>
      </c>
      <c r="J207" s="2">
        <v>24</v>
      </c>
      <c r="K207" s="2">
        <v>6</v>
      </c>
      <c r="L207" s="2">
        <v>3</v>
      </c>
      <c r="M207" s="2">
        <v>14</v>
      </c>
      <c r="N207" s="2">
        <v>27</v>
      </c>
      <c r="O207" s="2">
        <v>11</v>
      </c>
      <c r="P207" s="3">
        <v>39</v>
      </c>
      <c r="Q207" s="2">
        <v>17</v>
      </c>
      <c r="R207" s="2">
        <v>11</v>
      </c>
      <c r="S207" s="2">
        <v>2</v>
      </c>
      <c r="T207" s="2">
        <v>24</v>
      </c>
      <c r="U207" s="2">
        <v>2</v>
      </c>
      <c r="V207" s="2">
        <f t="shared" si="20"/>
        <v>176</v>
      </c>
      <c r="W207" s="2">
        <v>4</v>
      </c>
      <c r="X207" s="2">
        <v>14</v>
      </c>
      <c r="Y207" s="2">
        <v>0</v>
      </c>
      <c r="Z207" s="2">
        <f t="shared" si="21"/>
        <v>20</v>
      </c>
      <c r="AA207" s="2">
        <f t="shared" si="22"/>
        <v>196</v>
      </c>
      <c r="AB207" s="2">
        <v>3786</v>
      </c>
      <c r="AC207" s="20">
        <f t="shared" si="23"/>
        <v>5.1769677760169</v>
      </c>
      <c r="AD207" s="2" t="s">
        <v>49</v>
      </c>
      <c r="AE207" s="2">
        <v>125</v>
      </c>
      <c r="AF207" s="21">
        <f t="shared" si="24"/>
        <v>7.78615953512942</v>
      </c>
      <c r="AG207" s="4">
        <f t="shared" si="25"/>
        <v>4.648705758056</v>
      </c>
      <c r="AH207" s="4">
        <f t="shared" si="26"/>
        <v>0.528262017960909</v>
      </c>
    </row>
    <row r="208" spans="1:34">
      <c r="A208" s="2">
        <v>20260113</v>
      </c>
      <c r="B208" s="2" t="s">
        <v>463</v>
      </c>
      <c r="C208" s="2" t="s">
        <v>464</v>
      </c>
      <c r="D208" s="2">
        <v>0</v>
      </c>
      <c r="E208" s="2">
        <v>3</v>
      </c>
      <c r="F208" s="2">
        <v>4</v>
      </c>
      <c r="G208" s="2">
        <v>6</v>
      </c>
      <c r="H208" s="2">
        <v>4</v>
      </c>
      <c r="I208" s="3">
        <v>26</v>
      </c>
      <c r="J208" s="2">
        <v>13</v>
      </c>
      <c r="K208" s="2">
        <v>3</v>
      </c>
      <c r="L208" s="2">
        <v>1</v>
      </c>
      <c r="M208" s="2">
        <v>7</v>
      </c>
      <c r="N208" s="2">
        <v>19</v>
      </c>
      <c r="O208" s="2">
        <v>8</v>
      </c>
      <c r="P208" s="3">
        <v>19</v>
      </c>
      <c r="Q208" s="2">
        <v>12</v>
      </c>
      <c r="R208" s="2">
        <v>14</v>
      </c>
      <c r="S208" s="2">
        <v>2</v>
      </c>
      <c r="T208" s="2">
        <v>5</v>
      </c>
      <c r="U208" s="2">
        <v>1</v>
      </c>
      <c r="V208" s="2">
        <f t="shared" si="20"/>
        <v>77</v>
      </c>
      <c r="W208" s="2">
        <v>3</v>
      </c>
      <c r="X208" s="2">
        <v>4</v>
      </c>
      <c r="Y208" s="2">
        <v>0</v>
      </c>
      <c r="Z208" s="2">
        <f t="shared" si="21"/>
        <v>8</v>
      </c>
      <c r="AA208" s="2">
        <f t="shared" si="22"/>
        <v>85</v>
      </c>
      <c r="AB208" s="2">
        <v>3300</v>
      </c>
      <c r="AC208" s="20">
        <f t="shared" si="23"/>
        <v>2.57575757575758</v>
      </c>
      <c r="AD208" s="2" t="s">
        <v>49</v>
      </c>
      <c r="AE208" s="2">
        <v>125</v>
      </c>
      <c r="AF208" s="21">
        <f t="shared" si="24"/>
        <v>3.87393939393939</v>
      </c>
      <c r="AG208" s="4">
        <f t="shared" si="25"/>
        <v>2.33333333333333</v>
      </c>
      <c r="AH208" s="4">
        <f t="shared" si="26"/>
        <v>0.242424242424242</v>
      </c>
    </row>
    <row r="209" spans="1:34">
      <c r="A209" s="2">
        <v>20260113</v>
      </c>
      <c r="B209" s="2" t="s">
        <v>465</v>
      </c>
      <c r="C209" s="2" t="s">
        <v>466</v>
      </c>
      <c r="D209" s="2">
        <v>381</v>
      </c>
      <c r="E209" s="2">
        <v>46</v>
      </c>
      <c r="F209" s="2">
        <v>3</v>
      </c>
      <c r="G209" s="2">
        <v>4</v>
      </c>
      <c r="H209" s="2">
        <v>87</v>
      </c>
      <c r="I209" s="3">
        <v>14360</v>
      </c>
      <c r="J209" s="2">
        <v>104</v>
      </c>
      <c r="K209" s="2">
        <v>5</v>
      </c>
      <c r="L209" s="2">
        <v>1</v>
      </c>
      <c r="M209" s="2">
        <v>7</v>
      </c>
      <c r="N209" s="2">
        <v>616</v>
      </c>
      <c r="O209" s="2">
        <v>18</v>
      </c>
      <c r="P209" s="3">
        <v>16</v>
      </c>
      <c r="Q209" s="2">
        <v>14</v>
      </c>
      <c r="R209" s="2">
        <v>11</v>
      </c>
      <c r="S209" s="2">
        <v>5</v>
      </c>
      <c r="T209" s="2">
        <v>203</v>
      </c>
      <c r="U209" s="2">
        <v>1</v>
      </c>
      <c r="V209" s="2">
        <f t="shared" ref="V209:V272" si="27">AA209-Y209-X209-W209-U209</f>
        <v>14780</v>
      </c>
      <c r="W209" s="2">
        <v>7</v>
      </c>
      <c r="X209" s="2">
        <v>0</v>
      </c>
      <c r="Y209" s="2">
        <v>0</v>
      </c>
      <c r="Z209" s="2">
        <f t="shared" si="21"/>
        <v>8</v>
      </c>
      <c r="AA209" s="2">
        <f t="shared" si="22"/>
        <v>14788</v>
      </c>
      <c r="AB209" s="2">
        <v>3458</v>
      </c>
      <c r="AC209" s="20">
        <f t="shared" si="23"/>
        <v>427.646038172354</v>
      </c>
      <c r="AD209" s="2" t="s">
        <v>49</v>
      </c>
      <c r="AE209" s="2">
        <v>125</v>
      </c>
      <c r="AF209" s="21">
        <f t="shared" si="24"/>
        <v>643.17964141122</v>
      </c>
      <c r="AG209" s="4">
        <f t="shared" si="25"/>
        <v>427.414690572585</v>
      </c>
      <c r="AH209" s="4">
        <f t="shared" si="26"/>
        <v>0.231347599768652</v>
      </c>
    </row>
    <row r="210" spans="1:34">
      <c r="A210" s="2">
        <v>20260113</v>
      </c>
      <c r="B210" s="2" t="s">
        <v>467</v>
      </c>
      <c r="C210" s="2" t="s">
        <v>468</v>
      </c>
      <c r="D210" s="2">
        <v>3</v>
      </c>
      <c r="E210" s="2">
        <v>7</v>
      </c>
      <c r="F210" s="2">
        <v>9</v>
      </c>
      <c r="G210" s="2">
        <v>7</v>
      </c>
      <c r="H210" s="2">
        <v>17</v>
      </c>
      <c r="I210" s="3">
        <v>17</v>
      </c>
      <c r="J210" s="2">
        <v>24</v>
      </c>
      <c r="K210" s="2">
        <v>6</v>
      </c>
      <c r="L210" s="2">
        <v>3</v>
      </c>
      <c r="M210" s="2">
        <v>2</v>
      </c>
      <c r="N210" s="2">
        <v>33</v>
      </c>
      <c r="O210" s="2">
        <v>10</v>
      </c>
      <c r="P210" s="3">
        <v>23</v>
      </c>
      <c r="Q210" s="2">
        <v>6</v>
      </c>
      <c r="R210" s="2">
        <v>17</v>
      </c>
      <c r="S210" s="2">
        <v>6</v>
      </c>
      <c r="T210" s="2">
        <v>9</v>
      </c>
      <c r="U210" s="2">
        <v>1</v>
      </c>
      <c r="V210" s="2">
        <f t="shared" si="27"/>
        <v>92</v>
      </c>
      <c r="W210" s="2">
        <v>8</v>
      </c>
      <c r="X210" s="2">
        <v>8</v>
      </c>
      <c r="Y210" s="2">
        <v>0</v>
      </c>
      <c r="Z210" s="2">
        <f t="shared" si="21"/>
        <v>17</v>
      </c>
      <c r="AA210" s="2">
        <f t="shared" si="22"/>
        <v>109</v>
      </c>
      <c r="AB210" s="2">
        <v>3458</v>
      </c>
      <c r="AC210" s="20">
        <f t="shared" si="23"/>
        <v>3.15211104684789</v>
      </c>
      <c r="AD210" s="2" t="s">
        <v>49</v>
      </c>
      <c r="AE210" s="2">
        <v>125</v>
      </c>
      <c r="AF210" s="21">
        <f t="shared" si="24"/>
        <v>4.74077501445923</v>
      </c>
      <c r="AG210" s="4">
        <f t="shared" si="25"/>
        <v>2.6604973973395</v>
      </c>
      <c r="AH210" s="4">
        <f t="shared" si="26"/>
        <v>0.491613649508386</v>
      </c>
    </row>
    <row r="211" spans="1:34">
      <c r="A211" s="2">
        <v>20260113</v>
      </c>
      <c r="B211" s="2" t="s">
        <v>469</v>
      </c>
      <c r="C211" s="2" t="s">
        <v>470</v>
      </c>
      <c r="D211" s="2">
        <v>0</v>
      </c>
      <c r="E211" s="2">
        <v>1</v>
      </c>
      <c r="F211" s="2">
        <v>7</v>
      </c>
      <c r="G211" s="2">
        <v>7</v>
      </c>
      <c r="H211" s="2">
        <v>11</v>
      </c>
      <c r="I211" s="3">
        <v>23</v>
      </c>
      <c r="J211" s="2">
        <v>23</v>
      </c>
      <c r="K211" s="2">
        <v>2</v>
      </c>
      <c r="L211" s="2">
        <v>1</v>
      </c>
      <c r="M211" s="2">
        <v>4</v>
      </c>
      <c r="N211" s="2">
        <v>20</v>
      </c>
      <c r="O211" s="2">
        <v>3</v>
      </c>
      <c r="P211" s="3">
        <v>24</v>
      </c>
      <c r="Q211" s="2">
        <v>8</v>
      </c>
      <c r="R211" s="2">
        <v>8</v>
      </c>
      <c r="S211" s="2">
        <v>2</v>
      </c>
      <c r="T211" s="2">
        <v>9</v>
      </c>
      <c r="U211" s="2">
        <v>0</v>
      </c>
      <c r="V211" s="2">
        <f t="shared" si="27"/>
        <v>98</v>
      </c>
      <c r="W211" s="2">
        <v>4</v>
      </c>
      <c r="X211" s="2">
        <v>2</v>
      </c>
      <c r="Y211" s="2">
        <v>0</v>
      </c>
      <c r="Z211" s="2">
        <f t="shared" si="21"/>
        <v>6</v>
      </c>
      <c r="AA211" s="2">
        <f t="shared" si="22"/>
        <v>104</v>
      </c>
      <c r="AB211" s="2">
        <v>3498</v>
      </c>
      <c r="AC211" s="20">
        <f t="shared" si="23"/>
        <v>2.97312750142939</v>
      </c>
      <c r="AD211" s="2" t="s">
        <v>49</v>
      </c>
      <c r="AE211" s="2">
        <v>125</v>
      </c>
      <c r="AF211" s="21">
        <f t="shared" si="24"/>
        <v>4.4715837621498</v>
      </c>
      <c r="AG211" s="4">
        <f t="shared" si="25"/>
        <v>2.80160091480846</v>
      </c>
      <c r="AH211" s="4">
        <f t="shared" si="26"/>
        <v>0.171526586620926</v>
      </c>
    </row>
    <row r="212" spans="1:34">
      <c r="A212" s="2">
        <v>20260113</v>
      </c>
      <c r="B212" s="2" t="s">
        <v>471</v>
      </c>
      <c r="C212" s="2" t="s">
        <v>472</v>
      </c>
      <c r="D212" s="2">
        <v>0</v>
      </c>
      <c r="E212" s="2">
        <v>5</v>
      </c>
      <c r="F212" s="2">
        <v>22</v>
      </c>
      <c r="G212" s="2">
        <v>5</v>
      </c>
      <c r="H212" s="2">
        <v>14</v>
      </c>
      <c r="I212" s="3">
        <v>42</v>
      </c>
      <c r="J212" s="2">
        <v>33</v>
      </c>
      <c r="K212" s="2">
        <v>14</v>
      </c>
      <c r="L212" s="2">
        <v>0</v>
      </c>
      <c r="M212" s="2">
        <v>13</v>
      </c>
      <c r="N212" s="2">
        <v>37</v>
      </c>
      <c r="O212" s="2">
        <v>63</v>
      </c>
      <c r="P212" s="3">
        <v>34</v>
      </c>
      <c r="Q212" s="2">
        <v>21</v>
      </c>
      <c r="R212" s="2">
        <v>17</v>
      </c>
      <c r="S212" s="2">
        <v>3</v>
      </c>
      <c r="T212" s="2">
        <v>11</v>
      </c>
      <c r="U212" s="2">
        <v>7</v>
      </c>
      <c r="V212" s="2">
        <f t="shared" si="27"/>
        <v>156</v>
      </c>
      <c r="W212" s="2">
        <v>7</v>
      </c>
      <c r="X212" s="2">
        <v>3</v>
      </c>
      <c r="Y212" s="2">
        <v>0</v>
      </c>
      <c r="Z212" s="2">
        <f t="shared" si="21"/>
        <v>17</v>
      </c>
      <c r="AA212" s="2">
        <f t="shared" si="22"/>
        <v>173</v>
      </c>
      <c r="AB212" s="2">
        <v>2698</v>
      </c>
      <c r="AC212" s="20">
        <f t="shared" si="23"/>
        <v>6.412157153447</v>
      </c>
      <c r="AD212" s="2" t="s">
        <v>49</v>
      </c>
      <c r="AE212" s="2">
        <v>125</v>
      </c>
      <c r="AF212" s="21">
        <f t="shared" si="24"/>
        <v>9.64388435878429</v>
      </c>
      <c r="AG212" s="4">
        <f t="shared" si="25"/>
        <v>5.78206078576724</v>
      </c>
      <c r="AH212" s="4">
        <f t="shared" si="26"/>
        <v>0.630096367679763</v>
      </c>
    </row>
    <row r="213" spans="1:34">
      <c r="A213" s="2">
        <v>20260113</v>
      </c>
      <c r="B213" s="2" t="s">
        <v>473</v>
      </c>
      <c r="C213" s="2" t="s">
        <v>474</v>
      </c>
      <c r="D213" s="2">
        <v>1</v>
      </c>
      <c r="E213" s="2">
        <v>0</v>
      </c>
      <c r="F213" s="2">
        <v>6</v>
      </c>
      <c r="G213" s="2">
        <v>11</v>
      </c>
      <c r="H213" s="2">
        <v>9</v>
      </c>
      <c r="I213" s="3">
        <v>28</v>
      </c>
      <c r="J213" s="2">
        <v>13</v>
      </c>
      <c r="K213" s="2">
        <v>6</v>
      </c>
      <c r="L213" s="2">
        <v>2</v>
      </c>
      <c r="M213" s="2">
        <v>3</v>
      </c>
      <c r="N213" s="2">
        <v>22</v>
      </c>
      <c r="O213" s="2">
        <v>6</v>
      </c>
      <c r="P213" s="3">
        <v>31</v>
      </c>
      <c r="Q213" s="2">
        <v>15</v>
      </c>
      <c r="R213" s="2">
        <v>8</v>
      </c>
      <c r="S213" s="2">
        <v>2</v>
      </c>
      <c r="T213" s="2">
        <v>8</v>
      </c>
      <c r="U213" s="2">
        <v>1</v>
      </c>
      <c r="V213" s="2">
        <f t="shared" si="27"/>
        <v>98</v>
      </c>
      <c r="W213" s="2">
        <v>3</v>
      </c>
      <c r="X213" s="2">
        <v>10</v>
      </c>
      <c r="Y213" s="2">
        <v>0</v>
      </c>
      <c r="Z213" s="2">
        <f t="shared" si="21"/>
        <v>14</v>
      </c>
      <c r="AA213" s="2">
        <f t="shared" si="22"/>
        <v>112</v>
      </c>
      <c r="AB213" s="2">
        <v>3299</v>
      </c>
      <c r="AC213" s="20">
        <f t="shared" si="23"/>
        <v>3.39496817217339</v>
      </c>
      <c r="AD213" s="2" t="s">
        <v>49</v>
      </c>
      <c r="AE213" s="2">
        <v>125</v>
      </c>
      <c r="AF213" s="21">
        <f t="shared" si="24"/>
        <v>5.10603213094877</v>
      </c>
      <c r="AG213" s="4">
        <f t="shared" si="25"/>
        <v>2.97059715065171</v>
      </c>
      <c r="AH213" s="4">
        <f t="shared" si="26"/>
        <v>0.424371021521673</v>
      </c>
    </row>
    <row r="214" spans="1:34">
      <c r="A214" s="2">
        <v>20260113</v>
      </c>
      <c r="B214" s="2" t="s">
        <v>475</v>
      </c>
      <c r="C214" s="2" t="s">
        <v>476</v>
      </c>
      <c r="D214" s="2">
        <v>2</v>
      </c>
      <c r="E214" s="2">
        <v>9</v>
      </c>
      <c r="F214" s="2">
        <v>14</v>
      </c>
      <c r="G214" s="2">
        <v>8</v>
      </c>
      <c r="H214" s="2">
        <v>11</v>
      </c>
      <c r="I214" s="3">
        <v>29</v>
      </c>
      <c r="J214" s="2">
        <v>26</v>
      </c>
      <c r="K214" s="2">
        <v>2</v>
      </c>
      <c r="L214" s="2">
        <v>1</v>
      </c>
      <c r="M214" s="2">
        <v>24</v>
      </c>
      <c r="N214" s="2">
        <v>7</v>
      </c>
      <c r="O214" s="2">
        <v>28</v>
      </c>
      <c r="P214" s="3">
        <v>28</v>
      </c>
      <c r="Q214" s="2">
        <v>11</v>
      </c>
      <c r="R214" s="2">
        <v>12</v>
      </c>
      <c r="S214" s="2">
        <v>2</v>
      </c>
      <c r="T214" s="2">
        <v>7</v>
      </c>
      <c r="U214" s="2">
        <v>1</v>
      </c>
      <c r="V214" s="2">
        <f t="shared" si="27"/>
        <v>122</v>
      </c>
      <c r="W214" s="2">
        <v>9</v>
      </c>
      <c r="X214" s="2">
        <v>5</v>
      </c>
      <c r="Y214" s="2">
        <v>0</v>
      </c>
      <c r="Z214" s="2">
        <f t="shared" si="21"/>
        <v>15</v>
      </c>
      <c r="AA214" s="2">
        <f t="shared" si="22"/>
        <v>137</v>
      </c>
      <c r="AB214" s="2">
        <v>1725</v>
      </c>
      <c r="AC214" s="20">
        <f t="shared" si="23"/>
        <v>7.94202898550725</v>
      </c>
      <c r="AD214" s="2" t="s">
        <v>229</v>
      </c>
      <c r="AE214" s="2">
        <v>188</v>
      </c>
      <c r="AF214" s="21">
        <f t="shared" si="24"/>
        <v>7.94202898550725</v>
      </c>
      <c r="AG214" s="4">
        <f t="shared" si="25"/>
        <v>7.07246376811594</v>
      </c>
      <c r="AH214" s="4">
        <f t="shared" si="26"/>
        <v>0.869565217391304</v>
      </c>
    </row>
    <row r="215" spans="1:34">
      <c r="A215" s="2">
        <v>20260113</v>
      </c>
      <c r="B215" s="2" t="s">
        <v>477</v>
      </c>
      <c r="C215" s="2" t="s">
        <v>478</v>
      </c>
      <c r="D215" s="2">
        <v>2</v>
      </c>
      <c r="E215" s="2">
        <v>4</v>
      </c>
      <c r="F215" s="2">
        <v>29</v>
      </c>
      <c r="G215" s="2">
        <v>5</v>
      </c>
      <c r="H215" s="2">
        <v>3</v>
      </c>
      <c r="I215" s="3">
        <v>26</v>
      </c>
      <c r="J215" s="2">
        <v>6</v>
      </c>
      <c r="K215" s="2">
        <v>3</v>
      </c>
      <c r="L215" s="2">
        <v>1</v>
      </c>
      <c r="M215" s="2">
        <v>13</v>
      </c>
      <c r="N215" s="2">
        <v>4</v>
      </c>
      <c r="O215" s="2">
        <v>17</v>
      </c>
      <c r="P215" s="3">
        <v>35</v>
      </c>
      <c r="Q215" s="2">
        <v>14</v>
      </c>
      <c r="R215" s="2">
        <v>9</v>
      </c>
      <c r="S215" s="2">
        <v>1</v>
      </c>
      <c r="T215" s="2">
        <v>4</v>
      </c>
      <c r="U215" s="2">
        <v>1</v>
      </c>
      <c r="V215" s="2">
        <f t="shared" si="27"/>
        <v>82</v>
      </c>
      <c r="W215" s="2">
        <v>2</v>
      </c>
      <c r="X215" s="2">
        <v>12</v>
      </c>
      <c r="Y215" s="2">
        <v>0</v>
      </c>
      <c r="Z215" s="2">
        <f t="shared" si="21"/>
        <v>15</v>
      </c>
      <c r="AA215" s="2">
        <f t="shared" si="22"/>
        <v>97</v>
      </c>
      <c r="AB215" s="2">
        <v>1725</v>
      </c>
      <c r="AC215" s="20">
        <f t="shared" si="23"/>
        <v>5.6231884057971</v>
      </c>
      <c r="AD215" s="2" t="s">
        <v>229</v>
      </c>
      <c r="AE215" s="2">
        <v>188</v>
      </c>
      <c r="AF215" s="21">
        <f t="shared" si="24"/>
        <v>5.6231884057971</v>
      </c>
      <c r="AG215" s="4">
        <f t="shared" si="25"/>
        <v>4.7536231884058</v>
      </c>
      <c r="AH215" s="4">
        <f t="shared" si="26"/>
        <v>0.869565217391304</v>
      </c>
    </row>
    <row r="216" spans="1:34">
      <c r="A216" s="2">
        <v>20260114</v>
      </c>
      <c r="B216" s="2" t="s">
        <v>479</v>
      </c>
      <c r="C216" s="2" t="s">
        <v>480</v>
      </c>
      <c r="D216" s="2">
        <v>8</v>
      </c>
      <c r="E216" s="2">
        <v>2</v>
      </c>
      <c r="F216" s="2">
        <v>28</v>
      </c>
      <c r="G216" s="2">
        <v>9</v>
      </c>
      <c r="H216" s="2">
        <v>9</v>
      </c>
      <c r="I216" s="3">
        <v>54</v>
      </c>
      <c r="J216" s="2">
        <v>12</v>
      </c>
      <c r="K216" s="2">
        <v>7</v>
      </c>
      <c r="L216" s="2">
        <v>1</v>
      </c>
      <c r="M216" s="2">
        <v>22</v>
      </c>
      <c r="N216" s="2">
        <v>8</v>
      </c>
      <c r="O216" s="2">
        <v>46</v>
      </c>
      <c r="P216" s="3">
        <v>37</v>
      </c>
      <c r="Q216" s="2">
        <v>18</v>
      </c>
      <c r="R216" s="2">
        <v>17</v>
      </c>
      <c r="S216" s="2">
        <v>1</v>
      </c>
      <c r="T216" s="2">
        <v>7</v>
      </c>
      <c r="U216" s="2">
        <v>0</v>
      </c>
      <c r="V216" s="2">
        <f t="shared" si="27"/>
        <v>133</v>
      </c>
      <c r="W216" s="2">
        <v>12</v>
      </c>
      <c r="X216" s="2">
        <v>13</v>
      </c>
      <c r="Y216" s="2">
        <v>0</v>
      </c>
      <c r="Z216" s="2">
        <f t="shared" si="21"/>
        <v>25</v>
      </c>
      <c r="AA216" s="2">
        <f t="shared" si="22"/>
        <v>158</v>
      </c>
      <c r="AB216" s="2">
        <v>2574</v>
      </c>
      <c r="AC216" s="20">
        <f t="shared" si="23"/>
        <v>6.13830613830614</v>
      </c>
      <c r="AD216" s="2" t="s">
        <v>44</v>
      </c>
      <c r="AE216" s="2">
        <v>188</v>
      </c>
      <c r="AF216" s="21">
        <f t="shared" si="24"/>
        <v>6.13830613830614</v>
      </c>
      <c r="AG216" s="4">
        <f t="shared" si="25"/>
        <v>5.16705516705517</v>
      </c>
      <c r="AH216" s="4">
        <f t="shared" si="26"/>
        <v>0.971250971250971</v>
      </c>
    </row>
    <row r="217" spans="1:34">
      <c r="A217" s="2">
        <v>20260114</v>
      </c>
      <c r="B217" s="2" t="s">
        <v>481</v>
      </c>
      <c r="C217" s="2" t="s">
        <v>482</v>
      </c>
      <c r="D217" s="2">
        <v>10</v>
      </c>
      <c r="E217" s="2">
        <v>3</v>
      </c>
      <c r="F217" s="2">
        <v>30</v>
      </c>
      <c r="G217" s="2">
        <v>0</v>
      </c>
      <c r="H217" s="2">
        <v>5</v>
      </c>
      <c r="I217" s="3">
        <v>33</v>
      </c>
      <c r="J217" s="2">
        <v>13</v>
      </c>
      <c r="K217" s="2">
        <v>1</v>
      </c>
      <c r="L217" s="2">
        <v>0</v>
      </c>
      <c r="M217" s="2">
        <v>19</v>
      </c>
      <c r="N217" s="2">
        <v>34</v>
      </c>
      <c r="O217" s="2">
        <v>37</v>
      </c>
      <c r="P217" s="3">
        <v>32</v>
      </c>
      <c r="Q217" s="2">
        <v>25</v>
      </c>
      <c r="R217" s="2">
        <v>14</v>
      </c>
      <c r="S217" s="2">
        <v>2</v>
      </c>
      <c r="T217" s="2">
        <v>2</v>
      </c>
      <c r="U217" s="2">
        <v>0</v>
      </c>
      <c r="V217" s="2">
        <f t="shared" si="27"/>
        <v>99</v>
      </c>
      <c r="W217" s="2">
        <v>3</v>
      </c>
      <c r="X217" s="2">
        <v>3</v>
      </c>
      <c r="Y217" s="2">
        <v>0</v>
      </c>
      <c r="Z217" s="2">
        <f t="shared" si="21"/>
        <v>6</v>
      </c>
      <c r="AA217" s="2">
        <f t="shared" si="22"/>
        <v>105</v>
      </c>
      <c r="AB217" s="2">
        <v>2474</v>
      </c>
      <c r="AC217" s="20">
        <f t="shared" si="23"/>
        <v>4.24413904607922</v>
      </c>
      <c r="AD217" s="2" t="s">
        <v>44</v>
      </c>
      <c r="AE217" s="2">
        <v>188</v>
      </c>
      <c r="AF217" s="21">
        <f t="shared" si="24"/>
        <v>4.24413904607922</v>
      </c>
      <c r="AG217" s="4">
        <f t="shared" si="25"/>
        <v>4.0016168148747</v>
      </c>
      <c r="AH217" s="4">
        <f t="shared" si="26"/>
        <v>0.242522231204527</v>
      </c>
    </row>
    <row r="218" spans="1:34">
      <c r="A218" s="2">
        <v>20260114</v>
      </c>
      <c r="B218" s="2" t="s">
        <v>483</v>
      </c>
      <c r="C218" s="2" t="s">
        <v>484</v>
      </c>
      <c r="D218" s="2">
        <v>6</v>
      </c>
      <c r="E218" s="2">
        <v>4</v>
      </c>
      <c r="F218" s="2">
        <v>16</v>
      </c>
      <c r="G218" s="2">
        <v>9</v>
      </c>
      <c r="H218" s="2">
        <v>7</v>
      </c>
      <c r="I218" s="3">
        <v>35</v>
      </c>
      <c r="J218" s="2">
        <v>18</v>
      </c>
      <c r="K218" s="2">
        <v>1</v>
      </c>
      <c r="L218" s="2">
        <v>1</v>
      </c>
      <c r="M218" s="2">
        <v>14</v>
      </c>
      <c r="N218" s="2">
        <v>10</v>
      </c>
      <c r="O218" s="2">
        <v>32</v>
      </c>
      <c r="P218" s="3">
        <v>37</v>
      </c>
      <c r="Q218" s="2">
        <v>13</v>
      </c>
      <c r="R218" s="2">
        <v>5</v>
      </c>
      <c r="S218" s="2">
        <v>3</v>
      </c>
      <c r="T218" s="2">
        <v>2</v>
      </c>
      <c r="U218" s="2">
        <v>2</v>
      </c>
      <c r="V218" s="2">
        <f t="shared" si="27"/>
        <v>115</v>
      </c>
      <c r="W218" s="2">
        <v>0</v>
      </c>
      <c r="X218" s="2">
        <v>9</v>
      </c>
      <c r="Y218" s="2">
        <v>0</v>
      </c>
      <c r="Z218" s="2">
        <f t="shared" si="21"/>
        <v>11</v>
      </c>
      <c r="AA218" s="2">
        <f t="shared" si="22"/>
        <v>126</v>
      </c>
      <c r="AB218" s="2">
        <v>2224</v>
      </c>
      <c r="AC218" s="20">
        <f t="shared" si="23"/>
        <v>5.66546762589928</v>
      </c>
      <c r="AD218" s="2" t="s">
        <v>44</v>
      </c>
      <c r="AE218" s="2">
        <v>188</v>
      </c>
      <c r="AF218" s="21">
        <f t="shared" si="24"/>
        <v>5.66546762589928</v>
      </c>
      <c r="AG218" s="4">
        <f t="shared" si="25"/>
        <v>5.17086330935252</v>
      </c>
      <c r="AH218" s="4">
        <f t="shared" si="26"/>
        <v>0.494604316546763</v>
      </c>
    </row>
    <row r="219" spans="1:34">
      <c r="A219" s="2">
        <v>20260114</v>
      </c>
      <c r="B219" s="2" t="s">
        <v>485</v>
      </c>
      <c r="C219" s="2" t="s">
        <v>486</v>
      </c>
      <c r="D219" s="2">
        <v>7</v>
      </c>
      <c r="E219" s="2">
        <v>4</v>
      </c>
      <c r="F219" s="2">
        <v>22</v>
      </c>
      <c r="G219" s="2">
        <v>7</v>
      </c>
      <c r="H219" s="2">
        <v>7</v>
      </c>
      <c r="I219" s="3">
        <v>26</v>
      </c>
      <c r="J219" s="2">
        <v>5</v>
      </c>
      <c r="K219" s="2">
        <v>20</v>
      </c>
      <c r="L219" s="2">
        <v>18</v>
      </c>
      <c r="M219" s="2">
        <v>5</v>
      </c>
      <c r="N219" s="2">
        <v>2</v>
      </c>
      <c r="O219" s="2">
        <v>0</v>
      </c>
      <c r="P219" s="3">
        <v>18</v>
      </c>
      <c r="Q219" s="2">
        <v>5</v>
      </c>
      <c r="R219" s="2">
        <v>34</v>
      </c>
      <c r="S219" s="2">
        <v>30</v>
      </c>
      <c r="T219" s="2">
        <v>23</v>
      </c>
      <c r="U219" s="2">
        <v>2</v>
      </c>
      <c r="V219" s="2">
        <f t="shared" si="27"/>
        <v>99</v>
      </c>
      <c r="W219" s="2">
        <v>5</v>
      </c>
      <c r="X219" s="2">
        <v>25</v>
      </c>
      <c r="Y219" s="2">
        <v>0</v>
      </c>
      <c r="Z219" s="2">
        <f t="shared" si="21"/>
        <v>32</v>
      </c>
      <c r="AA219" s="2">
        <f t="shared" si="22"/>
        <v>131</v>
      </c>
      <c r="AB219" s="2">
        <v>2224</v>
      </c>
      <c r="AC219" s="20">
        <f t="shared" si="23"/>
        <v>5.89028776978417</v>
      </c>
      <c r="AD219" s="2" t="s">
        <v>44</v>
      </c>
      <c r="AE219" s="2">
        <v>188</v>
      </c>
      <c r="AF219" s="21">
        <f t="shared" si="24"/>
        <v>5.89028776978417</v>
      </c>
      <c r="AG219" s="4">
        <f t="shared" si="25"/>
        <v>4.45143884892086</v>
      </c>
      <c r="AH219" s="4">
        <f t="shared" si="26"/>
        <v>1.43884892086331</v>
      </c>
    </row>
    <row r="220" spans="1:34">
      <c r="A220" s="2">
        <v>20260114</v>
      </c>
      <c r="B220" s="2" t="s">
        <v>487</v>
      </c>
      <c r="C220" s="2" t="s">
        <v>488</v>
      </c>
      <c r="D220" s="2">
        <v>6</v>
      </c>
      <c r="E220" s="2">
        <v>3</v>
      </c>
      <c r="F220" s="2">
        <v>16</v>
      </c>
      <c r="G220" s="2">
        <v>4</v>
      </c>
      <c r="H220" s="2">
        <v>3</v>
      </c>
      <c r="I220" s="3">
        <v>24</v>
      </c>
      <c r="J220" s="2">
        <v>14</v>
      </c>
      <c r="K220" s="2">
        <v>4</v>
      </c>
      <c r="L220" s="2">
        <v>1</v>
      </c>
      <c r="M220" s="2">
        <v>18</v>
      </c>
      <c r="N220" s="2">
        <v>29</v>
      </c>
      <c r="O220" s="2">
        <v>32</v>
      </c>
      <c r="P220" s="3">
        <v>25</v>
      </c>
      <c r="Q220" s="2">
        <v>12</v>
      </c>
      <c r="R220" s="2">
        <v>4</v>
      </c>
      <c r="S220" s="2">
        <v>0</v>
      </c>
      <c r="T220" s="2">
        <v>3</v>
      </c>
      <c r="U220" s="2">
        <v>0</v>
      </c>
      <c r="V220" s="2">
        <f t="shared" si="27"/>
        <v>80</v>
      </c>
      <c r="W220" s="2">
        <v>2</v>
      </c>
      <c r="X220" s="2">
        <v>13</v>
      </c>
      <c r="Y220" s="2">
        <v>1</v>
      </c>
      <c r="Z220" s="2">
        <f t="shared" si="21"/>
        <v>16</v>
      </c>
      <c r="AA220" s="2">
        <f t="shared" si="22"/>
        <v>96</v>
      </c>
      <c r="AB220" s="2">
        <v>2125</v>
      </c>
      <c r="AC220" s="20">
        <f t="shared" si="23"/>
        <v>4.51764705882353</v>
      </c>
      <c r="AD220" s="2" t="s">
        <v>44</v>
      </c>
      <c r="AE220" s="2">
        <v>188</v>
      </c>
      <c r="AF220" s="21">
        <f t="shared" si="24"/>
        <v>4.51764705882353</v>
      </c>
      <c r="AG220" s="4">
        <f t="shared" si="25"/>
        <v>3.76470588235294</v>
      </c>
      <c r="AH220" s="4">
        <f t="shared" si="26"/>
        <v>0.752941176470588</v>
      </c>
    </row>
    <row r="221" spans="1:34">
      <c r="A221" s="2">
        <v>20260114</v>
      </c>
      <c r="B221" s="2" t="s">
        <v>489</v>
      </c>
      <c r="C221" s="2" t="s">
        <v>490</v>
      </c>
      <c r="D221" s="2">
        <v>3</v>
      </c>
      <c r="E221" s="2">
        <v>5</v>
      </c>
      <c r="F221" s="2">
        <v>20</v>
      </c>
      <c r="G221" s="2">
        <v>5</v>
      </c>
      <c r="H221" s="2">
        <v>18</v>
      </c>
      <c r="I221" s="3">
        <v>28</v>
      </c>
      <c r="J221" s="2">
        <v>25</v>
      </c>
      <c r="K221" s="2">
        <v>4</v>
      </c>
      <c r="L221" s="2">
        <v>0</v>
      </c>
      <c r="M221" s="2">
        <v>24</v>
      </c>
      <c r="N221" s="2">
        <v>14</v>
      </c>
      <c r="O221" s="2">
        <v>39</v>
      </c>
      <c r="P221" s="3">
        <v>44</v>
      </c>
      <c r="Q221" s="2">
        <v>18</v>
      </c>
      <c r="R221" s="2">
        <v>8</v>
      </c>
      <c r="S221" s="2">
        <v>2</v>
      </c>
      <c r="T221" s="2">
        <v>1</v>
      </c>
      <c r="U221" s="2">
        <v>1</v>
      </c>
      <c r="V221" s="2">
        <f t="shared" si="27"/>
        <v>132</v>
      </c>
      <c r="W221" s="2">
        <v>6</v>
      </c>
      <c r="X221" s="2">
        <v>11</v>
      </c>
      <c r="Y221" s="2">
        <v>0</v>
      </c>
      <c r="Z221" s="2">
        <f t="shared" si="21"/>
        <v>18</v>
      </c>
      <c r="AA221" s="2">
        <f t="shared" si="22"/>
        <v>150</v>
      </c>
      <c r="AB221" s="2">
        <v>2125</v>
      </c>
      <c r="AC221" s="20">
        <f t="shared" si="23"/>
        <v>7.05882352941176</v>
      </c>
      <c r="AD221" s="2" t="s">
        <v>44</v>
      </c>
      <c r="AE221" s="2">
        <v>188</v>
      </c>
      <c r="AF221" s="21">
        <f t="shared" si="24"/>
        <v>7.05882352941176</v>
      </c>
      <c r="AG221" s="4">
        <f t="shared" si="25"/>
        <v>6.21176470588235</v>
      </c>
      <c r="AH221" s="4">
        <f t="shared" si="26"/>
        <v>0.847058823529412</v>
      </c>
    </row>
    <row r="222" spans="1:34">
      <c r="A222" s="2">
        <v>20260114</v>
      </c>
      <c r="B222" s="2" t="s">
        <v>491</v>
      </c>
      <c r="C222" s="2" t="s">
        <v>492</v>
      </c>
      <c r="D222" s="2">
        <v>2</v>
      </c>
      <c r="E222" s="2">
        <v>0</v>
      </c>
      <c r="F222" s="2">
        <v>9</v>
      </c>
      <c r="G222" s="2">
        <v>0</v>
      </c>
      <c r="H222" s="2">
        <v>8</v>
      </c>
      <c r="I222" s="3">
        <v>7</v>
      </c>
      <c r="J222" s="2">
        <v>2</v>
      </c>
      <c r="K222" s="2">
        <v>1</v>
      </c>
      <c r="L222" s="2">
        <v>15</v>
      </c>
      <c r="M222" s="2">
        <v>11</v>
      </c>
      <c r="N222" s="2">
        <v>11</v>
      </c>
      <c r="O222" s="2">
        <v>19</v>
      </c>
      <c r="P222" s="3">
        <v>8</v>
      </c>
      <c r="Q222" s="2">
        <v>3</v>
      </c>
      <c r="R222" s="2">
        <v>1</v>
      </c>
      <c r="S222" s="2">
        <v>2</v>
      </c>
      <c r="T222" s="2">
        <v>0</v>
      </c>
      <c r="U222" s="2">
        <v>0</v>
      </c>
      <c r="V222" s="2">
        <f t="shared" si="27"/>
        <v>45</v>
      </c>
      <c r="W222" s="2">
        <v>4</v>
      </c>
      <c r="X222" s="2">
        <v>2</v>
      </c>
      <c r="Y222" s="2">
        <v>1</v>
      </c>
      <c r="Z222" s="2">
        <f t="shared" si="21"/>
        <v>7</v>
      </c>
      <c r="AA222" s="2">
        <f t="shared" si="22"/>
        <v>52</v>
      </c>
      <c r="AB222" s="2">
        <v>1725</v>
      </c>
      <c r="AC222" s="20">
        <f t="shared" si="23"/>
        <v>3.01449275362319</v>
      </c>
      <c r="AD222" s="2" t="s">
        <v>44</v>
      </c>
      <c r="AE222" s="2">
        <v>188</v>
      </c>
      <c r="AF222" s="21">
        <f t="shared" si="24"/>
        <v>3.01449275362319</v>
      </c>
      <c r="AG222" s="4">
        <f t="shared" si="25"/>
        <v>2.60869565217391</v>
      </c>
      <c r="AH222" s="4">
        <f t="shared" si="26"/>
        <v>0.405797101449275</v>
      </c>
    </row>
    <row r="223" spans="1:34">
      <c r="A223" s="2">
        <v>20260114</v>
      </c>
      <c r="B223" s="2" t="s">
        <v>493</v>
      </c>
      <c r="C223" s="2" t="s">
        <v>494</v>
      </c>
      <c r="D223" s="2">
        <v>4</v>
      </c>
      <c r="E223" s="2">
        <v>7</v>
      </c>
      <c r="F223" s="2">
        <v>19</v>
      </c>
      <c r="G223" s="2">
        <v>4</v>
      </c>
      <c r="H223" s="2">
        <v>7</v>
      </c>
      <c r="I223" s="3">
        <v>14</v>
      </c>
      <c r="J223" s="2">
        <v>12</v>
      </c>
      <c r="K223" s="2">
        <v>3</v>
      </c>
      <c r="L223" s="2">
        <v>1</v>
      </c>
      <c r="M223" s="2">
        <v>20</v>
      </c>
      <c r="N223" s="2">
        <v>4</v>
      </c>
      <c r="O223" s="2">
        <v>29</v>
      </c>
      <c r="P223" s="3">
        <v>26</v>
      </c>
      <c r="Q223" s="2">
        <v>10</v>
      </c>
      <c r="R223" s="2">
        <v>13</v>
      </c>
      <c r="S223" s="2">
        <v>0</v>
      </c>
      <c r="T223" s="2">
        <v>1</v>
      </c>
      <c r="U223" s="2">
        <v>0</v>
      </c>
      <c r="V223" s="2">
        <f t="shared" si="27"/>
        <v>84</v>
      </c>
      <c r="W223" s="2">
        <v>2</v>
      </c>
      <c r="X223" s="2">
        <v>2</v>
      </c>
      <c r="Y223" s="2">
        <v>0</v>
      </c>
      <c r="Z223" s="2">
        <f t="shared" si="21"/>
        <v>4</v>
      </c>
      <c r="AA223" s="2">
        <f t="shared" si="22"/>
        <v>88</v>
      </c>
      <c r="AB223" s="2">
        <v>2124</v>
      </c>
      <c r="AC223" s="20">
        <f t="shared" si="23"/>
        <v>4.14312617702448</v>
      </c>
      <c r="AD223" s="2" t="s">
        <v>44</v>
      </c>
      <c r="AE223" s="2">
        <v>188</v>
      </c>
      <c r="AF223" s="21">
        <f t="shared" si="24"/>
        <v>4.14312617702448</v>
      </c>
      <c r="AG223" s="4">
        <f t="shared" si="25"/>
        <v>3.95480225988701</v>
      </c>
      <c r="AH223" s="4">
        <f t="shared" si="26"/>
        <v>0.188323917137476</v>
      </c>
    </row>
    <row r="224" spans="1:34">
      <c r="A224" s="2">
        <v>20260114</v>
      </c>
      <c r="B224" s="2" t="s">
        <v>495</v>
      </c>
      <c r="C224" s="2" t="s">
        <v>496</v>
      </c>
      <c r="D224" s="2">
        <v>6</v>
      </c>
      <c r="E224" s="2">
        <v>4</v>
      </c>
      <c r="F224" s="2">
        <v>24</v>
      </c>
      <c r="G224" s="2">
        <v>4</v>
      </c>
      <c r="H224" s="2">
        <v>3</v>
      </c>
      <c r="I224" s="3">
        <v>10</v>
      </c>
      <c r="J224" s="2">
        <v>10</v>
      </c>
      <c r="K224" s="2">
        <v>0</v>
      </c>
      <c r="L224" s="2">
        <v>1</v>
      </c>
      <c r="M224" s="2">
        <v>8</v>
      </c>
      <c r="N224" s="2">
        <v>9</v>
      </c>
      <c r="O224" s="2">
        <v>50</v>
      </c>
      <c r="P224" s="3">
        <v>16</v>
      </c>
      <c r="Q224" s="2">
        <v>23</v>
      </c>
      <c r="R224" s="2">
        <v>13</v>
      </c>
      <c r="S224" s="2">
        <v>1</v>
      </c>
      <c r="T224" s="2">
        <v>1</v>
      </c>
      <c r="U224" s="2">
        <v>0</v>
      </c>
      <c r="V224" s="2">
        <f t="shared" si="27"/>
        <v>52</v>
      </c>
      <c r="W224" s="2">
        <v>1</v>
      </c>
      <c r="X224" s="2">
        <v>0</v>
      </c>
      <c r="Y224" s="2">
        <v>0</v>
      </c>
      <c r="Z224" s="2">
        <f t="shared" si="21"/>
        <v>1</v>
      </c>
      <c r="AA224" s="2">
        <f t="shared" si="22"/>
        <v>53</v>
      </c>
      <c r="AB224" s="2">
        <v>1725</v>
      </c>
      <c r="AC224" s="20">
        <f t="shared" si="23"/>
        <v>3.07246376811594</v>
      </c>
      <c r="AD224" s="2" t="s">
        <v>229</v>
      </c>
      <c r="AE224" s="2">
        <v>188</v>
      </c>
      <c r="AF224" s="21">
        <f t="shared" si="24"/>
        <v>3.07246376811594</v>
      </c>
      <c r="AG224" s="4">
        <f t="shared" si="25"/>
        <v>3.01449275362319</v>
      </c>
      <c r="AH224" s="4">
        <f t="shared" si="26"/>
        <v>0.0579710144927536</v>
      </c>
    </row>
    <row r="225" spans="1:34">
      <c r="A225" s="2">
        <v>20260114</v>
      </c>
      <c r="B225" s="2" t="s">
        <v>497</v>
      </c>
      <c r="C225" s="2" t="s">
        <v>498</v>
      </c>
      <c r="D225" s="2">
        <v>3</v>
      </c>
      <c r="E225" s="2">
        <v>1</v>
      </c>
      <c r="F225" s="2">
        <v>34</v>
      </c>
      <c r="G225" s="2">
        <v>2</v>
      </c>
      <c r="H225" s="2">
        <v>4</v>
      </c>
      <c r="I225" s="3">
        <v>12</v>
      </c>
      <c r="J225" s="2">
        <v>13</v>
      </c>
      <c r="K225" s="2">
        <v>12</v>
      </c>
      <c r="L225" s="2">
        <v>3</v>
      </c>
      <c r="M225" s="2">
        <v>10</v>
      </c>
      <c r="N225" s="2">
        <v>7</v>
      </c>
      <c r="O225" s="2">
        <v>28</v>
      </c>
      <c r="P225" s="3">
        <v>27</v>
      </c>
      <c r="Q225" s="2">
        <v>33</v>
      </c>
      <c r="R225" s="2">
        <v>4</v>
      </c>
      <c r="S225" s="2">
        <v>1</v>
      </c>
      <c r="T225" s="2">
        <v>2</v>
      </c>
      <c r="U225" s="2">
        <v>1</v>
      </c>
      <c r="V225" s="2">
        <f t="shared" si="27"/>
        <v>79</v>
      </c>
      <c r="W225" s="2">
        <v>6</v>
      </c>
      <c r="X225" s="2">
        <v>0</v>
      </c>
      <c r="Y225" s="2">
        <v>0</v>
      </c>
      <c r="Z225" s="2">
        <f t="shared" si="21"/>
        <v>7</v>
      </c>
      <c r="AA225" s="2">
        <f t="shared" si="22"/>
        <v>86</v>
      </c>
      <c r="AB225" s="2">
        <v>2124</v>
      </c>
      <c r="AC225" s="20">
        <f t="shared" si="23"/>
        <v>4.04896421845574</v>
      </c>
      <c r="AD225" s="2" t="s">
        <v>58</v>
      </c>
      <c r="AE225" s="2">
        <v>188</v>
      </c>
      <c r="AF225" s="21">
        <f t="shared" si="24"/>
        <v>4.04896421845574</v>
      </c>
      <c r="AG225" s="4">
        <f t="shared" si="25"/>
        <v>3.71939736346516</v>
      </c>
      <c r="AH225" s="4">
        <f t="shared" si="26"/>
        <v>0.329566854990584</v>
      </c>
    </row>
    <row r="226" spans="1:34">
      <c r="A226" s="2">
        <v>20260114</v>
      </c>
      <c r="B226" s="2" t="s">
        <v>499</v>
      </c>
      <c r="C226" s="2" t="s">
        <v>500</v>
      </c>
      <c r="D226" s="2">
        <v>0</v>
      </c>
      <c r="E226" s="2">
        <v>3</v>
      </c>
      <c r="F226" s="2">
        <v>1</v>
      </c>
      <c r="G226" s="2">
        <v>11</v>
      </c>
      <c r="H226" s="2">
        <v>20</v>
      </c>
      <c r="I226" s="3">
        <v>29</v>
      </c>
      <c r="J226" s="2">
        <v>9</v>
      </c>
      <c r="K226" s="2">
        <v>4</v>
      </c>
      <c r="L226" s="2">
        <v>1</v>
      </c>
      <c r="M226" s="2">
        <v>6</v>
      </c>
      <c r="N226" s="2">
        <v>19</v>
      </c>
      <c r="O226" s="2">
        <v>0</v>
      </c>
      <c r="P226" s="3">
        <v>28</v>
      </c>
      <c r="Q226" s="2">
        <v>1</v>
      </c>
      <c r="R226" s="2">
        <v>59</v>
      </c>
      <c r="S226" s="2">
        <v>6</v>
      </c>
      <c r="T226" s="2">
        <v>36</v>
      </c>
      <c r="U226" s="2">
        <v>0</v>
      </c>
      <c r="V226" s="2">
        <f t="shared" si="27"/>
        <v>133</v>
      </c>
      <c r="W226" s="2">
        <v>1</v>
      </c>
      <c r="X226" s="2">
        <v>10</v>
      </c>
      <c r="Y226" s="2">
        <v>0</v>
      </c>
      <c r="Z226" s="2">
        <f t="shared" si="21"/>
        <v>11</v>
      </c>
      <c r="AA226" s="2">
        <f t="shared" si="22"/>
        <v>144</v>
      </c>
      <c r="AB226" s="2">
        <v>2841</v>
      </c>
      <c r="AC226" s="20">
        <f t="shared" si="23"/>
        <v>5.06863780359029</v>
      </c>
      <c r="AD226" s="2" t="s">
        <v>58</v>
      </c>
      <c r="AE226" s="2">
        <v>100</v>
      </c>
      <c r="AF226" s="21">
        <f t="shared" si="24"/>
        <v>9.52903907074974</v>
      </c>
      <c r="AG226" s="4">
        <f t="shared" si="25"/>
        <v>4.6814501935938</v>
      </c>
      <c r="AH226" s="4">
        <f t="shared" si="26"/>
        <v>0.38718760999648</v>
      </c>
    </row>
    <row r="227" spans="1:34">
      <c r="A227" s="2">
        <v>20260114</v>
      </c>
      <c r="B227" s="2" t="s">
        <v>501</v>
      </c>
      <c r="C227" s="2" t="s">
        <v>502</v>
      </c>
      <c r="D227" s="2">
        <v>2</v>
      </c>
      <c r="E227" s="2">
        <v>8</v>
      </c>
      <c r="F227" s="2">
        <v>0</v>
      </c>
      <c r="G227" s="2">
        <v>19</v>
      </c>
      <c r="H227" s="2">
        <v>21</v>
      </c>
      <c r="I227" s="3">
        <v>45</v>
      </c>
      <c r="J227" s="2">
        <v>37</v>
      </c>
      <c r="K227" s="2">
        <v>3</v>
      </c>
      <c r="L227" s="2">
        <v>0</v>
      </c>
      <c r="M227" s="2">
        <v>6</v>
      </c>
      <c r="N227" s="2">
        <v>26</v>
      </c>
      <c r="O227" s="2">
        <v>5</v>
      </c>
      <c r="P227" s="3">
        <v>26</v>
      </c>
      <c r="Q227" s="2">
        <v>2</v>
      </c>
      <c r="R227" s="2">
        <v>618</v>
      </c>
      <c r="S227" s="2">
        <v>11</v>
      </c>
      <c r="T227" s="2">
        <v>39</v>
      </c>
      <c r="U227" s="2">
        <v>0</v>
      </c>
      <c r="V227" s="2">
        <f t="shared" si="27"/>
        <v>191</v>
      </c>
      <c r="W227" s="2">
        <v>1</v>
      </c>
      <c r="X227" s="2">
        <v>4</v>
      </c>
      <c r="Y227" s="2">
        <v>0</v>
      </c>
      <c r="Z227" s="2">
        <f t="shared" si="21"/>
        <v>5</v>
      </c>
      <c r="AA227" s="2">
        <f t="shared" si="22"/>
        <v>196</v>
      </c>
      <c r="AB227" s="2">
        <v>2095</v>
      </c>
      <c r="AC227" s="20">
        <f t="shared" si="23"/>
        <v>9.35560859188544</v>
      </c>
      <c r="AD227" s="2" t="s">
        <v>229</v>
      </c>
      <c r="AE227" s="2">
        <v>125</v>
      </c>
      <c r="AF227" s="21">
        <f t="shared" si="24"/>
        <v>14.0708353221957</v>
      </c>
      <c r="AG227" s="4">
        <f t="shared" si="25"/>
        <v>9.11694510739857</v>
      </c>
      <c r="AH227" s="4">
        <f t="shared" si="26"/>
        <v>0.238663484486874</v>
      </c>
    </row>
    <row r="228" spans="1:34">
      <c r="A228" s="2">
        <v>20260114</v>
      </c>
      <c r="B228" s="2" t="s">
        <v>503</v>
      </c>
      <c r="C228" s="2" t="s">
        <v>504</v>
      </c>
      <c r="D228" s="2">
        <v>3</v>
      </c>
      <c r="E228" s="2">
        <v>4</v>
      </c>
      <c r="F228" s="2">
        <v>0</v>
      </c>
      <c r="G228" s="2">
        <v>19</v>
      </c>
      <c r="H228" s="2">
        <v>18</v>
      </c>
      <c r="I228" s="3">
        <v>65</v>
      </c>
      <c r="J228" s="2">
        <v>34</v>
      </c>
      <c r="K228" s="2">
        <v>1</v>
      </c>
      <c r="L228" s="2">
        <v>5</v>
      </c>
      <c r="M228" s="2">
        <v>26</v>
      </c>
      <c r="N228" s="2">
        <v>27</v>
      </c>
      <c r="O228" s="2">
        <v>2</v>
      </c>
      <c r="P228" s="3">
        <v>60</v>
      </c>
      <c r="Q228" s="2">
        <v>3</v>
      </c>
      <c r="R228" s="2">
        <v>1156</v>
      </c>
      <c r="S228" s="2">
        <v>7</v>
      </c>
      <c r="T228" s="2">
        <v>25</v>
      </c>
      <c r="U228" s="2">
        <v>0</v>
      </c>
      <c r="V228" s="2">
        <f t="shared" si="27"/>
        <v>247</v>
      </c>
      <c r="W228" s="2">
        <v>1</v>
      </c>
      <c r="X228" s="2">
        <v>5</v>
      </c>
      <c r="Y228" s="2">
        <v>0</v>
      </c>
      <c r="Z228" s="2">
        <f t="shared" si="21"/>
        <v>6</v>
      </c>
      <c r="AA228" s="2">
        <f t="shared" si="22"/>
        <v>253</v>
      </c>
      <c r="AB228" s="2">
        <v>2144</v>
      </c>
      <c r="AC228" s="20">
        <f t="shared" si="23"/>
        <v>11.8003731343284</v>
      </c>
      <c r="AD228" s="2" t="s">
        <v>229</v>
      </c>
      <c r="AE228" s="2">
        <v>125</v>
      </c>
      <c r="AF228" s="21">
        <f t="shared" si="24"/>
        <v>17.7477611940299</v>
      </c>
      <c r="AG228" s="4">
        <f t="shared" si="25"/>
        <v>11.5205223880597</v>
      </c>
      <c r="AH228" s="4">
        <f t="shared" si="26"/>
        <v>0.279850746268657</v>
      </c>
    </row>
    <row r="229" spans="1:34">
      <c r="A229" s="2">
        <v>20260114</v>
      </c>
      <c r="B229" s="2" t="s">
        <v>505</v>
      </c>
      <c r="C229" s="2" t="s">
        <v>506</v>
      </c>
      <c r="D229" s="2">
        <v>18</v>
      </c>
      <c r="E229" s="2">
        <v>29</v>
      </c>
      <c r="F229" s="2">
        <v>38</v>
      </c>
      <c r="G229" s="2">
        <v>44</v>
      </c>
      <c r="H229" s="2">
        <v>41</v>
      </c>
      <c r="I229" s="3">
        <v>106</v>
      </c>
      <c r="J229" s="2">
        <v>59</v>
      </c>
      <c r="K229" s="2">
        <v>39</v>
      </c>
      <c r="L229" s="2">
        <v>3</v>
      </c>
      <c r="M229" s="2">
        <v>27</v>
      </c>
      <c r="N229" s="2">
        <v>36</v>
      </c>
      <c r="O229" s="2">
        <v>94</v>
      </c>
      <c r="P229" s="3">
        <v>61</v>
      </c>
      <c r="Q229" s="2">
        <v>24</v>
      </c>
      <c r="R229" s="2">
        <v>2884</v>
      </c>
      <c r="S229" s="2">
        <v>12</v>
      </c>
      <c r="T229" s="2">
        <v>51</v>
      </c>
      <c r="U229" s="2">
        <v>10</v>
      </c>
      <c r="V229" s="2">
        <f t="shared" si="27"/>
        <v>422</v>
      </c>
      <c r="W229" s="2">
        <v>3</v>
      </c>
      <c r="X229" s="2">
        <v>6</v>
      </c>
      <c r="Y229" s="2">
        <v>0</v>
      </c>
      <c r="Z229" s="2">
        <f t="shared" si="21"/>
        <v>19</v>
      </c>
      <c r="AA229" s="2">
        <f t="shared" si="22"/>
        <v>441</v>
      </c>
      <c r="AB229" s="2">
        <v>3002</v>
      </c>
      <c r="AC229" s="20">
        <f t="shared" si="23"/>
        <v>14.6902065289807</v>
      </c>
      <c r="AD229" s="2" t="s">
        <v>229</v>
      </c>
      <c r="AE229" s="2">
        <v>125</v>
      </c>
      <c r="AF229" s="21">
        <f t="shared" si="24"/>
        <v>22.0940706195869</v>
      </c>
      <c r="AG229" s="4">
        <f t="shared" si="25"/>
        <v>14.0572951365756</v>
      </c>
      <c r="AH229" s="4">
        <f t="shared" si="26"/>
        <v>0.632911392405063</v>
      </c>
    </row>
    <row r="230" spans="1:34">
      <c r="A230" s="2">
        <v>20260114</v>
      </c>
      <c r="B230" s="2" t="s">
        <v>507</v>
      </c>
      <c r="C230" s="2" t="s">
        <v>508</v>
      </c>
      <c r="D230" s="2">
        <v>3</v>
      </c>
      <c r="E230" s="2">
        <v>302</v>
      </c>
      <c r="F230" s="2">
        <v>7</v>
      </c>
      <c r="G230" s="2">
        <v>12</v>
      </c>
      <c r="H230" s="2">
        <v>20</v>
      </c>
      <c r="I230" s="3">
        <v>55</v>
      </c>
      <c r="J230" s="2">
        <v>108</v>
      </c>
      <c r="K230" s="2">
        <v>8</v>
      </c>
      <c r="L230" s="2">
        <v>1</v>
      </c>
      <c r="M230" s="2">
        <v>11</v>
      </c>
      <c r="N230" s="2">
        <v>30</v>
      </c>
      <c r="O230" s="2">
        <v>10</v>
      </c>
      <c r="P230" s="3">
        <v>42</v>
      </c>
      <c r="Q230" s="2">
        <v>22</v>
      </c>
      <c r="R230" s="2">
        <v>1551</v>
      </c>
      <c r="S230" s="2">
        <v>4</v>
      </c>
      <c r="T230" s="2">
        <v>7</v>
      </c>
      <c r="U230" s="2">
        <v>1</v>
      </c>
      <c r="V230" s="2">
        <f t="shared" si="27"/>
        <v>244</v>
      </c>
      <c r="W230" s="2">
        <v>2</v>
      </c>
      <c r="X230" s="2">
        <v>18</v>
      </c>
      <c r="Y230" s="2">
        <v>0</v>
      </c>
      <c r="Z230" s="2">
        <f t="shared" ref="Z230:Z239" si="28">Y230+X230+W230+U230</f>
        <v>21</v>
      </c>
      <c r="AA230" s="2">
        <f t="shared" si="22"/>
        <v>265</v>
      </c>
      <c r="AB230" s="2">
        <v>4662</v>
      </c>
      <c r="AC230" s="20">
        <f t="shared" si="23"/>
        <v>5.68425568425568</v>
      </c>
      <c r="AD230" s="2" t="s">
        <v>44</v>
      </c>
      <c r="AE230" s="2">
        <v>125</v>
      </c>
      <c r="AF230" s="21">
        <f t="shared" si="24"/>
        <v>8.54912054912055</v>
      </c>
      <c r="AG230" s="4">
        <f t="shared" si="25"/>
        <v>5.23380523380523</v>
      </c>
      <c r="AH230" s="4">
        <f t="shared" si="26"/>
        <v>0.45045045045045</v>
      </c>
    </row>
    <row r="231" spans="1:34">
      <c r="A231" s="2">
        <v>20260114</v>
      </c>
      <c r="B231" s="2" t="s">
        <v>509</v>
      </c>
      <c r="C231" s="2" t="s">
        <v>510</v>
      </c>
      <c r="D231" s="2">
        <v>0</v>
      </c>
      <c r="E231" s="2">
        <v>102</v>
      </c>
      <c r="F231" s="2">
        <v>4</v>
      </c>
      <c r="G231" s="2">
        <v>20</v>
      </c>
      <c r="H231" s="2">
        <v>9</v>
      </c>
      <c r="I231" s="3">
        <v>3</v>
      </c>
      <c r="J231" s="2">
        <v>1</v>
      </c>
      <c r="K231" s="2">
        <v>6</v>
      </c>
      <c r="L231" s="2">
        <v>16</v>
      </c>
      <c r="M231" s="2">
        <v>3</v>
      </c>
      <c r="N231" s="2">
        <v>13</v>
      </c>
      <c r="O231" s="2">
        <v>2</v>
      </c>
      <c r="P231" s="3">
        <v>195</v>
      </c>
      <c r="Q231" s="2">
        <v>1</v>
      </c>
      <c r="R231" s="2">
        <v>0</v>
      </c>
      <c r="S231" s="2">
        <v>0</v>
      </c>
      <c r="T231" s="2">
        <v>0</v>
      </c>
      <c r="U231" s="2">
        <v>0</v>
      </c>
      <c r="V231" s="2">
        <f t="shared" si="27"/>
        <v>241</v>
      </c>
      <c r="W231" s="2">
        <v>0</v>
      </c>
      <c r="X231" s="2">
        <v>12</v>
      </c>
      <c r="Y231" s="2">
        <v>0</v>
      </c>
      <c r="Z231" s="2">
        <f t="shared" si="28"/>
        <v>12</v>
      </c>
      <c r="AA231" s="2">
        <f t="shared" si="22"/>
        <v>253</v>
      </c>
      <c r="AB231" s="2">
        <v>2205</v>
      </c>
      <c r="AC231" s="20">
        <f t="shared" si="23"/>
        <v>11.4739229024943</v>
      </c>
      <c r="AD231" s="2" t="s">
        <v>44</v>
      </c>
      <c r="AE231" s="2">
        <v>125</v>
      </c>
      <c r="AF231" s="21">
        <f t="shared" si="24"/>
        <v>17.2567800453515</v>
      </c>
      <c r="AG231" s="4">
        <f t="shared" si="25"/>
        <v>10.9297052154195</v>
      </c>
      <c r="AH231" s="4">
        <f t="shared" si="26"/>
        <v>0.54421768707483</v>
      </c>
    </row>
    <row r="232" spans="1:34">
      <c r="A232" s="2">
        <v>20260114</v>
      </c>
      <c r="B232" s="2" t="s">
        <v>511</v>
      </c>
      <c r="C232" s="2" t="s">
        <v>512</v>
      </c>
      <c r="D232" s="2">
        <v>4</v>
      </c>
      <c r="E232" s="2">
        <v>4</v>
      </c>
      <c r="F232" s="2">
        <v>23</v>
      </c>
      <c r="G232" s="2">
        <v>15</v>
      </c>
      <c r="H232" s="2">
        <v>6</v>
      </c>
      <c r="I232" s="3">
        <v>32</v>
      </c>
      <c r="J232" s="2">
        <v>25</v>
      </c>
      <c r="K232" s="2">
        <v>19</v>
      </c>
      <c r="L232" s="2">
        <v>7</v>
      </c>
      <c r="M232" s="2">
        <v>4</v>
      </c>
      <c r="N232" s="2">
        <v>43</v>
      </c>
      <c r="O232" s="2">
        <v>7</v>
      </c>
      <c r="P232" s="3">
        <v>9</v>
      </c>
      <c r="Q232" s="2">
        <v>40</v>
      </c>
      <c r="R232" s="2">
        <v>308</v>
      </c>
      <c r="S232" s="2">
        <v>8</v>
      </c>
      <c r="T232" s="2">
        <v>4</v>
      </c>
      <c r="U232" s="2">
        <v>3</v>
      </c>
      <c r="V232" s="2">
        <f t="shared" si="27"/>
        <v>107</v>
      </c>
      <c r="W232" s="2">
        <v>2</v>
      </c>
      <c r="X232" s="2">
        <v>12</v>
      </c>
      <c r="Y232" s="2">
        <v>0</v>
      </c>
      <c r="Z232" s="2">
        <f t="shared" si="28"/>
        <v>17</v>
      </c>
      <c r="AA232" s="2">
        <f t="shared" si="22"/>
        <v>124</v>
      </c>
      <c r="AB232" s="2">
        <v>2803</v>
      </c>
      <c r="AC232" s="20">
        <f t="shared" si="23"/>
        <v>4.42383160899037</v>
      </c>
      <c r="AD232" s="2" t="s">
        <v>44</v>
      </c>
      <c r="AE232" s="2">
        <v>125</v>
      </c>
      <c r="AF232" s="21">
        <f t="shared" si="24"/>
        <v>6.65344273992151</v>
      </c>
      <c r="AG232" s="4">
        <f t="shared" si="25"/>
        <v>3.81733856582233</v>
      </c>
      <c r="AH232" s="4">
        <f t="shared" si="26"/>
        <v>0.606493043168034</v>
      </c>
    </row>
    <row r="233" spans="1:34">
      <c r="A233" s="2">
        <v>20260115</v>
      </c>
      <c r="B233" s="2" t="s">
        <v>513</v>
      </c>
      <c r="C233" s="2" t="s">
        <v>514</v>
      </c>
      <c r="D233" s="2">
        <v>2</v>
      </c>
      <c r="E233" s="2">
        <v>0</v>
      </c>
      <c r="F233" s="2">
        <v>9</v>
      </c>
      <c r="G233" s="2">
        <v>1</v>
      </c>
      <c r="H233" s="2">
        <v>3</v>
      </c>
      <c r="I233" s="3">
        <v>13</v>
      </c>
      <c r="J233" s="2">
        <v>6</v>
      </c>
      <c r="K233" s="2">
        <v>2</v>
      </c>
      <c r="L233" s="2">
        <v>0</v>
      </c>
      <c r="M233" s="2">
        <v>15</v>
      </c>
      <c r="N233" s="2">
        <v>5</v>
      </c>
      <c r="O233" s="2">
        <v>20</v>
      </c>
      <c r="P233" s="3">
        <v>31</v>
      </c>
      <c r="Q233" s="2">
        <v>8</v>
      </c>
      <c r="R233" s="2">
        <v>162</v>
      </c>
      <c r="S233" s="2">
        <v>1</v>
      </c>
      <c r="T233" s="2">
        <v>1</v>
      </c>
      <c r="U233" s="2">
        <v>0</v>
      </c>
      <c r="V233" s="2">
        <f t="shared" si="27"/>
        <v>62</v>
      </c>
      <c r="W233" s="2">
        <v>2</v>
      </c>
      <c r="X233" s="2">
        <v>8</v>
      </c>
      <c r="Y233" s="2">
        <v>0</v>
      </c>
      <c r="Z233" s="2">
        <f t="shared" si="28"/>
        <v>10</v>
      </c>
      <c r="AA233" s="2">
        <f t="shared" si="22"/>
        <v>72</v>
      </c>
      <c r="AB233" s="2">
        <v>1767</v>
      </c>
      <c r="AC233" s="20">
        <f t="shared" si="23"/>
        <v>4.07470288624788</v>
      </c>
      <c r="AD233" s="2" t="s">
        <v>229</v>
      </c>
      <c r="AE233" s="2">
        <v>188</v>
      </c>
      <c r="AF233" s="21">
        <f t="shared" si="24"/>
        <v>4.07470288624788</v>
      </c>
      <c r="AG233" s="4">
        <f t="shared" si="25"/>
        <v>3.50877192982456</v>
      </c>
      <c r="AH233" s="4">
        <f t="shared" si="26"/>
        <v>0.565930956423316</v>
      </c>
    </row>
    <row r="234" spans="1:34">
      <c r="A234" s="2">
        <v>20260115</v>
      </c>
      <c r="B234" s="2" t="s">
        <v>515</v>
      </c>
      <c r="C234" s="2" t="s">
        <v>516</v>
      </c>
      <c r="D234" s="2">
        <v>2</v>
      </c>
      <c r="E234" s="2">
        <v>1</v>
      </c>
      <c r="F234" s="2">
        <v>3</v>
      </c>
      <c r="G234" s="2">
        <v>7</v>
      </c>
      <c r="H234" s="2">
        <v>17</v>
      </c>
      <c r="I234" s="3">
        <v>39</v>
      </c>
      <c r="J234" s="2">
        <v>12</v>
      </c>
      <c r="K234" s="2">
        <v>13</v>
      </c>
      <c r="L234" s="2">
        <v>6</v>
      </c>
      <c r="M234" s="2">
        <v>66</v>
      </c>
      <c r="N234" s="2">
        <v>23</v>
      </c>
      <c r="O234" s="2">
        <v>5</v>
      </c>
      <c r="P234" s="3">
        <v>135</v>
      </c>
      <c r="Q234" s="2">
        <v>2</v>
      </c>
      <c r="R234" s="2">
        <v>17</v>
      </c>
      <c r="S234" s="2">
        <v>1</v>
      </c>
      <c r="T234" s="2">
        <v>4</v>
      </c>
      <c r="U234" s="2">
        <v>1</v>
      </c>
      <c r="V234" s="2">
        <f t="shared" si="27"/>
        <v>298</v>
      </c>
      <c r="W234" s="2">
        <v>0</v>
      </c>
      <c r="X234" s="2">
        <v>1</v>
      </c>
      <c r="Y234" s="2">
        <v>0</v>
      </c>
      <c r="Z234" s="2">
        <f t="shared" si="28"/>
        <v>2</v>
      </c>
      <c r="AA234" s="2">
        <f t="shared" si="22"/>
        <v>300</v>
      </c>
      <c r="AB234" s="2">
        <v>2203</v>
      </c>
      <c r="AC234" s="20">
        <f t="shared" si="23"/>
        <v>13.6177939173854</v>
      </c>
      <c r="AD234" s="2" t="s">
        <v>44</v>
      </c>
      <c r="AE234" s="2">
        <v>125</v>
      </c>
      <c r="AF234" s="21">
        <f t="shared" si="24"/>
        <v>20.4811620517476</v>
      </c>
      <c r="AG234" s="4">
        <f t="shared" si="25"/>
        <v>13.5270086246028</v>
      </c>
      <c r="AH234" s="4">
        <f t="shared" si="26"/>
        <v>0.0907852927825692</v>
      </c>
    </row>
    <row r="235" spans="1:34">
      <c r="A235" s="2">
        <v>20260115</v>
      </c>
      <c r="B235" s="2" t="s">
        <v>517</v>
      </c>
      <c r="C235" s="2" t="s">
        <v>518</v>
      </c>
      <c r="D235" s="2">
        <v>0</v>
      </c>
      <c r="E235" s="2">
        <v>3</v>
      </c>
      <c r="F235" s="2">
        <v>3</v>
      </c>
      <c r="G235" s="2">
        <v>0</v>
      </c>
      <c r="H235" s="2">
        <v>5</v>
      </c>
      <c r="I235" s="3">
        <v>20</v>
      </c>
      <c r="J235" s="2">
        <v>6</v>
      </c>
      <c r="K235" s="2">
        <v>2</v>
      </c>
      <c r="L235" s="2">
        <v>4</v>
      </c>
      <c r="M235" s="2">
        <v>10</v>
      </c>
      <c r="N235" s="2">
        <v>12</v>
      </c>
      <c r="O235" s="2">
        <v>4</v>
      </c>
      <c r="P235" s="3">
        <v>22</v>
      </c>
      <c r="Q235" s="2">
        <v>7</v>
      </c>
      <c r="R235" s="2">
        <v>15</v>
      </c>
      <c r="S235" s="2">
        <v>0</v>
      </c>
      <c r="T235" s="2">
        <v>3</v>
      </c>
      <c r="U235" s="2">
        <v>0</v>
      </c>
      <c r="V235" s="2">
        <f t="shared" si="27"/>
        <v>70</v>
      </c>
      <c r="W235" s="2">
        <v>0</v>
      </c>
      <c r="X235" s="2">
        <v>2</v>
      </c>
      <c r="Y235" s="2">
        <v>0</v>
      </c>
      <c r="Z235" s="2">
        <f t="shared" si="28"/>
        <v>2</v>
      </c>
      <c r="AA235" s="2">
        <f t="shared" si="22"/>
        <v>72</v>
      </c>
      <c r="AB235" s="2">
        <v>2203</v>
      </c>
      <c r="AC235" s="20">
        <f t="shared" si="23"/>
        <v>3.26827054017249</v>
      </c>
      <c r="AD235" s="2" t="s">
        <v>44</v>
      </c>
      <c r="AE235" s="2">
        <v>125</v>
      </c>
      <c r="AF235" s="21">
        <f t="shared" si="24"/>
        <v>4.91547889241943</v>
      </c>
      <c r="AG235" s="4">
        <f t="shared" si="25"/>
        <v>3.17748524738992</v>
      </c>
      <c r="AH235" s="4">
        <f t="shared" si="26"/>
        <v>0.0907852927825692</v>
      </c>
    </row>
    <row r="236" spans="1:34">
      <c r="A236" s="2">
        <v>20260115</v>
      </c>
      <c r="B236" s="2" t="s">
        <v>519</v>
      </c>
      <c r="C236" s="2" t="s">
        <v>520</v>
      </c>
      <c r="D236" s="2">
        <v>1</v>
      </c>
      <c r="E236" s="2">
        <v>0</v>
      </c>
      <c r="F236" s="2">
        <v>10</v>
      </c>
      <c r="G236" s="2">
        <v>4</v>
      </c>
      <c r="H236" s="2">
        <v>2</v>
      </c>
      <c r="I236" s="3">
        <v>11</v>
      </c>
      <c r="J236" s="2">
        <v>6</v>
      </c>
      <c r="K236" s="2">
        <v>5</v>
      </c>
      <c r="L236" s="2">
        <v>1</v>
      </c>
      <c r="M236" s="2">
        <v>7</v>
      </c>
      <c r="N236" s="2">
        <v>8</v>
      </c>
      <c r="O236" s="2">
        <v>9</v>
      </c>
      <c r="P236" s="3">
        <v>16</v>
      </c>
      <c r="Q236" s="2">
        <v>8</v>
      </c>
      <c r="R236" s="2">
        <v>13</v>
      </c>
      <c r="S236" s="2">
        <v>1</v>
      </c>
      <c r="T236" s="2">
        <v>0</v>
      </c>
      <c r="U236" s="2">
        <v>1</v>
      </c>
      <c r="V236" s="2">
        <f t="shared" si="27"/>
        <v>47</v>
      </c>
      <c r="W236" s="2">
        <v>2</v>
      </c>
      <c r="X236" s="2">
        <v>3</v>
      </c>
      <c r="Y236" s="2">
        <v>0</v>
      </c>
      <c r="Z236" s="2">
        <f t="shared" si="28"/>
        <v>6</v>
      </c>
      <c r="AA236" s="2">
        <f t="shared" si="22"/>
        <v>53</v>
      </c>
      <c r="AB236" s="2">
        <v>2203</v>
      </c>
      <c r="AC236" s="20">
        <f t="shared" si="23"/>
        <v>2.40581025873808</v>
      </c>
      <c r="AD236" s="2" t="s">
        <v>44</v>
      </c>
      <c r="AE236" s="2">
        <v>125</v>
      </c>
      <c r="AF236" s="21">
        <f t="shared" si="24"/>
        <v>3.61833862914208</v>
      </c>
      <c r="AG236" s="4">
        <f t="shared" si="25"/>
        <v>2.13345438039038</v>
      </c>
      <c r="AH236" s="4">
        <f t="shared" si="26"/>
        <v>0.272355878347708</v>
      </c>
    </row>
    <row r="237" spans="1:34">
      <c r="A237" s="2">
        <v>20260115</v>
      </c>
      <c r="B237" s="2" t="s">
        <v>521</v>
      </c>
      <c r="C237" s="2" t="s">
        <v>522</v>
      </c>
      <c r="D237" s="2">
        <v>3</v>
      </c>
      <c r="E237" s="2">
        <v>5</v>
      </c>
      <c r="F237" s="2">
        <v>6</v>
      </c>
      <c r="G237" s="2">
        <v>1</v>
      </c>
      <c r="H237" s="2">
        <v>8</v>
      </c>
      <c r="I237" s="3">
        <v>15</v>
      </c>
      <c r="J237" s="2">
        <v>26</v>
      </c>
      <c r="K237" s="2">
        <v>3</v>
      </c>
      <c r="L237" s="2">
        <v>0</v>
      </c>
      <c r="M237" s="2">
        <v>7</v>
      </c>
      <c r="N237" s="2">
        <v>41</v>
      </c>
      <c r="O237" s="2">
        <v>8</v>
      </c>
      <c r="P237" s="3">
        <v>19</v>
      </c>
      <c r="Q237" s="2">
        <v>8</v>
      </c>
      <c r="R237" s="2">
        <v>668</v>
      </c>
      <c r="S237" s="2">
        <v>0</v>
      </c>
      <c r="T237" s="2">
        <v>0</v>
      </c>
      <c r="U237" s="2">
        <v>0</v>
      </c>
      <c r="V237" s="2">
        <f t="shared" si="27"/>
        <v>75</v>
      </c>
      <c r="W237" s="2">
        <v>0</v>
      </c>
      <c r="X237" s="2">
        <v>4</v>
      </c>
      <c r="Y237" s="2">
        <v>0</v>
      </c>
      <c r="Z237" s="2">
        <f t="shared" si="28"/>
        <v>4</v>
      </c>
      <c r="AA237" s="2">
        <f t="shared" si="22"/>
        <v>79</v>
      </c>
      <c r="AB237" s="2">
        <v>1767</v>
      </c>
      <c r="AC237" s="20">
        <f t="shared" si="23"/>
        <v>4.4708545557442</v>
      </c>
      <c r="AD237" s="2" t="s">
        <v>229</v>
      </c>
      <c r="AE237" s="2">
        <v>188</v>
      </c>
      <c r="AF237" s="21">
        <f t="shared" si="24"/>
        <v>4.4708545557442</v>
      </c>
      <c r="AG237" s="4">
        <f t="shared" si="25"/>
        <v>4.24448217317487</v>
      </c>
      <c r="AH237" s="4">
        <f t="shared" si="26"/>
        <v>0.226372382569327</v>
      </c>
    </row>
    <row r="238" spans="1:34">
      <c r="A238" s="2">
        <v>20260115</v>
      </c>
      <c r="B238" s="2" t="s">
        <v>523</v>
      </c>
      <c r="C238" s="2" t="s">
        <v>524</v>
      </c>
      <c r="D238" s="2">
        <v>0</v>
      </c>
      <c r="E238" s="2">
        <v>0</v>
      </c>
      <c r="F238" s="2">
        <v>3</v>
      </c>
      <c r="G238" s="2">
        <v>0</v>
      </c>
      <c r="H238" s="2">
        <v>5</v>
      </c>
      <c r="I238" s="3">
        <v>12</v>
      </c>
      <c r="J238" s="2">
        <v>11</v>
      </c>
      <c r="K238" s="2">
        <v>1</v>
      </c>
      <c r="L238" s="2">
        <v>0</v>
      </c>
      <c r="M238" s="2">
        <v>6</v>
      </c>
      <c r="N238" s="2">
        <v>12</v>
      </c>
      <c r="O238" s="2">
        <v>6</v>
      </c>
      <c r="P238" s="3">
        <v>24</v>
      </c>
      <c r="Q238" s="2">
        <v>6</v>
      </c>
      <c r="R238" s="2">
        <v>4</v>
      </c>
      <c r="S238" s="2">
        <v>2</v>
      </c>
      <c r="T238" s="2">
        <v>1</v>
      </c>
      <c r="U238" s="2">
        <v>0</v>
      </c>
      <c r="V238" s="2">
        <f t="shared" si="27"/>
        <v>51</v>
      </c>
      <c r="W238" s="2">
        <v>2</v>
      </c>
      <c r="X238" s="2">
        <v>7</v>
      </c>
      <c r="Y238" s="2">
        <v>0</v>
      </c>
      <c r="Z238" s="2">
        <f t="shared" si="28"/>
        <v>9</v>
      </c>
      <c r="AA238" s="2">
        <f t="shared" si="22"/>
        <v>60</v>
      </c>
      <c r="AB238" s="2">
        <v>1757</v>
      </c>
      <c r="AC238" s="20">
        <f t="shared" si="23"/>
        <v>3.41491178144565</v>
      </c>
      <c r="AD238" s="2" t="s">
        <v>229</v>
      </c>
      <c r="AE238" s="2">
        <v>188</v>
      </c>
      <c r="AF238" s="21">
        <f t="shared" si="24"/>
        <v>3.41491178144565</v>
      </c>
      <c r="AG238" s="4">
        <f t="shared" si="25"/>
        <v>2.9026750142288</v>
      </c>
      <c r="AH238" s="4">
        <f t="shared" si="26"/>
        <v>0.512236767216847</v>
      </c>
    </row>
    <row r="239" spans="1:34">
      <c r="A239" s="2">
        <v>20260115</v>
      </c>
      <c r="B239" s="2" t="s">
        <v>525</v>
      </c>
      <c r="C239" s="2" t="s">
        <v>526</v>
      </c>
      <c r="D239" s="2">
        <v>7</v>
      </c>
      <c r="E239" s="2">
        <v>2</v>
      </c>
      <c r="F239" s="2">
        <v>25</v>
      </c>
      <c r="G239" s="2">
        <v>2</v>
      </c>
      <c r="H239" s="2">
        <v>6</v>
      </c>
      <c r="I239" s="3">
        <v>32</v>
      </c>
      <c r="J239" s="2">
        <v>10</v>
      </c>
      <c r="K239" s="2">
        <v>10</v>
      </c>
      <c r="L239" s="2">
        <v>1</v>
      </c>
      <c r="M239" s="2">
        <v>10</v>
      </c>
      <c r="N239" s="2">
        <v>19</v>
      </c>
      <c r="O239" s="2">
        <v>33</v>
      </c>
      <c r="P239" s="3">
        <v>27</v>
      </c>
      <c r="Q239" s="2">
        <v>22</v>
      </c>
      <c r="R239" s="2">
        <v>4</v>
      </c>
      <c r="S239" s="2">
        <v>3</v>
      </c>
      <c r="T239" s="2">
        <v>0</v>
      </c>
      <c r="U239" s="2">
        <v>1</v>
      </c>
      <c r="V239" s="2">
        <f t="shared" si="27"/>
        <v>85</v>
      </c>
      <c r="W239" s="2">
        <v>2</v>
      </c>
      <c r="X239" s="2">
        <v>10</v>
      </c>
      <c r="Y239" s="2">
        <v>1</v>
      </c>
      <c r="Z239" s="2">
        <f t="shared" si="28"/>
        <v>14</v>
      </c>
      <c r="AA239" s="2">
        <f t="shared" si="22"/>
        <v>99</v>
      </c>
      <c r="AB239" s="2">
        <v>2124</v>
      </c>
      <c r="AC239" s="20">
        <f t="shared" si="23"/>
        <v>4.66101694915254</v>
      </c>
      <c r="AD239" s="2" t="s">
        <v>58</v>
      </c>
      <c r="AE239" s="2">
        <v>188</v>
      </c>
      <c r="AF239" s="21">
        <f t="shared" si="24"/>
        <v>4.66101694915254</v>
      </c>
      <c r="AG239" s="4">
        <f t="shared" si="25"/>
        <v>4.00188323917137</v>
      </c>
      <c r="AH239" s="4">
        <f t="shared" si="26"/>
        <v>0.659133709981168</v>
      </c>
    </row>
    <row r="240" spans="1:34">
      <c r="A240" s="2">
        <v>20260115</v>
      </c>
      <c r="B240" s="2" t="s">
        <v>527</v>
      </c>
      <c r="C240" s="2" t="s">
        <v>528</v>
      </c>
      <c r="D240" s="2">
        <v>1</v>
      </c>
      <c r="E240" s="2">
        <v>4</v>
      </c>
      <c r="F240" s="2">
        <v>6</v>
      </c>
      <c r="G240" s="2">
        <v>6</v>
      </c>
      <c r="H240" s="3">
        <v>5</v>
      </c>
      <c r="I240" s="2">
        <v>31</v>
      </c>
      <c r="J240" s="2">
        <v>18</v>
      </c>
      <c r="K240" s="2">
        <v>7</v>
      </c>
      <c r="L240" s="2">
        <v>2</v>
      </c>
      <c r="M240" s="2">
        <v>14</v>
      </c>
      <c r="N240" s="2">
        <v>32</v>
      </c>
      <c r="O240" s="3">
        <v>2</v>
      </c>
      <c r="P240" s="2">
        <v>32</v>
      </c>
      <c r="Q240" s="2">
        <v>5</v>
      </c>
      <c r="R240" s="2">
        <v>55</v>
      </c>
      <c r="S240" s="2">
        <v>6</v>
      </c>
      <c r="T240" s="2">
        <v>17</v>
      </c>
      <c r="U240" s="2">
        <v>1</v>
      </c>
      <c r="V240" s="2">
        <f t="shared" si="27"/>
        <v>92</v>
      </c>
      <c r="W240" s="2">
        <v>3</v>
      </c>
      <c r="X240" s="2">
        <v>4</v>
      </c>
      <c r="Y240" s="2">
        <v>0</v>
      </c>
      <c r="Z240" s="2">
        <f>Y240+X240+W240+T240</f>
        <v>24</v>
      </c>
      <c r="AA240" s="2">
        <f>F240+G240+H240+I240+J240+K240+L240+O240+S240+T240</f>
        <v>100</v>
      </c>
      <c r="AB240" s="2">
        <v>3153</v>
      </c>
      <c r="AC240" s="20">
        <f t="shared" si="23"/>
        <v>3.17158261972724</v>
      </c>
      <c r="AD240" s="2" t="s">
        <v>58</v>
      </c>
      <c r="AE240" s="2">
        <v>100</v>
      </c>
      <c r="AF240" s="21">
        <f t="shared" si="24"/>
        <v>5.96257532508722</v>
      </c>
      <c r="AG240" s="4">
        <f>U240/AB240*100</f>
        <v>0.0317158261972724</v>
      </c>
      <c r="AH240" s="4">
        <f t="shared" si="26"/>
        <v>0.761179828734539</v>
      </c>
    </row>
    <row r="241" spans="1:34">
      <c r="A241" s="2">
        <v>20260115</v>
      </c>
      <c r="B241" s="2" t="s">
        <v>529</v>
      </c>
      <c r="C241" s="2" t="s">
        <v>530</v>
      </c>
      <c r="D241" s="2">
        <v>2</v>
      </c>
      <c r="E241" s="2">
        <v>215</v>
      </c>
      <c r="F241" s="2">
        <v>24</v>
      </c>
      <c r="G241" s="2">
        <v>17</v>
      </c>
      <c r="H241" s="2">
        <v>20</v>
      </c>
      <c r="I241" s="3">
        <v>27</v>
      </c>
      <c r="J241" s="2">
        <v>44</v>
      </c>
      <c r="K241" s="2">
        <v>34</v>
      </c>
      <c r="L241" s="2">
        <v>4</v>
      </c>
      <c r="M241" s="2">
        <v>6</v>
      </c>
      <c r="N241" s="2">
        <v>112</v>
      </c>
      <c r="O241" s="2">
        <v>2</v>
      </c>
      <c r="P241" s="3">
        <v>28</v>
      </c>
      <c r="Q241" s="2">
        <v>18</v>
      </c>
      <c r="R241" s="2">
        <v>112</v>
      </c>
      <c r="S241" s="2">
        <v>10</v>
      </c>
      <c r="T241" s="2">
        <v>44</v>
      </c>
      <c r="U241" s="2">
        <v>0</v>
      </c>
      <c r="V241" s="2">
        <f t="shared" si="27"/>
        <v>222</v>
      </c>
      <c r="W241" s="2">
        <v>0</v>
      </c>
      <c r="X241" s="2">
        <v>2</v>
      </c>
      <c r="Y241" s="2">
        <v>0</v>
      </c>
      <c r="Z241" s="2">
        <f t="shared" ref="Z241:Z304" si="29">Y241+X241+W241+U241</f>
        <v>2</v>
      </c>
      <c r="AA241" s="2">
        <f t="shared" ref="AA241:AA304" si="30">G241+H241+I241+J241+K241+L241+M241+P241+T241+U241</f>
        <v>224</v>
      </c>
      <c r="AB241" s="2">
        <v>6221</v>
      </c>
      <c r="AC241" s="20">
        <f t="shared" si="23"/>
        <v>3.60070728178749</v>
      </c>
      <c r="AD241" s="2" t="s">
        <v>58</v>
      </c>
      <c r="AE241" s="2">
        <v>100</v>
      </c>
      <c r="AF241" s="21">
        <f t="shared" si="24"/>
        <v>6.76932968976049</v>
      </c>
      <c r="AG241" s="4">
        <f t="shared" ref="AG241:AG304" si="31">V241/AB241*100</f>
        <v>3.56855810962868</v>
      </c>
      <c r="AH241" s="4">
        <f t="shared" si="26"/>
        <v>0.0321491721588169</v>
      </c>
    </row>
    <row r="242" spans="1:34">
      <c r="A242" s="2">
        <v>20260115</v>
      </c>
      <c r="B242" s="2" t="s">
        <v>531</v>
      </c>
      <c r="C242" s="2" t="s">
        <v>532</v>
      </c>
      <c r="D242" s="2">
        <v>3</v>
      </c>
      <c r="E242" s="2">
        <v>8</v>
      </c>
      <c r="F242" s="2">
        <v>8</v>
      </c>
      <c r="G242" s="2">
        <v>7</v>
      </c>
      <c r="H242" s="2">
        <v>19</v>
      </c>
      <c r="I242" s="3">
        <v>38</v>
      </c>
      <c r="J242" s="2">
        <v>13</v>
      </c>
      <c r="K242" s="2">
        <v>22</v>
      </c>
      <c r="L242" s="2">
        <v>1</v>
      </c>
      <c r="M242" s="2">
        <v>12</v>
      </c>
      <c r="N242" s="2">
        <v>47</v>
      </c>
      <c r="O242" s="2">
        <v>34</v>
      </c>
      <c r="P242" s="3">
        <v>35</v>
      </c>
      <c r="Q242" s="2">
        <v>14</v>
      </c>
      <c r="R242" s="2">
        <v>64</v>
      </c>
      <c r="S242" s="2">
        <v>2</v>
      </c>
      <c r="T242" s="2">
        <v>29</v>
      </c>
      <c r="U242" s="2">
        <v>0</v>
      </c>
      <c r="V242" s="2">
        <f t="shared" si="27"/>
        <v>173</v>
      </c>
      <c r="W242" s="2">
        <v>1</v>
      </c>
      <c r="X242" s="2">
        <v>2</v>
      </c>
      <c r="Y242" s="2">
        <v>0</v>
      </c>
      <c r="Z242" s="2">
        <f t="shared" si="29"/>
        <v>3</v>
      </c>
      <c r="AA242" s="2">
        <f t="shared" si="30"/>
        <v>176</v>
      </c>
      <c r="AB242" s="2">
        <v>3513</v>
      </c>
      <c r="AC242" s="20">
        <f t="shared" si="23"/>
        <v>5.00996299459152</v>
      </c>
      <c r="AD242" s="2" t="s">
        <v>58</v>
      </c>
      <c r="AE242" s="2">
        <v>100</v>
      </c>
      <c r="AF242" s="21">
        <f t="shared" si="24"/>
        <v>9.41873042983205</v>
      </c>
      <c r="AG242" s="4">
        <f t="shared" si="31"/>
        <v>4.9245658980928</v>
      </c>
      <c r="AH242" s="4">
        <f t="shared" si="26"/>
        <v>0.085397096498719</v>
      </c>
    </row>
    <row r="243" spans="1:34">
      <c r="A243" s="2">
        <v>20260115</v>
      </c>
      <c r="B243" s="2" t="s">
        <v>533</v>
      </c>
      <c r="C243" s="2" t="s">
        <v>534</v>
      </c>
      <c r="D243" s="2">
        <v>3</v>
      </c>
      <c r="E243" s="2">
        <v>4</v>
      </c>
      <c r="F243" s="2">
        <v>12</v>
      </c>
      <c r="G243" s="2">
        <v>11</v>
      </c>
      <c r="H243" s="2">
        <v>19</v>
      </c>
      <c r="I243" s="3">
        <v>31</v>
      </c>
      <c r="J243" s="2">
        <v>25</v>
      </c>
      <c r="K243" s="2">
        <v>15</v>
      </c>
      <c r="L243" s="2">
        <v>1</v>
      </c>
      <c r="M243" s="2">
        <v>15</v>
      </c>
      <c r="N243" s="2">
        <v>64</v>
      </c>
      <c r="O243" s="2">
        <v>4</v>
      </c>
      <c r="P243" s="3">
        <v>43</v>
      </c>
      <c r="Q243" s="2">
        <v>7</v>
      </c>
      <c r="R243" s="2">
        <v>131</v>
      </c>
      <c r="S243" s="2">
        <v>12</v>
      </c>
      <c r="T243" s="2">
        <v>47</v>
      </c>
      <c r="U243" s="2">
        <v>0</v>
      </c>
      <c r="V243" s="2">
        <f t="shared" si="27"/>
        <v>205</v>
      </c>
      <c r="W243" s="2">
        <v>0</v>
      </c>
      <c r="X243" s="2">
        <v>2</v>
      </c>
      <c r="Y243" s="2">
        <v>0</v>
      </c>
      <c r="Z243" s="2">
        <f t="shared" si="29"/>
        <v>2</v>
      </c>
      <c r="AA243" s="2">
        <f t="shared" si="30"/>
        <v>207</v>
      </c>
      <c r="AB243" s="2">
        <v>6220</v>
      </c>
      <c r="AC243" s="20">
        <f t="shared" si="23"/>
        <v>3.32797427652733</v>
      </c>
      <c r="AD243" s="2" t="s">
        <v>58</v>
      </c>
      <c r="AE243" s="2">
        <v>100</v>
      </c>
      <c r="AF243" s="21">
        <f t="shared" si="24"/>
        <v>6.25659163987138</v>
      </c>
      <c r="AG243" s="4">
        <f t="shared" si="31"/>
        <v>3.29581993569132</v>
      </c>
      <c r="AH243" s="4">
        <f t="shared" si="26"/>
        <v>0.0321543408360129</v>
      </c>
    </row>
    <row r="244" spans="1:34">
      <c r="A244" s="2">
        <v>20260115</v>
      </c>
      <c r="B244" s="2" t="s">
        <v>535</v>
      </c>
      <c r="C244" s="2" t="s">
        <v>536</v>
      </c>
      <c r="D244" s="2">
        <v>3</v>
      </c>
      <c r="E244" s="2">
        <v>2</v>
      </c>
      <c r="F244" s="2">
        <v>2</v>
      </c>
      <c r="G244" s="2">
        <v>3</v>
      </c>
      <c r="H244" s="2">
        <v>10</v>
      </c>
      <c r="I244" s="3">
        <v>18</v>
      </c>
      <c r="J244" s="2">
        <v>12</v>
      </c>
      <c r="K244" s="2">
        <v>6</v>
      </c>
      <c r="L244" s="2">
        <v>4</v>
      </c>
      <c r="M244" s="2">
        <v>4</v>
      </c>
      <c r="N244" s="2">
        <v>19</v>
      </c>
      <c r="O244" s="2">
        <v>14</v>
      </c>
      <c r="P244" s="3">
        <v>27</v>
      </c>
      <c r="Q244" s="2">
        <v>5</v>
      </c>
      <c r="R244" s="2">
        <v>4</v>
      </c>
      <c r="S244" s="2">
        <v>3</v>
      </c>
      <c r="T244" s="2">
        <v>11</v>
      </c>
      <c r="U244" s="2">
        <v>0</v>
      </c>
      <c r="V244" s="2">
        <f t="shared" si="27"/>
        <v>88</v>
      </c>
      <c r="W244" s="2">
        <v>0</v>
      </c>
      <c r="X244" s="2">
        <v>7</v>
      </c>
      <c r="Y244" s="2">
        <v>0</v>
      </c>
      <c r="Z244" s="2">
        <f t="shared" si="29"/>
        <v>7</v>
      </c>
      <c r="AA244" s="2">
        <f t="shared" si="30"/>
        <v>95</v>
      </c>
      <c r="AB244" s="2">
        <v>3499</v>
      </c>
      <c r="AC244" s="20">
        <f t="shared" si="23"/>
        <v>2.71506144612746</v>
      </c>
      <c r="AD244" s="2" t="s">
        <v>49</v>
      </c>
      <c r="AE244" s="2">
        <v>125</v>
      </c>
      <c r="AF244" s="21">
        <f t="shared" si="24"/>
        <v>4.08345241497571</v>
      </c>
      <c r="AG244" s="4">
        <f t="shared" si="31"/>
        <v>2.51500428693913</v>
      </c>
      <c r="AH244" s="4">
        <f t="shared" si="26"/>
        <v>0.20005715918834</v>
      </c>
    </row>
    <row r="245" spans="1:34">
      <c r="A245" s="2">
        <v>20260115</v>
      </c>
      <c r="B245" s="2" t="s">
        <v>537</v>
      </c>
      <c r="C245" s="2" t="s">
        <v>538</v>
      </c>
      <c r="D245" s="2">
        <v>3</v>
      </c>
      <c r="E245" s="2">
        <v>1</v>
      </c>
      <c r="F245" s="2">
        <v>13</v>
      </c>
      <c r="G245" s="2">
        <v>5</v>
      </c>
      <c r="H245" s="2">
        <v>6</v>
      </c>
      <c r="I245" s="3">
        <v>32</v>
      </c>
      <c r="J245" s="2">
        <v>11</v>
      </c>
      <c r="K245" s="2">
        <v>8</v>
      </c>
      <c r="L245" s="2">
        <v>3</v>
      </c>
      <c r="M245" s="2">
        <v>6</v>
      </c>
      <c r="N245" s="2">
        <v>13</v>
      </c>
      <c r="O245" s="2">
        <v>11</v>
      </c>
      <c r="P245" s="3">
        <v>27</v>
      </c>
      <c r="Q245" s="2">
        <v>17</v>
      </c>
      <c r="R245" s="2">
        <v>7</v>
      </c>
      <c r="S245" s="2">
        <v>3</v>
      </c>
      <c r="T245" s="2">
        <v>9</v>
      </c>
      <c r="U245" s="2">
        <v>0</v>
      </c>
      <c r="V245" s="2">
        <f t="shared" si="27"/>
        <v>98</v>
      </c>
      <c r="W245" s="2">
        <v>0</v>
      </c>
      <c r="X245" s="2">
        <v>9</v>
      </c>
      <c r="Y245" s="2">
        <v>0</v>
      </c>
      <c r="Z245" s="2">
        <f t="shared" si="29"/>
        <v>9</v>
      </c>
      <c r="AA245" s="2">
        <f t="shared" si="30"/>
        <v>107</v>
      </c>
      <c r="AB245" s="2">
        <v>3459</v>
      </c>
      <c r="AC245" s="20">
        <f t="shared" si="23"/>
        <v>3.09337958947673</v>
      </c>
      <c r="AD245" s="2" t="s">
        <v>49</v>
      </c>
      <c r="AE245" s="2">
        <v>125</v>
      </c>
      <c r="AF245" s="21">
        <f t="shared" si="24"/>
        <v>4.652442902573</v>
      </c>
      <c r="AG245" s="4">
        <f t="shared" si="31"/>
        <v>2.83318878288523</v>
      </c>
      <c r="AH245" s="4">
        <f t="shared" si="26"/>
        <v>0.2601908065915</v>
      </c>
    </row>
    <row r="246" spans="1:34">
      <c r="A246" s="2">
        <v>20260115</v>
      </c>
      <c r="B246" s="2" t="s">
        <v>539</v>
      </c>
      <c r="C246" s="2" t="s">
        <v>540</v>
      </c>
      <c r="D246" s="2">
        <v>1</v>
      </c>
      <c r="E246" s="2">
        <v>9</v>
      </c>
      <c r="F246" s="2">
        <v>6</v>
      </c>
      <c r="G246" s="2">
        <v>5</v>
      </c>
      <c r="H246" s="2">
        <v>3</v>
      </c>
      <c r="I246" s="3">
        <v>16</v>
      </c>
      <c r="J246" s="2">
        <v>9</v>
      </c>
      <c r="K246" s="2">
        <v>7</v>
      </c>
      <c r="L246" s="2">
        <v>1</v>
      </c>
      <c r="M246" s="2">
        <v>4</v>
      </c>
      <c r="N246" s="2">
        <v>15</v>
      </c>
      <c r="O246" s="2">
        <v>7</v>
      </c>
      <c r="P246" s="3">
        <v>19</v>
      </c>
      <c r="Q246" s="2">
        <v>5</v>
      </c>
      <c r="R246" s="2">
        <v>6</v>
      </c>
      <c r="S246" s="2">
        <v>3</v>
      </c>
      <c r="T246" s="2">
        <v>8</v>
      </c>
      <c r="U246" s="2">
        <v>0</v>
      </c>
      <c r="V246" s="2">
        <f t="shared" si="27"/>
        <v>69</v>
      </c>
      <c r="W246" s="2">
        <v>0</v>
      </c>
      <c r="X246" s="2">
        <v>3</v>
      </c>
      <c r="Y246" s="2">
        <v>0</v>
      </c>
      <c r="Z246" s="2">
        <f t="shared" si="29"/>
        <v>3</v>
      </c>
      <c r="AA246" s="2">
        <f t="shared" si="30"/>
        <v>72</v>
      </c>
      <c r="AB246" s="2">
        <v>3249</v>
      </c>
      <c r="AC246" s="20">
        <f t="shared" si="23"/>
        <v>2.21606648199446</v>
      </c>
      <c r="AD246" s="2" t="s">
        <v>49</v>
      </c>
      <c r="AE246" s="2">
        <v>125</v>
      </c>
      <c r="AF246" s="21">
        <f t="shared" si="24"/>
        <v>3.33296398891967</v>
      </c>
      <c r="AG246" s="4">
        <f t="shared" si="31"/>
        <v>2.12373037857802</v>
      </c>
      <c r="AH246" s="4">
        <f t="shared" si="26"/>
        <v>0.0923361034164358</v>
      </c>
    </row>
    <row r="247" spans="1:34">
      <c r="A247" s="2">
        <v>20260115</v>
      </c>
      <c r="B247" s="2" t="s">
        <v>541</v>
      </c>
      <c r="C247" s="2" t="s">
        <v>542</v>
      </c>
      <c r="D247" s="2">
        <v>3</v>
      </c>
      <c r="E247" s="2">
        <v>1</v>
      </c>
      <c r="F247" s="2">
        <v>9</v>
      </c>
      <c r="G247" s="2">
        <v>12</v>
      </c>
      <c r="H247" s="2">
        <v>38</v>
      </c>
      <c r="I247" s="3">
        <v>20</v>
      </c>
      <c r="J247" s="2">
        <v>18</v>
      </c>
      <c r="K247" s="2">
        <v>3</v>
      </c>
      <c r="L247" s="2">
        <v>4</v>
      </c>
      <c r="M247" s="2">
        <v>13</v>
      </c>
      <c r="N247" s="2">
        <v>21</v>
      </c>
      <c r="O247" s="2">
        <v>5</v>
      </c>
      <c r="P247" s="3">
        <v>28</v>
      </c>
      <c r="Q247" s="2">
        <v>7</v>
      </c>
      <c r="R247" s="2">
        <v>82</v>
      </c>
      <c r="S247" s="2">
        <v>7</v>
      </c>
      <c r="T247" s="2">
        <v>28</v>
      </c>
      <c r="U247" s="2">
        <v>0</v>
      </c>
      <c r="V247" s="2">
        <f t="shared" si="27"/>
        <v>161</v>
      </c>
      <c r="W247" s="2">
        <v>1</v>
      </c>
      <c r="X247" s="2">
        <v>2</v>
      </c>
      <c r="Y247" s="2">
        <v>0</v>
      </c>
      <c r="Z247" s="2">
        <f t="shared" si="29"/>
        <v>3</v>
      </c>
      <c r="AA247" s="2">
        <f t="shared" si="30"/>
        <v>164</v>
      </c>
      <c r="AB247" s="2">
        <v>3567</v>
      </c>
      <c r="AC247" s="20">
        <f t="shared" si="23"/>
        <v>4.59770114942529</v>
      </c>
      <c r="AD247" s="2" t="s">
        <v>58</v>
      </c>
      <c r="AE247" s="2">
        <v>100</v>
      </c>
      <c r="AF247" s="21">
        <f t="shared" si="24"/>
        <v>8.64367816091954</v>
      </c>
      <c r="AG247" s="4">
        <f t="shared" si="31"/>
        <v>4.51359686010653</v>
      </c>
      <c r="AH247" s="4">
        <f t="shared" si="26"/>
        <v>0.0841042893187553</v>
      </c>
    </row>
    <row r="248" spans="1:34">
      <c r="A248" s="2">
        <v>20260115</v>
      </c>
      <c r="B248" s="2" t="s">
        <v>543</v>
      </c>
      <c r="C248" s="2" t="s">
        <v>544</v>
      </c>
      <c r="D248" s="2">
        <v>0</v>
      </c>
      <c r="E248" s="2">
        <v>2</v>
      </c>
      <c r="F248" s="2">
        <v>2</v>
      </c>
      <c r="G248" s="2">
        <v>19</v>
      </c>
      <c r="H248" s="2">
        <v>29</v>
      </c>
      <c r="I248" s="3">
        <v>22</v>
      </c>
      <c r="J248" s="2">
        <v>47</v>
      </c>
      <c r="K248" s="2">
        <v>16</v>
      </c>
      <c r="L248" s="2">
        <v>1</v>
      </c>
      <c r="M248" s="2">
        <v>16</v>
      </c>
      <c r="N248" s="2">
        <v>37</v>
      </c>
      <c r="O248" s="2">
        <v>1</v>
      </c>
      <c r="P248" s="3">
        <v>26</v>
      </c>
      <c r="Q248" s="2">
        <v>3</v>
      </c>
      <c r="R248" s="2">
        <v>139</v>
      </c>
      <c r="S248" s="2">
        <v>9</v>
      </c>
      <c r="T248" s="2">
        <v>32</v>
      </c>
      <c r="U248" s="2">
        <v>2</v>
      </c>
      <c r="V248" s="2">
        <f t="shared" si="27"/>
        <v>206</v>
      </c>
      <c r="W248" s="2">
        <v>0</v>
      </c>
      <c r="X248" s="2">
        <v>2</v>
      </c>
      <c r="Y248" s="2">
        <v>0</v>
      </c>
      <c r="Z248" s="2">
        <f t="shared" si="29"/>
        <v>4</v>
      </c>
      <c r="AA248" s="2">
        <f t="shared" si="30"/>
        <v>210</v>
      </c>
      <c r="AB248" s="2">
        <v>3105</v>
      </c>
      <c r="AC248" s="20">
        <f t="shared" si="23"/>
        <v>6.76328502415459</v>
      </c>
      <c r="AD248" s="2" t="s">
        <v>58</v>
      </c>
      <c r="AE248" s="2">
        <v>100</v>
      </c>
      <c r="AF248" s="21">
        <f t="shared" si="24"/>
        <v>12.7149758454106</v>
      </c>
      <c r="AG248" s="4">
        <f t="shared" si="31"/>
        <v>6.63446054750403</v>
      </c>
      <c r="AH248" s="4">
        <f t="shared" si="26"/>
        <v>0.128824476650564</v>
      </c>
    </row>
    <row r="249" spans="1:34">
      <c r="A249" s="2">
        <v>20260116</v>
      </c>
      <c r="B249" s="2" t="s">
        <v>545</v>
      </c>
      <c r="C249" s="2" t="s">
        <v>546</v>
      </c>
      <c r="D249" s="2">
        <v>1</v>
      </c>
      <c r="E249" s="2">
        <v>95</v>
      </c>
      <c r="F249" s="2">
        <v>14</v>
      </c>
      <c r="G249" s="2">
        <v>26</v>
      </c>
      <c r="H249" s="2">
        <v>51</v>
      </c>
      <c r="I249" s="3">
        <v>67</v>
      </c>
      <c r="J249" s="2">
        <v>85</v>
      </c>
      <c r="K249" s="2">
        <v>19</v>
      </c>
      <c r="L249" s="2">
        <v>1</v>
      </c>
      <c r="M249" s="2">
        <v>24</v>
      </c>
      <c r="N249" s="2">
        <v>63</v>
      </c>
      <c r="O249" s="2">
        <v>10</v>
      </c>
      <c r="P249" s="2">
        <v>58</v>
      </c>
      <c r="Q249" s="3">
        <v>8</v>
      </c>
      <c r="R249" s="2">
        <v>260</v>
      </c>
      <c r="S249" s="2">
        <v>11</v>
      </c>
      <c r="T249" s="2">
        <v>71</v>
      </c>
      <c r="U249" s="2">
        <v>1</v>
      </c>
      <c r="V249" s="2">
        <f t="shared" si="27"/>
        <v>392</v>
      </c>
      <c r="W249" s="2">
        <v>1</v>
      </c>
      <c r="X249" s="2">
        <v>9</v>
      </c>
      <c r="Y249" s="2">
        <v>0</v>
      </c>
      <c r="Z249" s="2">
        <f t="shared" si="29"/>
        <v>11</v>
      </c>
      <c r="AA249" s="2">
        <f t="shared" si="30"/>
        <v>403</v>
      </c>
      <c r="AB249" s="2">
        <v>6875</v>
      </c>
      <c r="AC249" s="20">
        <f t="shared" si="23"/>
        <v>5.86181818181818</v>
      </c>
      <c r="AD249" s="2" t="s">
        <v>58</v>
      </c>
      <c r="AE249" s="2">
        <v>100</v>
      </c>
      <c r="AF249" s="21">
        <f t="shared" si="24"/>
        <v>11.0202181818182</v>
      </c>
      <c r="AG249" s="4">
        <f t="shared" si="31"/>
        <v>5.70181818181818</v>
      </c>
      <c r="AH249" s="4">
        <f t="shared" si="26"/>
        <v>0.16</v>
      </c>
    </row>
    <row r="250" spans="1:34">
      <c r="A250" s="2">
        <v>20260116</v>
      </c>
      <c r="B250" s="2" t="s">
        <v>547</v>
      </c>
      <c r="C250" s="2" t="s">
        <v>548</v>
      </c>
      <c r="D250" s="2">
        <v>7</v>
      </c>
      <c r="E250" s="2">
        <v>9</v>
      </c>
      <c r="F250" s="2">
        <v>19</v>
      </c>
      <c r="G250" s="2">
        <v>14</v>
      </c>
      <c r="H250" s="2">
        <v>21</v>
      </c>
      <c r="I250" s="3">
        <v>36</v>
      </c>
      <c r="J250" s="2">
        <v>27</v>
      </c>
      <c r="K250" s="2">
        <v>9</v>
      </c>
      <c r="L250" s="2">
        <v>5</v>
      </c>
      <c r="M250" s="2">
        <v>8</v>
      </c>
      <c r="N250" s="2">
        <v>68</v>
      </c>
      <c r="O250" s="2">
        <v>24</v>
      </c>
      <c r="P250" s="3">
        <v>36</v>
      </c>
      <c r="Q250" s="2">
        <v>15</v>
      </c>
      <c r="R250" s="2">
        <v>124</v>
      </c>
      <c r="S250" s="2">
        <v>10</v>
      </c>
      <c r="T250" s="2">
        <v>60</v>
      </c>
      <c r="U250" s="2">
        <v>1</v>
      </c>
      <c r="V250" s="2">
        <f t="shared" si="27"/>
        <v>210</v>
      </c>
      <c r="W250" s="2">
        <v>0</v>
      </c>
      <c r="X250" s="2">
        <v>6</v>
      </c>
      <c r="Y250" s="2">
        <v>0</v>
      </c>
      <c r="Z250" s="2">
        <f t="shared" si="29"/>
        <v>7</v>
      </c>
      <c r="AA250" s="2">
        <f t="shared" si="30"/>
        <v>217</v>
      </c>
      <c r="AB250" s="2">
        <v>6173</v>
      </c>
      <c r="AC250" s="20">
        <f t="shared" si="23"/>
        <v>3.51530860197635</v>
      </c>
      <c r="AD250" s="2" t="s">
        <v>58</v>
      </c>
      <c r="AE250" s="2">
        <v>100</v>
      </c>
      <c r="AF250" s="21">
        <f t="shared" si="24"/>
        <v>6.60878017171554</v>
      </c>
      <c r="AG250" s="4">
        <f t="shared" si="31"/>
        <v>3.40191155029969</v>
      </c>
      <c r="AH250" s="4">
        <f t="shared" si="26"/>
        <v>0.113397051676656</v>
      </c>
    </row>
    <row r="251" spans="1:34">
      <c r="A251" s="2">
        <v>20260116</v>
      </c>
      <c r="B251" s="2" t="s">
        <v>549</v>
      </c>
      <c r="C251" s="2" t="s">
        <v>550</v>
      </c>
      <c r="D251" s="2">
        <v>3</v>
      </c>
      <c r="E251" s="2">
        <v>2</v>
      </c>
      <c r="F251" s="2">
        <v>20</v>
      </c>
      <c r="G251" s="2">
        <v>22</v>
      </c>
      <c r="H251" s="2">
        <v>37</v>
      </c>
      <c r="I251" s="3">
        <v>47</v>
      </c>
      <c r="J251" s="2">
        <v>26</v>
      </c>
      <c r="K251" s="2">
        <v>9</v>
      </c>
      <c r="L251" s="2">
        <v>3</v>
      </c>
      <c r="M251" s="2">
        <v>11</v>
      </c>
      <c r="N251" s="2">
        <v>52</v>
      </c>
      <c r="O251" s="2">
        <v>16</v>
      </c>
      <c r="P251" s="3">
        <v>38</v>
      </c>
      <c r="Q251" s="2">
        <v>16</v>
      </c>
      <c r="R251" s="2">
        <v>126</v>
      </c>
      <c r="S251" s="2">
        <v>15</v>
      </c>
      <c r="T251" s="2">
        <v>58</v>
      </c>
      <c r="U251" s="2">
        <v>1</v>
      </c>
      <c r="V251" s="2">
        <f t="shared" si="27"/>
        <v>247</v>
      </c>
      <c r="W251" s="2">
        <v>0</v>
      </c>
      <c r="X251" s="2">
        <v>4</v>
      </c>
      <c r="Y251" s="2">
        <v>0</v>
      </c>
      <c r="Z251" s="2">
        <f t="shared" si="29"/>
        <v>5</v>
      </c>
      <c r="AA251" s="2">
        <f t="shared" si="30"/>
        <v>252</v>
      </c>
      <c r="AB251" s="2">
        <v>6322</v>
      </c>
      <c r="AC251" s="20">
        <f t="shared" si="23"/>
        <v>3.98608035431825</v>
      </c>
      <c r="AD251" s="2" t="s">
        <v>58</v>
      </c>
      <c r="AE251" s="2">
        <v>100</v>
      </c>
      <c r="AF251" s="21">
        <f t="shared" si="24"/>
        <v>7.49383106611832</v>
      </c>
      <c r="AG251" s="4">
        <f t="shared" si="31"/>
        <v>3.90699145839924</v>
      </c>
      <c r="AH251" s="4">
        <f t="shared" si="26"/>
        <v>0.079088895919013</v>
      </c>
    </row>
    <row r="252" spans="1:34">
      <c r="A252" s="2">
        <v>20260116</v>
      </c>
      <c r="B252" s="2" t="s">
        <v>551</v>
      </c>
      <c r="C252" s="2" t="s">
        <v>552</v>
      </c>
      <c r="D252" s="2">
        <v>2</v>
      </c>
      <c r="E252" s="2">
        <v>8</v>
      </c>
      <c r="F252" s="2">
        <v>15</v>
      </c>
      <c r="G252" s="2">
        <v>14</v>
      </c>
      <c r="H252" s="2">
        <v>21</v>
      </c>
      <c r="I252" s="3">
        <v>32</v>
      </c>
      <c r="J252" s="2">
        <v>24</v>
      </c>
      <c r="K252" s="2">
        <v>5</v>
      </c>
      <c r="L252" s="2">
        <v>1</v>
      </c>
      <c r="M252" s="2">
        <v>10</v>
      </c>
      <c r="N252" s="2">
        <v>50</v>
      </c>
      <c r="O252" s="2">
        <v>1</v>
      </c>
      <c r="P252" s="3">
        <v>24</v>
      </c>
      <c r="Q252" s="2">
        <v>11</v>
      </c>
      <c r="R252" s="2">
        <v>63</v>
      </c>
      <c r="S252" s="2">
        <v>6</v>
      </c>
      <c r="T252" s="2">
        <v>28</v>
      </c>
      <c r="U252" s="2">
        <v>2</v>
      </c>
      <c r="V252" s="2">
        <f t="shared" si="27"/>
        <v>156</v>
      </c>
      <c r="W252" s="2">
        <v>0</v>
      </c>
      <c r="X252" s="2">
        <v>3</v>
      </c>
      <c r="Y252" s="2">
        <v>0</v>
      </c>
      <c r="Z252" s="2">
        <f t="shared" si="29"/>
        <v>5</v>
      </c>
      <c r="AA252" s="2">
        <f t="shared" si="30"/>
        <v>161</v>
      </c>
      <c r="AB252" s="2">
        <v>3655</v>
      </c>
      <c r="AC252" s="20">
        <f t="shared" si="23"/>
        <v>4.40492476060192</v>
      </c>
      <c r="AD252" s="2" t="s">
        <v>58</v>
      </c>
      <c r="AE252" s="2">
        <v>100</v>
      </c>
      <c r="AF252" s="21">
        <f t="shared" si="24"/>
        <v>8.2812585499316</v>
      </c>
      <c r="AG252" s="4">
        <f t="shared" si="31"/>
        <v>4.26812585499316</v>
      </c>
      <c r="AH252" s="4">
        <f t="shared" si="26"/>
        <v>0.136798905608755</v>
      </c>
    </row>
    <row r="253" spans="1:34">
      <c r="A253" s="2">
        <v>20260116</v>
      </c>
      <c r="B253" s="2" t="s">
        <v>553</v>
      </c>
      <c r="C253" s="2" t="s">
        <v>554</v>
      </c>
      <c r="D253" s="2">
        <v>2</v>
      </c>
      <c r="E253" s="2">
        <v>1</v>
      </c>
      <c r="F253" s="2">
        <v>15</v>
      </c>
      <c r="G253" s="2">
        <v>12</v>
      </c>
      <c r="H253" s="2">
        <v>12</v>
      </c>
      <c r="I253" s="3">
        <v>26</v>
      </c>
      <c r="J253" s="2">
        <v>20</v>
      </c>
      <c r="K253" s="2">
        <v>13</v>
      </c>
      <c r="L253" s="2">
        <v>4</v>
      </c>
      <c r="M253" s="2">
        <v>5</v>
      </c>
      <c r="N253" s="2">
        <v>70</v>
      </c>
      <c r="O253" s="2">
        <v>10</v>
      </c>
      <c r="P253" s="3">
        <v>16</v>
      </c>
      <c r="Q253" s="2">
        <v>16</v>
      </c>
      <c r="R253" s="2">
        <v>56</v>
      </c>
      <c r="S253" s="2">
        <v>1</v>
      </c>
      <c r="T253" s="2">
        <v>32</v>
      </c>
      <c r="U253" s="2">
        <v>1</v>
      </c>
      <c r="V253" s="2">
        <f t="shared" si="27"/>
        <v>137</v>
      </c>
      <c r="W253" s="2">
        <v>0</v>
      </c>
      <c r="X253" s="2">
        <v>3</v>
      </c>
      <c r="Y253" s="2">
        <v>0</v>
      </c>
      <c r="Z253" s="2">
        <f t="shared" si="29"/>
        <v>4</v>
      </c>
      <c r="AA253" s="2">
        <f t="shared" si="30"/>
        <v>141</v>
      </c>
      <c r="AB253" s="2">
        <v>3105</v>
      </c>
      <c r="AC253" s="20">
        <f t="shared" si="23"/>
        <v>4.54106280193237</v>
      </c>
      <c r="AD253" s="2" t="s">
        <v>58</v>
      </c>
      <c r="AE253" s="2">
        <v>100</v>
      </c>
      <c r="AF253" s="21">
        <f t="shared" si="24"/>
        <v>8.53719806763285</v>
      </c>
      <c r="AG253" s="4">
        <f t="shared" si="31"/>
        <v>4.4122383252818</v>
      </c>
      <c r="AH253" s="4">
        <f t="shared" si="26"/>
        <v>0.128824476650564</v>
      </c>
    </row>
    <row r="254" spans="1:34">
      <c r="A254" s="2">
        <v>20260116</v>
      </c>
      <c r="B254" s="2" t="s">
        <v>555</v>
      </c>
      <c r="C254" s="2" t="s">
        <v>556</v>
      </c>
      <c r="D254" s="2">
        <v>4</v>
      </c>
      <c r="E254" s="2">
        <v>7</v>
      </c>
      <c r="F254" s="2">
        <v>18</v>
      </c>
      <c r="G254" s="2">
        <v>16</v>
      </c>
      <c r="H254" s="2">
        <v>22</v>
      </c>
      <c r="I254" s="3">
        <v>37</v>
      </c>
      <c r="J254" s="2">
        <v>29</v>
      </c>
      <c r="K254" s="2">
        <v>9</v>
      </c>
      <c r="L254" s="2">
        <v>1</v>
      </c>
      <c r="M254" s="2">
        <v>12</v>
      </c>
      <c r="N254" s="2">
        <v>56</v>
      </c>
      <c r="O254" s="2">
        <v>22</v>
      </c>
      <c r="P254" s="3">
        <v>36</v>
      </c>
      <c r="Q254" s="2">
        <v>147</v>
      </c>
      <c r="R254" s="2">
        <v>6</v>
      </c>
      <c r="S254" s="2">
        <v>45</v>
      </c>
      <c r="T254" s="2">
        <v>2</v>
      </c>
      <c r="U254" s="2">
        <v>0</v>
      </c>
      <c r="V254" s="2">
        <f t="shared" si="27"/>
        <v>144</v>
      </c>
      <c r="W254" s="2">
        <v>3</v>
      </c>
      <c r="X254" s="2">
        <v>17</v>
      </c>
      <c r="Y254" s="2">
        <v>0</v>
      </c>
      <c r="Z254" s="2">
        <f t="shared" si="29"/>
        <v>20</v>
      </c>
      <c r="AA254" s="2">
        <f t="shared" si="30"/>
        <v>164</v>
      </c>
      <c r="AB254" s="2">
        <v>6173</v>
      </c>
      <c r="AC254" s="20">
        <f t="shared" si="23"/>
        <v>2.65673092499595</v>
      </c>
      <c r="AD254" s="2" t="s">
        <v>58</v>
      </c>
      <c r="AE254" s="2">
        <v>100</v>
      </c>
      <c r="AF254" s="21">
        <f t="shared" si="24"/>
        <v>4.99465413899239</v>
      </c>
      <c r="AG254" s="4">
        <f t="shared" si="31"/>
        <v>2.33273934877693</v>
      </c>
      <c r="AH254" s="4">
        <f t="shared" si="26"/>
        <v>0.323991576219018</v>
      </c>
    </row>
    <row r="255" spans="1:34">
      <c r="A255" s="2">
        <v>20260116</v>
      </c>
      <c r="B255" s="2" t="s">
        <v>557</v>
      </c>
      <c r="C255" s="2" t="s">
        <v>558</v>
      </c>
      <c r="D255" s="2">
        <v>0</v>
      </c>
      <c r="E255" s="2">
        <v>4</v>
      </c>
      <c r="F255" s="2">
        <v>11</v>
      </c>
      <c r="G255" s="2">
        <v>8</v>
      </c>
      <c r="H255" s="2">
        <v>22</v>
      </c>
      <c r="I255" s="3">
        <v>25</v>
      </c>
      <c r="J255" s="2">
        <v>16</v>
      </c>
      <c r="K255" s="2">
        <v>8</v>
      </c>
      <c r="L255" s="2">
        <v>0</v>
      </c>
      <c r="M255" s="2">
        <v>5</v>
      </c>
      <c r="N255" s="2">
        <v>30</v>
      </c>
      <c r="O255" s="2">
        <v>9</v>
      </c>
      <c r="P255" s="3">
        <v>22</v>
      </c>
      <c r="Q255" s="2">
        <v>5</v>
      </c>
      <c r="R255" s="2">
        <v>63</v>
      </c>
      <c r="S255" s="2">
        <v>3</v>
      </c>
      <c r="T255" s="2">
        <v>27</v>
      </c>
      <c r="U255" s="2">
        <v>0</v>
      </c>
      <c r="V255" s="2">
        <f t="shared" si="27"/>
        <v>129</v>
      </c>
      <c r="W255" s="2">
        <v>1</v>
      </c>
      <c r="X255" s="2">
        <v>3</v>
      </c>
      <c r="Y255" s="2">
        <v>0</v>
      </c>
      <c r="Z255" s="2">
        <f t="shared" si="29"/>
        <v>4</v>
      </c>
      <c r="AA255" s="2">
        <f t="shared" si="30"/>
        <v>133</v>
      </c>
      <c r="AB255" s="2">
        <v>3106</v>
      </c>
      <c r="AC255" s="20">
        <f t="shared" si="23"/>
        <v>4.28203477141017</v>
      </c>
      <c r="AD255" s="2" t="s">
        <v>58</v>
      </c>
      <c r="AE255" s="2">
        <v>100</v>
      </c>
      <c r="AF255" s="21">
        <f t="shared" si="24"/>
        <v>8.05022537025113</v>
      </c>
      <c r="AG255" s="4">
        <f t="shared" si="31"/>
        <v>4.15325177076626</v>
      </c>
      <c r="AH255" s="4">
        <f t="shared" si="26"/>
        <v>0.128783000643915</v>
      </c>
    </row>
    <row r="256" spans="1:34">
      <c r="A256" s="2">
        <v>20260116</v>
      </c>
      <c r="B256" s="2" t="s">
        <v>559</v>
      </c>
      <c r="C256" s="2" t="s">
        <v>560</v>
      </c>
      <c r="D256" s="2">
        <v>3</v>
      </c>
      <c r="E256" s="2">
        <v>2</v>
      </c>
      <c r="F256" s="2">
        <v>10</v>
      </c>
      <c r="G256" s="2">
        <v>6</v>
      </c>
      <c r="H256" s="2">
        <v>17</v>
      </c>
      <c r="I256" s="3">
        <v>43</v>
      </c>
      <c r="J256" s="2">
        <v>17</v>
      </c>
      <c r="K256" s="2">
        <v>6</v>
      </c>
      <c r="L256" s="2">
        <v>5</v>
      </c>
      <c r="M256" s="2">
        <v>15</v>
      </c>
      <c r="N256" s="2">
        <v>33</v>
      </c>
      <c r="O256" s="2">
        <v>8</v>
      </c>
      <c r="P256" s="3">
        <v>46</v>
      </c>
      <c r="Q256" s="2">
        <v>15</v>
      </c>
      <c r="R256" s="2">
        <v>51</v>
      </c>
      <c r="S256" s="2">
        <v>0</v>
      </c>
      <c r="T256" s="2">
        <v>8</v>
      </c>
      <c r="U256" s="2">
        <v>0</v>
      </c>
      <c r="V256" s="2">
        <f t="shared" si="27"/>
        <v>151</v>
      </c>
      <c r="W256" s="2">
        <v>3</v>
      </c>
      <c r="X256" s="2">
        <v>9</v>
      </c>
      <c r="Y256" s="2">
        <v>0</v>
      </c>
      <c r="Z256" s="2">
        <f t="shared" si="29"/>
        <v>12</v>
      </c>
      <c r="AA256" s="2">
        <f t="shared" si="30"/>
        <v>163</v>
      </c>
      <c r="AB256" s="2">
        <v>2204</v>
      </c>
      <c r="AC256" s="20">
        <f t="shared" si="23"/>
        <v>7.3956442831216</v>
      </c>
      <c r="AD256" s="2" t="s">
        <v>58</v>
      </c>
      <c r="AE256" s="2">
        <v>125</v>
      </c>
      <c r="AF256" s="21">
        <f t="shared" si="24"/>
        <v>11.1230490018149</v>
      </c>
      <c r="AG256" s="4">
        <f t="shared" si="31"/>
        <v>6.85117967332123</v>
      </c>
      <c r="AH256" s="4">
        <f t="shared" si="26"/>
        <v>0.544464609800363</v>
      </c>
    </row>
    <row r="257" spans="1:34">
      <c r="A257" s="2">
        <v>20260116</v>
      </c>
      <c r="B257" s="2" t="s">
        <v>561</v>
      </c>
      <c r="C257" s="2" t="s">
        <v>562</v>
      </c>
      <c r="D257" s="2">
        <v>3</v>
      </c>
      <c r="E257" s="2">
        <v>10</v>
      </c>
      <c r="F257" s="2">
        <v>12</v>
      </c>
      <c r="G257" s="2">
        <v>14</v>
      </c>
      <c r="H257" s="2">
        <v>13</v>
      </c>
      <c r="I257" s="3">
        <v>51</v>
      </c>
      <c r="J257" s="2">
        <v>36</v>
      </c>
      <c r="K257" s="2">
        <v>10</v>
      </c>
      <c r="L257" s="2">
        <v>5</v>
      </c>
      <c r="M257" s="2">
        <v>25</v>
      </c>
      <c r="N257" s="2">
        <v>36</v>
      </c>
      <c r="O257" s="2">
        <v>11</v>
      </c>
      <c r="P257" s="3">
        <v>51</v>
      </c>
      <c r="Q257" s="2">
        <v>11</v>
      </c>
      <c r="R257" s="2">
        <v>81</v>
      </c>
      <c r="S257" s="2">
        <v>5</v>
      </c>
      <c r="T257" s="2">
        <v>11</v>
      </c>
      <c r="U257" s="2">
        <v>0</v>
      </c>
      <c r="V257" s="2">
        <f t="shared" si="27"/>
        <v>204</v>
      </c>
      <c r="W257" s="2">
        <v>1</v>
      </c>
      <c r="X257" s="2">
        <v>11</v>
      </c>
      <c r="Y257" s="2">
        <v>0</v>
      </c>
      <c r="Z257" s="2">
        <f t="shared" si="29"/>
        <v>12</v>
      </c>
      <c r="AA257" s="2">
        <f t="shared" si="30"/>
        <v>216</v>
      </c>
      <c r="AB257" s="2">
        <v>2404</v>
      </c>
      <c r="AC257" s="20">
        <f t="shared" si="23"/>
        <v>8.98502495840266</v>
      </c>
      <c r="AD257" s="2" t="s">
        <v>58</v>
      </c>
      <c r="AE257" s="2">
        <v>125</v>
      </c>
      <c r="AF257" s="21">
        <f t="shared" si="24"/>
        <v>13.5134775374376</v>
      </c>
      <c r="AG257" s="4">
        <f t="shared" si="31"/>
        <v>8.48585690515807</v>
      </c>
      <c r="AH257" s="4">
        <f t="shared" si="26"/>
        <v>0.499168053244592</v>
      </c>
    </row>
    <row r="258" spans="1:34">
      <c r="A258" s="2">
        <v>20260116</v>
      </c>
      <c r="B258" s="2" t="s">
        <v>563</v>
      </c>
      <c r="C258" s="2" t="s">
        <v>564</v>
      </c>
      <c r="D258" s="2">
        <v>3</v>
      </c>
      <c r="E258" s="2">
        <v>2</v>
      </c>
      <c r="F258" s="2">
        <v>4</v>
      </c>
      <c r="G258" s="2">
        <v>11</v>
      </c>
      <c r="H258" s="2">
        <v>13</v>
      </c>
      <c r="I258" s="3">
        <v>45</v>
      </c>
      <c r="J258" s="2">
        <v>14</v>
      </c>
      <c r="K258" s="2">
        <v>0</v>
      </c>
      <c r="L258" s="2">
        <v>3</v>
      </c>
      <c r="M258" s="2">
        <v>12</v>
      </c>
      <c r="N258" s="2">
        <v>8</v>
      </c>
      <c r="O258" s="2">
        <v>10</v>
      </c>
      <c r="P258" s="3">
        <v>27</v>
      </c>
      <c r="Q258" s="2">
        <v>5</v>
      </c>
      <c r="R258" s="2">
        <v>69</v>
      </c>
      <c r="S258" s="2">
        <v>2</v>
      </c>
      <c r="T258" s="2">
        <v>13</v>
      </c>
      <c r="U258" s="2">
        <v>0</v>
      </c>
      <c r="V258" s="2">
        <f t="shared" si="27"/>
        <v>123</v>
      </c>
      <c r="W258" s="2">
        <v>0</v>
      </c>
      <c r="X258" s="2">
        <v>15</v>
      </c>
      <c r="Y258" s="2">
        <v>0</v>
      </c>
      <c r="Z258" s="2">
        <f t="shared" si="29"/>
        <v>15</v>
      </c>
      <c r="AA258" s="2">
        <f t="shared" si="30"/>
        <v>138</v>
      </c>
      <c r="AB258" s="2">
        <v>2105</v>
      </c>
      <c r="AC258" s="20">
        <f t="shared" ref="AC258:AC321" si="32">AA258/AB258*100</f>
        <v>6.55581947743468</v>
      </c>
      <c r="AD258" s="2" t="s">
        <v>58</v>
      </c>
      <c r="AE258" s="2">
        <v>125</v>
      </c>
      <c r="AF258" s="21">
        <f t="shared" ref="AF258:AF321" si="33">188/AE258*AC258</f>
        <v>9.85995249406176</v>
      </c>
      <c r="AG258" s="4">
        <f t="shared" si="31"/>
        <v>5.84323040380047</v>
      </c>
      <c r="AH258" s="4">
        <f t="shared" ref="AH258:AH321" si="34">Z258/AB258*100</f>
        <v>0.712589073634204</v>
      </c>
    </row>
    <row r="259" spans="1:34">
      <c r="A259" s="2">
        <v>20260116</v>
      </c>
      <c r="B259" s="2" t="s">
        <v>565</v>
      </c>
      <c r="C259" s="2" t="s">
        <v>566</v>
      </c>
      <c r="D259" s="2">
        <v>2</v>
      </c>
      <c r="E259" s="2">
        <v>9</v>
      </c>
      <c r="F259" s="2">
        <v>6</v>
      </c>
      <c r="G259" s="2">
        <v>3</v>
      </c>
      <c r="H259" s="2">
        <v>8</v>
      </c>
      <c r="I259" s="3">
        <v>26</v>
      </c>
      <c r="J259" s="2">
        <v>15</v>
      </c>
      <c r="K259" s="2">
        <v>0</v>
      </c>
      <c r="L259" s="2">
        <v>2</v>
      </c>
      <c r="M259" s="2">
        <v>11</v>
      </c>
      <c r="N259" s="2">
        <v>15</v>
      </c>
      <c r="O259" s="2">
        <v>9</v>
      </c>
      <c r="P259" s="3">
        <v>30</v>
      </c>
      <c r="Q259" s="2">
        <v>3</v>
      </c>
      <c r="R259" s="2">
        <v>61</v>
      </c>
      <c r="S259" s="2">
        <v>2</v>
      </c>
      <c r="T259" s="2">
        <v>12</v>
      </c>
      <c r="U259" s="2">
        <v>0</v>
      </c>
      <c r="V259" s="2">
        <f t="shared" si="27"/>
        <v>101</v>
      </c>
      <c r="W259" s="2">
        <v>1</v>
      </c>
      <c r="X259" s="2">
        <v>5</v>
      </c>
      <c r="Y259" s="2">
        <v>0</v>
      </c>
      <c r="Z259" s="2">
        <f t="shared" si="29"/>
        <v>6</v>
      </c>
      <c r="AA259" s="2">
        <f t="shared" si="30"/>
        <v>107</v>
      </c>
      <c r="AB259" s="2">
        <v>2502</v>
      </c>
      <c r="AC259" s="20">
        <f t="shared" si="32"/>
        <v>4.27657873701039</v>
      </c>
      <c r="AD259" s="2" t="s">
        <v>58</v>
      </c>
      <c r="AE259" s="2">
        <v>125</v>
      </c>
      <c r="AF259" s="21">
        <f t="shared" si="33"/>
        <v>6.43197442046363</v>
      </c>
      <c r="AG259" s="4">
        <f t="shared" si="31"/>
        <v>4.03677058353317</v>
      </c>
      <c r="AH259" s="4">
        <f t="shared" si="34"/>
        <v>0.239808153477218</v>
      </c>
    </row>
    <row r="260" spans="1:34">
      <c r="A260" s="2">
        <v>20260116</v>
      </c>
      <c r="B260" s="2" t="s">
        <v>567</v>
      </c>
      <c r="C260" s="2" t="s">
        <v>568</v>
      </c>
      <c r="D260" s="2">
        <v>3</v>
      </c>
      <c r="E260" s="2">
        <v>2</v>
      </c>
      <c r="F260" s="2">
        <v>5</v>
      </c>
      <c r="G260" s="2">
        <v>4</v>
      </c>
      <c r="H260" s="2">
        <v>9</v>
      </c>
      <c r="I260" s="3">
        <v>8</v>
      </c>
      <c r="J260" s="2">
        <v>10</v>
      </c>
      <c r="K260" s="2">
        <v>4</v>
      </c>
      <c r="L260" s="2">
        <v>2</v>
      </c>
      <c r="M260" s="2">
        <v>12</v>
      </c>
      <c r="N260" s="2">
        <v>15</v>
      </c>
      <c r="O260" s="2">
        <v>9</v>
      </c>
      <c r="P260" s="3">
        <v>37</v>
      </c>
      <c r="Q260" s="2">
        <v>9</v>
      </c>
      <c r="R260" s="2">
        <v>56</v>
      </c>
      <c r="S260" s="2">
        <v>2</v>
      </c>
      <c r="T260" s="2">
        <v>7</v>
      </c>
      <c r="U260" s="2">
        <v>0</v>
      </c>
      <c r="V260" s="2">
        <f t="shared" si="27"/>
        <v>92</v>
      </c>
      <c r="W260" s="2">
        <v>1</v>
      </c>
      <c r="X260" s="2">
        <v>0</v>
      </c>
      <c r="Y260" s="2">
        <v>0</v>
      </c>
      <c r="Z260" s="2">
        <f t="shared" si="29"/>
        <v>1</v>
      </c>
      <c r="AA260" s="2">
        <f t="shared" si="30"/>
        <v>93</v>
      </c>
      <c r="AB260" s="2">
        <v>2103</v>
      </c>
      <c r="AC260" s="20">
        <f t="shared" si="32"/>
        <v>4.42225392296719</v>
      </c>
      <c r="AD260" s="2" t="s">
        <v>58</v>
      </c>
      <c r="AE260" s="2">
        <v>125</v>
      </c>
      <c r="AF260" s="21">
        <f t="shared" si="33"/>
        <v>6.65106990014265</v>
      </c>
      <c r="AG260" s="4">
        <f t="shared" si="31"/>
        <v>4.37470280551593</v>
      </c>
      <c r="AH260" s="4">
        <f t="shared" si="34"/>
        <v>0.0475511174512601</v>
      </c>
    </row>
    <row r="261" spans="1:34">
      <c r="A261" s="2">
        <v>20260116</v>
      </c>
      <c r="B261" s="2" t="s">
        <v>569</v>
      </c>
      <c r="C261" s="2" t="s">
        <v>570</v>
      </c>
      <c r="D261" s="2">
        <v>1</v>
      </c>
      <c r="E261" s="2">
        <v>2</v>
      </c>
      <c r="F261" s="2">
        <v>3</v>
      </c>
      <c r="G261" s="2">
        <v>7</v>
      </c>
      <c r="H261" s="2">
        <v>6</v>
      </c>
      <c r="I261" s="3">
        <v>7</v>
      </c>
      <c r="J261" s="2">
        <v>8</v>
      </c>
      <c r="K261" s="2">
        <v>4</v>
      </c>
      <c r="L261" s="2">
        <v>0</v>
      </c>
      <c r="M261" s="2">
        <v>7</v>
      </c>
      <c r="N261" s="2">
        <v>25</v>
      </c>
      <c r="O261" s="2">
        <v>6</v>
      </c>
      <c r="P261" s="3">
        <v>31</v>
      </c>
      <c r="Q261" s="2">
        <v>8</v>
      </c>
      <c r="R261" s="2">
        <v>59</v>
      </c>
      <c r="S261" s="2">
        <v>5</v>
      </c>
      <c r="T261" s="2">
        <v>16</v>
      </c>
      <c r="U261" s="2">
        <v>0</v>
      </c>
      <c r="V261" s="2">
        <f t="shared" si="27"/>
        <v>83</v>
      </c>
      <c r="W261" s="2">
        <v>0</v>
      </c>
      <c r="X261" s="2">
        <v>3</v>
      </c>
      <c r="Y261" s="2">
        <v>0</v>
      </c>
      <c r="Z261" s="2">
        <f t="shared" si="29"/>
        <v>3</v>
      </c>
      <c r="AA261" s="2">
        <f t="shared" si="30"/>
        <v>86</v>
      </c>
      <c r="AB261" s="2">
        <v>2901</v>
      </c>
      <c r="AC261" s="20">
        <f t="shared" si="32"/>
        <v>2.96449500172354</v>
      </c>
      <c r="AD261" s="2" t="s">
        <v>58</v>
      </c>
      <c r="AE261" s="2">
        <v>125</v>
      </c>
      <c r="AF261" s="21">
        <f t="shared" si="33"/>
        <v>4.45860048259221</v>
      </c>
      <c r="AG261" s="4">
        <f t="shared" si="31"/>
        <v>2.86108238538435</v>
      </c>
      <c r="AH261" s="4">
        <f t="shared" si="34"/>
        <v>0.103412616339193</v>
      </c>
    </row>
    <row r="262" spans="1:34">
      <c r="A262" s="2">
        <v>20260116</v>
      </c>
      <c r="B262" s="2" t="s">
        <v>571</v>
      </c>
      <c r="C262" s="2" t="s">
        <v>572</v>
      </c>
      <c r="D262" s="2">
        <v>7</v>
      </c>
      <c r="E262" s="2">
        <v>10</v>
      </c>
      <c r="F262" s="2">
        <v>6</v>
      </c>
      <c r="G262" s="2">
        <v>18</v>
      </c>
      <c r="H262" s="2">
        <v>17</v>
      </c>
      <c r="I262" s="3">
        <v>24</v>
      </c>
      <c r="J262" s="2">
        <v>27</v>
      </c>
      <c r="K262" s="2">
        <v>6</v>
      </c>
      <c r="L262" s="2">
        <v>3</v>
      </c>
      <c r="M262" s="2">
        <v>10</v>
      </c>
      <c r="N262" s="2">
        <v>28</v>
      </c>
      <c r="O262" s="2">
        <v>16</v>
      </c>
      <c r="P262" s="3">
        <v>28</v>
      </c>
      <c r="Q262" s="2">
        <v>9</v>
      </c>
      <c r="R262" s="2">
        <v>182</v>
      </c>
      <c r="S262" s="2">
        <v>12</v>
      </c>
      <c r="T262" s="2">
        <v>22</v>
      </c>
      <c r="U262" s="2">
        <v>2</v>
      </c>
      <c r="V262" s="2">
        <f t="shared" si="27"/>
        <v>146</v>
      </c>
      <c r="W262" s="2">
        <v>5</v>
      </c>
      <c r="X262" s="2">
        <v>4</v>
      </c>
      <c r="Y262" s="2">
        <v>0</v>
      </c>
      <c r="Z262" s="2">
        <f t="shared" si="29"/>
        <v>11</v>
      </c>
      <c r="AA262" s="2">
        <f t="shared" si="30"/>
        <v>157</v>
      </c>
      <c r="AB262" s="2">
        <v>3821</v>
      </c>
      <c r="AC262" s="20">
        <f t="shared" si="32"/>
        <v>4.10887202303062</v>
      </c>
      <c r="AD262" s="2" t="s">
        <v>58</v>
      </c>
      <c r="AE262" s="2">
        <v>125</v>
      </c>
      <c r="AF262" s="21">
        <f t="shared" si="33"/>
        <v>6.17974352263805</v>
      </c>
      <c r="AG262" s="4">
        <f t="shared" si="31"/>
        <v>3.82098926982465</v>
      </c>
      <c r="AH262" s="4">
        <f t="shared" si="34"/>
        <v>0.287882753205967</v>
      </c>
    </row>
    <row r="263" spans="1:34">
      <c r="A263" s="2">
        <v>20260116</v>
      </c>
      <c r="B263" s="2" t="s">
        <v>573</v>
      </c>
      <c r="C263" s="2" t="s">
        <v>574</v>
      </c>
      <c r="D263" s="2">
        <v>0</v>
      </c>
      <c r="E263" s="2">
        <v>2</v>
      </c>
      <c r="F263" s="2">
        <v>4</v>
      </c>
      <c r="G263" s="2">
        <v>11</v>
      </c>
      <c r="H263" s="2">
        <v>18</v>
      </c>
      <c r="I263" s="3">
        <v>13</v>
      </c>
      <c r="J263" s="2">
        <v>15</v>
      </c>
      <c r="K263" s="2">
        <v>8</v>
      </c>
      <c r="L263" s="2">
        <v>4</v>
      </c>
      <c r="M263" s="2">
        <v>11</v>
      </c>
      <c r="N263" s="2">
        <v>38</v>
      </c>
      <c r="O263" s="2">
        <v>6</v>
      </c>
      <c r="P263" s="3">
        <v>45</v>
      </c>
      <c r="Q263" s="2">
        <v>17</v>
      </c>
      <c r="R263" s="2">
        <v>123</v>
      </c>
      <c r="S263" s="2">
        <v>7</v>
      </c>
      <c r="T263" s="2">
        <v>22</v>
      </c>
      <c r="U263" s="2">
        <v>0</v>
      </c>
      <c r="V263" s="2">
        <f t="shared" si="27"/>
        <v>146</v>
      </c>
      <c r="W263" s="2">
        <v>0</v>
      </c>
      <c r="X263" s="2">
        <v>1</v>
      </c>
      <c r="Y263" s="2">
        <v>0</v>
      </c>
      <c r="Z263" s="2">
        <f t="shared" si="29"/>
        <v>1</v>
      </c>
      <c r="AA263" s="2">
        <f t="shared" si="30"/>
        <v>147</v>
      </c>
      <c r="AB263" s="2">
        <v>2604</v>
      </c>
      <c r="AC263" s="20">
        <f t="shared" si="32"/>
        <v>5.64516129032258</v>
      </c>
      <c r="AD263" s="2" t="s">
        <v>58</v>
      </c>
      <c r="AE263" s="2">
        <v>125</v>
      </c>
      <c r="AF263" s="21">
        <f t="shared" si="33"/>
        <v>8.49032258064516</v>
      </c>
      <c r="AG263" s="4">
        <f t="shared" si="31"/>
        <v>5.60675883256528</v>
      </c>
      <c r="AH263" s="4">
        <f t="shared" si="34"/>
        <v>0.0384024577572965</v>
      </c>
    </row>
    <row r="264" spans="1:34">
      <c r="A264" s="2">
        <v>20260116</v>
      </c>
      <c r="B264" s="2" t="s">
        <v>575</v>
      </c>
      <c r="C264" s="2" t="s">
        <v>576</v>
      </c>
      <c r="D264" s="2">
        <v>1</v>
      </c>
      <c r="E264" s="2">
        <v>40</v>
      </c>
      <c r="F264" s="2">
        <v>10</v>
      </c>
      <c r="G264" s="2">
        <v>15</v>
      </c>
      <c r="H264" s="2">
        <v>11</v>
      </c>
      <c r="I264" s="3">
        <v>8</v>
      </c>
      <c r="J264" s="2">
        <v>15</v>
      </c>
      <c r="K264" s="2">
        <v>2</v>
      </c>
      <c r="L264" s="2">
        <v>0</v>
      </c>
      <c r="M264" s="2">
        <v>6</v>
      </c>
      <c r="N264" s="2">
        <v>18</v>
      </c>
      <c r="O264" s="2">
        <v>6</v>
      </c>
      <c r="P264" s="3">
        <v>20</v>
      </c>
      <c r="Q264" s="2">
        <v>5</v>
      </c>
      <c r="R264" s="2">
        <v>20</v>
      </c>
      <c r="S264" s="2">
        <v>9</v>
      </c>
      <c r="T264" s="2">
        <v>28</v>
      </c>
      <c r="U264" s="2">
        <v>1</v>
      </c>
      <c r="V264" s="2">
        <f t="shared" si="27"/>
        <v>102</v>
      </c>
      <c r="W264" s="2">
        <v>2</v>
      </c>
      <c r="X264" s="2">
        <v>1</v>
      </c>
      <c r="Y264" s="2">
        <v>0</v>
      </c>
      <c r="Z264" s="2">
        <f t="shared" si="29"/>
        <v>4</v>
      </c>
      <c r="AA264" s="2">
        <f t="shared" si="30"/>
        <v>106</v>
      </c>
      <c r="AB264" s="2">
        <v>2233</v>
      </c>
      <c r="AC264" s="20">
        <f t="shared" si="32"/>
        <v>4.74697716077026</v>
      </c>
      <c r="AD264" s="2" t="s">
        <v>58</v>
      </c>
      <c r="AE264" s="2">
        <v>125</v>
      </c>
      <c r="AF264" s="21">
        <f t="shared" si="33"/>
        <v>7.13945364979848</v>
      </c>
      <c r="AG264" s="4">
        <f t="shared" si="31"/>
        <v>4.56784594715629</v>
      </c>
      <c r="AH264" s="4">
        <f t="shared" si="34"/>
        <v>0.179131213613972</v>
      </c>
    </row>
    <row r="265" spans="1:34">
      <c r="A265" s="2">
        <v>20260116</v>
      </c>
      <c r="B265" s="2" t="s">
        <v>577</v>
      </c>
      <c r="C265" s="2" t="s">
        <v>578</v>
      </c>
      <c r="D265" s="2">
        <v>2</v>
      </c>
      <c r="E265" s="2">
        <v>4</v>
      </c>
      <c r="F265" s="2">
        <v>11</v>
      </c>
      <c r="G265" s="2">
        <v>5</v>
      </c>
      <c r="H265" s="2">
        <v>10</v>
      </c>
      <c r="I265" s="3">
        <v>23</v>
      </c>
      <c r="J265" s="2">
        <v>16</v>
      </c>
      <c r="K265" s="2">
        <v>6</v>
      </c>
      <c r="L265" s="2">
        <v>1</v>
      </c>
      <c r="M265" s="2">
        <v>2</v>
      </c>
      <c r="N265" s="2">
        <v>18</v>
      </c>
      <c r="O265" s="2">
        <v>19</v>
      </c>
      <c r="P265" s="3">
        <v>20</v>
      </c>
      <c r="Q265" s="2">
        <v>14</v>
      </c>
      <c r="R265" s="2">
        <v>626</v>
      </c>
      <c r="S265" s="2">
        <v>1</v>
      </c>
      <c r="T265" s="2">
        <v>15</v>
      </c>
      <c r="U265" s="2">
        <v>0</v>
      </c>
      <c r="V265" s="2">
        <f t="shared" si="27"/>
        <v>94</v>
      </c>
      <c r="W265" s="2">
        <v>0</v>
      </c>
      <c r="X265" s="2">
        <v>3</v>
      </c>
      <c r="Y265" s="2">
        <v>1</v>
      </c>
      <c r="Z265" s="2">
        <f t="shared" si="29"/>
        <v>4</v>
      </c>
      <c r="AA265" s="2">
        <f t="shared" si="30"/>
        <v>98</v>
      </c>
      <c r="AB265" s="2">
        <v>3222</v>
      </c>
      <c r="AC265" s="20">
        <f t="shared" si="32"/>
        <v>3.04158907510863</v>
      </c>
      <c r="AD265" s="2" t="s">
        <v>49</v>
      </c>
      <c r="AE265" s="2">
        <v>125</v>
      </c>
      <c r="AF265" s="21">
        <f t="shared" si="33"/>
        <v>4.57454996896338</v>
      </c>
      <c r="AG265" s="4">
        <f t="shared" si="31"/>
        <v>2.91744258224705</v>
      </c>
      <c r="AH265" s="4">
        <f t="shared" si="34"/>
        <v>0.124146492861577</v>
      </c>
    </row>
    <row r="266" spans="1:34">
      <c r="A266" s="2">
        <v>20260117</v>
      </c>
      <c r="B266" s="2" t="s">
        <v>579</v>
      </c>
      <c r="C266" s="2" t="s">
        <v>580</v>
      </c>
      <c r="D266" s="2">
        <v>2</v>
      </c>
      <c r="E266" s="2">
        <v>1</v>
      </c>
      <c r="F266" s="2">
        <v>16</v>
      </c>
      <c r="G266" s="2">
        <v>6</v>
      </c>
      <c r="H266" s="2">
        <v>7</v>
      </c>
      <c r="I266" s="3">
        <v>28</v>
      </c>
      <c r="J266" s="2">
        <v>20</v>
      </c>
      <c r="K266" s="2">
        <v>9</v>
      </c>
      <c r="L266" s="2">
        <v>2</v>
      </c>
      <c r="M266" s="2">
        <v>3</v>
      </c>
      <c r="N266" s="2">
        <v>13</v>
      </c>
      <c r="O266" s="2">
        <v>22</v>
      </c>
      <c r="P266" s="3">
        <v>42</v>
      </c>
      <c r="Q266" s="2">
        <v>9</v>
      </c>
      <c r="R266" s="2">
        <v>382</v>
      </c>
      <c r="S266" s="2">
        <v>4</v>
      </c>
      <c r="T266" s="2">
        <v>5</v>
      </c>
      <c r="U266" s="2">
        <v>1</v>
      </c>
      <c r="V266" s="2">
        <f t="shared" si="27"/>
        <v>120</v>
      </c>
      <c r="W266" s="2">
        <v>0</v>
      </c>
      <c r="X266" s="2">
        <v>2</v>
      </c>
      <c r="Y266" s="2">
        <v>0</v>
      </c>
      <c r="Z266" s="2">
        <f t="shared" si="29"/>
        <v>3</v>
      </c>
      <c r="AA266" s="2">
        <f t="shared" si="30"/>
        <v>123</v>
      </c>
      <c r="AB266" s="2">
        <v>3690</v>
      </c>
      <c r="AC266" s="20">
        <f t="shared" si="32"/>
        <v>3.33333333333333</v>
      </c>
      <c r="AD266" s="2" t="s">
        <v>49</v>
      </c>
      <c r="AE266" s="2">
        <v>125</v>
      </c>
      <c r="AF266" s="21">
        <f t="shared" si="33"/>
        <v>5.01333333333333</v>
      </c>
      <c r="AG266" s="4">
        <f t="shared" si="31"/>
        <v>3.2520325203252</v>
      </c>
      <c r="AH266" s="4">
        <f t="shared" si="34"/>
        <v>0.0813008130081301</v>
      </c>
    </row>
    <row r="267" spans="1:34">
      <c r="A267" s="2">
        <v>20260117</v>
      </c>
      <c r="B267" s="2" t="s">
        <v>581</v>
      </c>
      <c r="C267" s="2" t="s">
        <v>582</v>
      </c>
      <c r="D267" s="2">
        <v>1</v>
      </c>
      <c r="E267" s="2">
        <v>4</v>
      </c>
      <c r="F267" s="2">
        <v>13</v>
      </c>
      <c r="G267" s="2">
        <v>5</v>
      </c>
      <c r="H267" s="2">
        <v>8</v>
      </c>
      <c r="I267" s="3">
        <v>40</v>
      </c>
      <c r="J267" s="2">
        <v>17</v>
      </c>
      <c r="K267" s="2">
        <v>8</v>
      </c>
      <c r="L267" s="2">
        <v>0</v>
      </c>
      <c r="M267" s="2">
        <v>8</v>
      </c>
      <c r="N267" s="2">
        <v>17</v>
      </c>
      <c r="O267" s="2">
        <v>14</v>
      </c>
      <c r="P267" s="3">
        <v>45</v>
      </c>
      <c r="Q267" s="2">
        <v>11</v>
      </c>
      <c r="R267" s="2">
        <v>204</v>
      </c>
      <c r="S267" s="2">
        <v>4</v>
      </c>
      <c r="T267" s="2">
        <v>12</v>
      </c>
      <c r="U267" s="2">
        <v>0</v>
      </c>
      <c r="V267" s="2">
        <f t="shared" si="27"/>
        <v>139</v>
      </c>
      <c r="W267" s="2">
        <v>0</v>
      </c>
      <c r="X267" s="2">
        <v>4</v>
      </c>
      <c r="Y267" s="2">
        <v>0</v>
      </c>
      <c r="Z267" s="2">
        <f t="shared" si="29"/>
        <v>4</v>
      </c>
      <c r="AA267" s="2">
        <f t="shared" si="30"/>
        <v>143</v>
      </c>
      <c r="AB267" s="2">
        <v>3359</v>
      </c>
      <c r="AC267" s="20">
        <f t="shared" si="32"/>
        <v>4.25721941053885</v>
      </c>
      <c r="AD267" s="2" t="s">
        <v>49</v>
      </c>
      <c r="AE267" s="2">
        <v>125</v>
      </c>
      <c r="AF267" s="21">
        <f t="shared" si="33"/>
        <v>6.40285799345043</v>
      </c>
      <c r="AG267" s="4">
        <f t="shared" si="31"/>
        <v>4.1381363501042</v>
      </c>
      <c r="AH267" s="4">
        <f t="shared" si="34"/>
        <v>0.119083060434653</v>
      </c>
    </row>
    <row r="268" spans="1:34">
      <c r="A268" s="2">
        <v>20260117</v>
      </c>
      <c r="B268" s="2" t="s">
        <v>583</v>
      </c>
      <c r="C268" s="2" t="s">
        <v>584</v>
      </c>
      <c r="D268" s="2">
        <v>2</v>
      </c>
      <c r="E268" s="2">
        <v>6</v>
      </c>
      <c r="F268" s="2">
        <v>9</v>
      </c>
      <c r="G268" s="2">
        <v>7</v>
      </c>
      <c r="H268" s="2">
        <v>8</v>
      </c>
      <c r="I268" s="3">
        <v>26</v>
      </c>
      <c r="J268" s="2">
        <v>9</v>
      </c>
      <c r="K268" s="2">
        <v>6</v>
      </c>
      <c r="L268" s="2">
        <v>1</v>
      </c>
      <c r="M268" s="2">
        <v>8</v>
      </c>
      <c r="N268" s="2">
        <v>28</v>
      </c>
      <c r="O268" s="2">
        <v>23</v>
      </c>
      <c r="P268" s="3">
        <v>41</v>
      </c>
      <c r="Q268" s="2">
        <v>15</v>
      </c>
      <c r="R268" s="2">
        <v>349</v>
      </c>
      <c r="S268" s="2">
        <v>4</v>
      </c>
      <c r="T268" s="2">
        <v>3</v>
      </c>
      <c r="U268" s="2">
        <v>1</v>
      </c>
      <c r="V268" s="2">
        <f t="shared" si="27"/>
        <v>107</v>
      </c>
      <c r="W268" s="2">
        <v>0</v>
      </c>
      <c r="X268" s="2">
        <v>2</v>
      </c>
      <c r="Y268" s="2">
        <v>0</v>
      </c>
      <c r="Z268" s="2">
        <f t="shared" si="29"/>
        <v>3</v>
      </c>
      <c r="AA268" s="2">
        <f t="shared" si="30"/>
        <v>110</v>
      </c>
      <c r="AB268" s="2">
        <v>3339</v>
      </c>
      <c r="AC268" s="20">
        <f t="shared" si="32"/>
        <v>3.29439952081461</v>
      </c>
      <c r="AD268" s="2" t="s">
        <v>49</v>
      </c>
      <c r="AE268" s="2">
        <v>125</v>
      </c>
      <c r="AF268" s="21">
        <f t="shared" si="33"/>
        <v>4.95477687930518</v>
      </c>
      <c r="AG268" s="4">
        <f t="shared" si="31"/>
        <v>3.20455226115603</v>
      </c>
      <c r="AH268" s="4">
        <f t="shared" si="34"/>
        <v>0.0898472596585804</v>
      </c>
    </row>
    <row r="269" spans="1:34">
      <c r="A269" s="2">
        <v>20260117</v>
      </c>
      <c r="B269" s="2" t="s">
        <v>585</v>
      </c>
      <c r="C269" s="2" t="s">
        <v>586</v>
      </c>
      <c r="D269" s="2">
        <v>3</v>
      </c>
      <c r="E269" s="2">
        <v>4</v>
      </c>
      <c r="F269" s="2">
        <v>13</v>
      </c>
      <c r="G269" s="2">
        <v>8</v>
      </c>
      <c r="H269" s="2">
        <v>8</v>
      </c>
      <c r="I269" s="3">
        <v>24</v>
      </c>
      <c r="J269" s="2">
        <v>16</v>
      </c>
      <c r="K269" s="2">
        <v>6</v>
      </c>
      <c r="L269" s="2">
        <v>0</v>
      </c>
      <c r="M269" s="2">
        <v>4</v>
      </c>
      <c r="N269" s="2">
        <v>24</v>
      </c>
      <c r="O269" s="2">
        <v>13</v>
      </c>
      <c r="P269" s="3">
        <v>17</v>
      </c>
      <c r="Q269" s="2">
        <v>18</v>
      </c>
      <c r="R269" s="2">
        <v>221</v>
      </c>
      <c r="S269" s="2">
        <v>7</v>
      </c>
      <c r="T269" s="2">
        <v>11</v>
      </c>
      <c r="U269" s="2">
        <v>1</v>
      </c>
      <c r="V269" s="2">
        <f t="shared" si="27"/>
        <v>94</v>
      </c>
      <c r="W269" s="2">
        <v>0</v>
      </c>
      <c r="X269" s="2">
        <v>0</v>
      </c>
      <c r="Y269" s="2">
        <v>0</v>
      </c>
      <c r="Z269" s="2">
        <f t="shared" si="29"/>
        <v>1</v>
      </c>
      <c r="AA269" s="2">
        <f t="shared" si="30"/>
        <v>95</v>
      </c>
      <c r="AB269" s="2">
        <v>3209</v>
      </c>
      <c r="AC269" s="20">
        <f t="shared" si="32"/>
        <v>2.96042380803989</v>
      </c>
      <c r="AD269" s="2" t="s">
        <v>49</v>
      </c>
      <c r="AE269" s="2">
        <v>125</v>
      </c>
      <c r="AF269" s="21">
        <f t="shared" si="33"/>
        <v>4.45247740729199</v>
      </c>
      <c r="AG269" s="4">
        <f t="shared" si="31"/>
        <v>2.92926145216578</v>
      </c>
      <c r="AH269" s="4">
        <f t="shared" si="34"/>
        <v>0.0311623558741041</v>
      </c>
    </row>
    <row r="270" spans="1:34">
      <c r="A270" s="2">
        <v>20260117</v>
      </c>
      <c r="B270" s="2" t="s">
        <v>587</v>
      </c>
      <c r="C270" s="2" t="s">
        <v>588</v>
      </c>
      <c r="D270" s="2">
        <v>2</v>
      </c>
      <c r="E270" s="2">
        <v>5</v>
      </c>
      <c r="F270" s="2">
        <v>17</v>
      </c>
      <c r="G270" s="2">
        <v>11</v>
      </c>
      <c r="H270" s="2">
        <v>9</v>
      </c>
      <c r="I270" s="3">
        <v>38</v>
      </c>
      <c r="J270" s="2">
        <v>20</v>
      </c>
      <c r="K270" s="2">
        <v>12</v>
      </c>
      <c r="L270" s="2">
        <v>2</v>
      </c>
      <c r="M270" s="2">
        <v>8</v>
      </c>
      <c r="N270" s="2">
        <v>22</v>
      </c>
      <c r="O270" s="2">
        <v>11</v>
      </c>
      <c r="P270" s="3">
        <v>24</v>
      </c>
      <c r="Q270" s="2">
        <v>24</v>
      </c>
      <c r="R270" s="2">
        <v>516</v>
      </c>
      <c r="S270" s="2">
        <v>1</v>
      </c>
      <c r="T270" s="2">
        <v>9</v>
      </c>
      <c r="U270" s="2">
        <v>1</v>
      </c>
      <c r="V270" s="2">
        <f t="shared" si="27"/>
        <v>133</v>
      </c>
      <c r="W270" s="2">
        <v>0</v>
      </c>
      <c r="X270" s="2">
        <v>0</v>
      </c>
      <c r="Y270" s="2">
        <v>0</v>
      </c>
      <c r="Z270" s="2">
        <f t="shared" si="29"/>
        <v>1</v>
      </c>
      <c r="AA270" s="2">
        <f t="shared" si="30"/>
        <v>134</v>
      </c>
      <c r="AB270" s="2">
        <v>3540</v>
      </c>
      <c r="AC270" s="20">
        <f t="shared" si="32"/>
        <v>3.78531073446328</v>
      </c>
      <c r="AD270" s="2" t="s">
        <v>49</v>
      </c>
      <c r="AE270" s="2">
        <v>125</v>
      </c>
      <c r="AF270" s="21">
        <f t="shared" si="33"/>
        <v>5.69310734463277</v>
      </c>
      <c r="AG270" s="4">
        <f t="shared" si="31"/>
        <v>3.75706214689266</v>
      </c>
      <c r="AH270" s="4">
        <f t="shared" si="34"/>
        <v>0.0282485875706215</v>
      </c>
    </row>
    <row r="271" spans="1:34">
      <c r="A271" s="2">
        <v>20260117</v>
      </c>
      <c r="B271" s="2" t="s">
        <v>589</v>
      </c>
      <c r="C271" s="2" t="s">
        <v>590</v>
      </c>
      <c r="D271" s="2">
        <v>4</v>
      </c>
      <c r="E271" s="2">
        <v>8</v>
      </c>
      <c r="F271" s="2">
        <v>19</v>
      </c>
      <c r="G271" s="2">
        <v>4</v>
      </c>
      <c r="H271" s="2">
        <v>7</v>
      </c>
      <c r="I271" s="3">
        <v>35</v>
      </c>
      <c r="J271" s="2">
        <v>15</v>
      </c>
      <c r="K271" s="2">
        <v>12</v>
      </c>
      <c r="L271" s="2">
        <v>0</v>
      </c>
      <c r="M271" s="2">
        <v>17</v>
      </c>
      <c r="N271" s="2">
        <v>28</v>
      </c>
      <c r="O271" s="2">
        <v>19</v>
      </c>
      <c r="P271" s="3">
        <v>50</v>
      </c>
      <c r="Q271" s="2">
        <v>16</v>
      </c>
      <c r="R271" s="2">
        <v>214</v>
      </c>
      <c r="S271" s="2">
        <v>11</v>
      </c>
      <c r="T271" s="2">
        <v>10</v>
      </c>
      <c r="U271" s="2">
        <v>2</v>
      </c>
      <c r="V271" s="2">
        <f t="shared" si="27"/>
        <v>150</v>
      </c>
      <c r="W271" s="2">
        <v>0</v>
      </c>
      <c r="X271" s="2">
        <v>0</v>
      </c>
      <c r="Y271" s="2">
        <v>0</v>
      </c>
      <c r="Z271" s="2">
        <f t="shared" si="29"/>
        <v>2</v>
      </c>
      <c r="AA271" s="2">
        <f t="shared" si="30"/>
        <v>152</v>
      </c>
      <c r="AB271" s="2">
        <v>3510</v>
      </c>
      <c r="AC271" s="20">
        <f t="shared" si="32"/>
        <v>4.33048433048433</v>
      </c>
      <c r="AD271" s="2" t="s">
        <v>49</v>
      </c>
      <c r="AE271" s="2">
        <v>125</v>
      </c>
      <c r="AF271" s="21">
        <f t="shared" si="33"/>
        <v>6.51304843304843</v>
      </c>
      <c r="AG271" s="4">
        <f t="shared" si="31"/>
        <v>4.27350427350427</v>
      </c>
      <c r="AH271" s="4">
        <f t="shared" si="34"/>
        <v>0.056980056980057</v>
      </c>
    </row>
    <row r="272" spans="1:34">
      <c r="A272" s="2">
        <v>20260117</v>
      </c>
      <c r="B272" s="2" t="s">
        <v>591</v>
      </c>
      <c r="C272" s="2" t="s">
        <v>592</v>
      </c>
      <c r="D272" s="2">
        <v>1</v>
      </c>
      <c r="E272" s="2">
        <v>0</v>
      </c>
      <c r="F272" s="2">
        <v>9</v>
      </c>
      <c r="G272" s="2">
        <v>3</v>
      </c>
      <c r="H272" s="2">
        <v>5</v>
      </c>
      <c r="I272" s="3">
        <v>17</v>
      </c>
      <c r="J272" s="2">
        <v>11</v>
      </c>
      <c r="K272" s="2">
        <v>2</v>
      </c>
      <c r="L272" s="2">
        <v>4</v>
      </c>
      <c r="M272" s="2">
        <v>4</v>
      </c>
      <c r="N272" s="2">
        <v>17</v>
      </c>
      <c r="O272" s="2">
        <v>11</v>
      </c>
      <c r="P272" s="3">
        <v>19</v>
      </c>
      <c r="Q272" s="2">
        <v>5</v>
      </c>
      <c r="R272" s="2">
        <v>6</v>
      </c>
      <c r="S272" s="2">
        <v>1</v>
      </c>
      <c r="T272" s="2">
        <v>4</v>
      </c>
      <c r="U272" s="2">
        <v>0</v>
      </c>
      <c r="V272" s="2">
        <f t="shared" si="27"/>
        <v>61</v>
      </c>
      <c r="W272" s="2">
        <v>0</v>
      </c>
      <c r="X272" s="2">
        <v>8</v>
      </c>
      <c r="Y272" s="2">
        <v>0</v>
      </c>
      <c r="Z272" s="2">
        <f t="shared" si="29"/>
        <v>8</v>
      </c>
      <c r="AA272" s="2">
        <f t="shared" si="30"/>
        <v>69</v>
      </c>
      <c r="AB272" s="2">
        <v>3190</v>
      </c>
      <c r="AC272" s="20">
        <f t="shared" si="32"/>
        <v>2.16300940438871</v>
      </c>
      <c r="AD272" s="2" t="s">
        <v>49</v>
      </c>
      <c r="AE272" s="2">
        <v>125</v>
      </c>
      <c r="AF272" s="21">
        <f t="shared" si="33"/>
        <v>3.25316614420063</v>
      </c>
      <c r="AG272" s="4">
        <f t="shared" si="31"/>
        <v>1.91222570532915</v>
      </c>
      <c r="AH272" s="4">
        <f t="shared" si="34"/>
        <v>0.250783699059561</v>
      </c>
    </row>
    <row r="273" spans="1:34">
      <c r="A273" s="2">
        <v>20260117</v>
      </c>
      <c r="B273" s="2" t="s">
        <v>593</v>
      </c>
      <c r="C273" s="2" t="s">
        <v>594</v>
      </c>
      <c r="D273" s="2">
        <v>4</v>
      </c>
      <c r="E273" s="2">
        <v>0</v>
      </c>
      <c r="F273" s="2">
        <v>19</v>
      </c>
      <c r="G273" s="2">
        <v>6</v>
      </c>
      <c r="H273" s="2">
        <v>6</v>
      </c>
      <c r="I273" s="3">
        <v>23</v>
      </c>
      <c r="J273" s="2">
        <v>6</v>
      </c>
      <c r="K273" s="2">
        <v>3</v>
      </c>
      <c r="L273" s="2">
        <v>1</v>
      </c>
      <c r="M273" s="2">
        <v>8</v>
      </c>
      <c r="N273" s="2">
        <v>21</v>
      </c>
      <c r="O273" s="2">
        <v>12</v>
      </c>
      <c r="P273" s="3">
        <v>27</v>
      </c>
      <c r="Q273" s="2">
        <v>19</v>
      </c>
      <c r="R273" s="2">
        <v>3</v>
      </c>
      <c r="S273" s="2">
        <v>3</v>
      </c>
      <c r="T273" s="2">
        <v>5</v>
      </c>
      <c r="U273" s="2">
        <v>0</v>
      </c>
      <c r="V273" s="2">
        <f t="shared" ref="V273:V322" si="35">AA273-Y273-X273-W273-U273</f>
        <v>81</v>
      </c>
      <c r="W273" s="2">
        <v>0</v>
      </c>
      <c r="X273" s="2">
        <v>4</v>
      </c>
      <c r="Y273" s="2">
        <v>0</v>
      </c>
      <c r="Z273" s="2">
        <f t="shared" si="29"/>
        <v>4</v>
      </c>
      <c r="AA273" s="2">
        <f t="shared" si="30"/>
        <v>85</v>
      </c>
      <c r="AB273" s="2">
        <v>3210</v>
      </c>
      <c r="AC273" s="20">
        <f t="shared" si="32"/>
        <v>2.64797507788162</v>
      </c>
      <c r="AD273" s="2" t="s">
        <v>49</v>
      </c>
      <c r="AE273" s="2">
        <v>125</v>
      </c>
      <c r="AF273" s="21">
        <f t="shared" si="33"/>
        <v>3.98255451713396</v>
      </c>
      <c r="AG273" s="4">
        <f t="shared" si="31"/>
        <v>2.52336448598131</v>
      </c>
      <c r="AH273" s="4">
        <f t="shared" si="34"/>
        <v>0.124610591900312</v>
      </c>
    </row>
    <row r="274" spans="1:34">
      <c r="A274" s="2">
        <v>20260117</v>
      </c>
      <c r="B274" s="2" t="s">
        <v>595</v>
      </c>
      <c r="C274" s="2" t="s">
        <v>596</v>
      </c>
      <c r="D274" s="2">
        <v>1</v>
      </c>
      <c r="E274" s="2">
        <v>0</v>
      </c>
      <c r="F274" s="2">
        <v>9</v>
      </c>
      <c r="G274" s="2">
        <v>4</v>
      </c>
      <c r="H274" s="2">
        <v>9</v>
      </c>
      <c r="I274" s="3">
        <v>27</v>
      </c>
      <c r="J274" s="2">
        <v>7</v>
      </c>
      <c r="K274" s="2">
        <v>6</v>
      </c>
      <c r="L274" s="2">
        <v>3</v>
      </c>
      <c r="M274" s="2">
        <v>22</v>
      </c>
      <c r="N274" s="2">
        <v>15</v>
      </c>
      <c r="O274" s="2">
        <v>1</v>
      </c>
      <c r="P274" s="3">
        <v>43</v>
      </c>
      <c r="Q274" s="2">
        <v>7</v>
      </c>
      <c r="R274" s="2">
        <v>22</v>
      </c>
      <c r="S274" s="2">
        <v>2</v>
      </c>
      <c r="T274" s="2">
        <v>3</v>
      </c>
      <c r="U274" s="2">
        <v>0</v>
      </c>
      <c r="V274" s="2">
        <f t="shared" si="35"/>
        <v>117</v>
      </c>
      <c r="W274" s="2">
        <v>0</v>
      </c>
      <c r="X274" s="2">
        <v>7</v>
      </c>
      <c r="Y274" s="2">
        <v>0</v>
      </c>
      <c r="Z274" s="2">
        <f t="shared" si="29"/>
        <v>7</v>
      </c>
      <c r="AA274" s="2">
        <f t="shared" si="30"/>
        <v>124</v>
      </c>
      <c r="AB274" s="2">
        <v>2425</v>
      </c>
      <c r="AC274" s="20">
        <f t="shared" si="32"/>
        <v>5.11340206185567</v>
      </c>
      <c r="AD274" s="2" t="s">
        <v>58</v>
      </c>
      <c r="AE274" s="2">
        <v>125</v>
      </c>
      <c r="AF274" s="21">
        <f t="shared" si="33"/>
        <v>7.69055670103093</v>
      </c>
      <c r="AG274" s="4">
        <f t="shared" si="31"/>
        <v>4.82474226804124</v>
      </c>
      <c r="AH274" s="4">
        <f t="shared" si="34"/>
        <v>0.288659793814433</v>
      </c>
    </row>
    <row r="275" spans="1:34">
      <c r="A275" s="2">
        <v>20260117</v>
      </c>
      <c r="B275" s="2" t="s">
        <v>597</v>
      </c>
      <c r="C275" s="2" t="s">
        <v>598</v>
      </c>
      <c r="D275" s="2">
        <v>2</v>
      </c>
      <c r="E275" s="2">
        <v>2</v>
      </c>
      <c r="F275" s="2">
        <v>8</v>
      </c>
      <c r="G275" s="2">
        <v>4</v>
      </c>
      <c r="H275" s="2">
        <v>9</v>
      </c>
      <c r="I275" s="3">
        <v>39</v>
      </c>
      <c r="J275" s="2">
        <v>11</v>
      </c>
      <c r="K275" s="2">
        <v>9</v>
      </c>
      <c r="L275" s="2">
        <v>4</v>
      </c>
      <c r="M275" s="2">
        <v>45</v>
      </c>
      <c r="N275" s="2">
        <v>25</v>
      </c>
      <c r="O275" s="2">
        <v>13</v>
      </c>
      <c r="P275" s="3">
        <v>95</v>
      </c>
      <c r="Q275" s="2">
        <v>16</v>
      </c>
      <c r="R275" s="2">
        <v>31</v>
      </c>
      <c r="S275" s="2">
        <v>0</v>
      </c>
      <c r="T275" s="2">
        <v>2</v>
      </c>
      <c r="U275" s="2">
        <v>1</v>
      </c>
      <c r="V275" s="2">
        <f t="shared" si="35"/>
        <v>214</v>
      </c>
      <c r="W275" s="2">
        <v>0</v>
      </c>
      <c r="X275" s="2">
        <v>4</v>
      </c>
      <c r="Y275" s="2">
        <v>0</v>
      </c>
      <c r="Z275" s="2">
        <f t="shared" si="29"/>
        <v>5</v>
      </c>
      <c r="AA275" s="2">
        <f t="shared" si="30"/>
        <v>219</v>
      </c>
      <c r="AB275" s="2">
        <v>5362</v>
      </c>
      <c r="AC275" s="20">
        <f t="shared" si="32"/>
        <v>4.08429690414025</v>
      </c>
      <c r="AD275" s="2" t="s">
        <v>58</v>
      </c>
      <c r="AE275" s="2">
        <v>125</v>
      </c>
      <c r="AF275" s="21">
        <f t="shared" si="33"/>
        <v>6.14278254382693</v>
      </c>
      <c r="AG275" s="4">
        <f t="shared" si="31"/>
        <v>3.99104811637449</v>
      </c>
      <c r="AH275" s="4">
        <f t="shared" si="34"/>
        <v>0.093248787765759</v>
      </c>
    </row>
    <row r="276" spans="1:34">
      <c r="A276" s="2">
        <v>20260117</v>
      </c>
      <c r="B276" s="2" t="s">
        <v>599</v>
      </c>
      <c r="C276" s="2" t="s">
        <v>600</v>
      </c>
      <c r="D276" s="2">
        <v>0</v>
      </c>
      <c r="E276" s="2">
        <v>2</v>
      </c>
      <c r="F276" s="2">
        <v>12</v>
      </c>
      <c r="G276" s="2">
        <v>3</v>
      </c>
      <c r="H276" s="2">
        <v>1</v>
      </c>
      <c r="I276" s="3">
        <v>29</v>
      </c>
      <c r="J276" s="2">
        <v>16</v>
      </c>
      <c r="K276" s="2">
        <v>8</v>
      </c>
      <c r="L276" s="2">
        <v>1</v>
      </c>
      <c r="M276" s="2">
        <v>19</v>
      </c>
      <c r="N276" s="2">
        <v>16</v>
      </c>
      <c r="O276" s="2">
        <v>11</v>
      </c>
      <c r="P276" s="3">
        <v>34</v>
      </c>
      <c r="Q276" s="2">
        <v>12</v>
      </c>
      <c r="R276" s="2">
        <v>21</v>
      </c>
      <c r="S276" s="2">
        <v>4</v>
      </c>
      <c r="T276" s="2">
        <v>3</v>
      </c>
      <c r="U276" s="2">
        <v>1</v>
      </c>
      <c r="V276" s="2">
        <f t="shared" si="35"/>
        <v>109</v>
      </c>
      <c r="W276" s="2">
        <v>0</v>
      </c>
      <c r="X276" s="2">
        <v>5</v>
      </c>
      <c r="Y276" s="2">
        <v>0</v>
      </c>
      <c r="Z276" s="2">
        <f t="shared" si="29"/>
        <v>6</v>
      </c>
      <c r="AA276" s="2">
        <f t="shared" si="30"/>
        <v>115</v>
      </c>
      <c r="AB276" s="2">
        <v>3194</v>
      </c>
      <c r="AC276" s="20">
        <f t="shared" si="32"/>
        <v>3.60050093926111</v>
      </c>
      <c r="AD276" s="2" t="s">
        <v>58</v>
      </c>
      <c r="AE276" s="2">
        <v>125</v>
      </c>
      <c r="AF276" s="21">
        <f t="shared" si="33"/>
        <v>5.41515341264872</v>
      </c>
      <c r="AG276" s="4">
        <f t="shared" si="31"/>
        <v>3.41264871634314</v>
      </c>
      <c r="AH276" s="4">
        <f t="shared" si="34"/>
        <v>0.187852222917971</v>
      </c>
    </row>
    <row r="277" spans="1:34">
      <c r="A277" s="2">
        <v>20260117</v>
      </c>
      <c r="B277" s="2" t="s">
        <v>601</v>
      </c>
      <c r="C277" s="2" t="s">
        <v>602</v>
      </c>
      <c r="D277" s="2">
        <v>1</v>
      </c>
      <c r="E277" s="2">
        <v>0</v>
      </c>
      <c r="F277" s="2">
        <v>3</v>
      </c>
      <c r="G277" s="2">
        <v>1</v>
      </c>
      <c r="H277" s="2">
        <v>3</v>
      </c>
      <c r="I277" s="3">
        <v>31</v>
      </c>
      <c r="J277" s="2">
        <v>6</v>
      </c>
      <c r="K277" s="2">
        <v>3</v>
      </c>
      <c r="L277" s="2">
        <v>1</v>
      </c>
      <c r="M277" s="2">
        <v>7</v>
      </c>
      <c r="N277" s="2">
        <v>16</v>
      </c>
      <c r="O277" s="2">
        <v>6</v>
      </c>
      <c r="P277" s="3">
        <v>14</v>
      </c>
      <c r="Q277" s="2">
        <v>9</v>
      </c>
      <c r="R277" s="2">
        <v>15</v>
      </c>
      <c r="S277" s="2">
        <v>0</v>
      </c>
      <c r="T277" s="2">
        <v>3</v>
      </c>
      <c r="U277" s="2">
        <v>0</v>
      </c>
      <c r="V277" s="2">
        <f t="shared" si="35"/>
        <v>58</v>
      </c>
      <c r="W277" s="2">
        <v>0</v>
      </c>
      <c r="X277" s="2">
        <v>11</v>
      </c>
      <c r="Y277" s="2">
        <v>0</v>
      </c>
      <c r="Z277" s="2">
        <f t="shared" si="29"/>
        <v>11</v>
      </c>
      <c r="AA277" s="2">
        <f t="shared" si="30"/>
        <v>69</v>
      </c>
      <c r="AB277" s="2">
        <v>2944</v>
      </c>
      <c r="AC277" s="20">
        <f t="shared" si="32"/>
        <v>2.34375</v>
      </c>
      <c r="AD277" s="2" t="s">
        <v>58</v>
      </c>
      <c r="AE277" s="2">
        <v>125</v>
      </c>
      <c r="AF277" s="21">
        <f t="shared" si="33"/>
        <v>3.525</v>
      </c>
      <c r="AG277" s="4">
        <f t="shared" si="31"/>
        <v>1.97010869565217</v>
      </c>
      <c r="AH277" s="4">
        <f t="shared" si="34"/>
        <v>0.373641304347826</v>
      </c>
    </row>
    <row r="278" spans="1:34">
      <c r="A278" s="2">
        <v>20260117</v>
      </c>
      <c r="B278" s="2" t="s">
        <v>603</v>
      </c>
      <c r="C278" s="2" t="s">
        <v>604</v>
      </c>
      <c r="D278" s="2">
        <v>3</v>
      </c>
      <c r="E278" s="2">
        <v>1</v>
      </c>
      <c r="F278" s="2">
        <v>10</v>
      </c>
      <c r="G278" s="2">
        <v>2</v>
      </c>
      <c r="H278" s="2">
        <v>4</v>
      </c>
      <c r="I278" s="3">
        <v>29</v>
      </c>
      <c r="J278" s="2">
        <v>10</v>
      </c>
      <c r="K278" s="2">
        <v>3</v>
      </c>
      <c r="L278" s="2">
        <v>2</v>
      </c>
      <c r="M278" s="2">
        <v>13</v>
      </c>
      <c r="N278" s="2">
        <v>7</v>
      </c>
      <c r="O278" s="2">
        <v>18</v>
      </c>
      <c r="P278" s="3">
        <v>23</v>
      </c>
      <c r="Q278" s="2">
        <v>12</v>
      </c>
      <c r="R278" s="2">
        <v>60</v>
      </c>
      <c r="S278" s="2">
        <v>3</v>
      </c>
      <c r="T278" s="2">
        <v>4</v>
      </c>
      <c r="U278" s="2">
        <v>0</v>
      </c>
      <c r="V278" s="2">
        <f t="shared" si="35"/>
        <v>88</v>
      </c>
      <c r="W278" s="2">
        <v>1</v>
      </c>
      <c r="X278" s="2">
        <v>1</v>
      </c>
      <c r="Y278" s="2">
        <v>0</v>
      </c>
      <c r="Z278" s="2">
        <f t="shared" si="29"/>
        <v>2</v>
      </c>
      <c r="AA278" s="2">
        <f t="shared" si="30"/>
        <v>90</v>
      </c>
      <c r="AB278" s="2">
        <v>2828</v>
      </c>
      <c r="AC278" s="20">
        <f t="shared" si="32"/>
        <v>3.18246110325318</v>
      </c>
      <c r="AD278" s="2" t="s">
        <v>58</v>
      </c>
      <c r="AE278" s="2">
        <v>125</v>
      </c>
      <c r="AF278" s="21">
        <f t="shared" si="33"/>
        <v>4.78642149929279</v>
      </c>
      <c r="AG278" s="4">
        <f t="shared" si="31"/>
        <v>3.11173974540311</v>
      </c>
      <c r="AH278" s="4">
        <f t="shared" si="34"/>
        <v>0.0707213578500707</v>
      </c>
    </row>
    <row r="279" spans="1:34">
      <c r="A279" s="2">
        <v>20260117</v>
      </c>
      <c r="B279" s="2" t="s">
        <v>605</v>
      </c>
      <c r="C279" s="2" t="s">
        <v>606</v>
      </c>
      <c r="D279" s="2">
        <v>3</v>
      </c>
      <c r="E279" s="2">
        <v>3</v>
      </c>
      <c r="F279" s="2">
        <v>2</v>
      </c>
      <c r="G279" s="2">
        <v>14</v>
      </c>
      <c r="H279" s="2">
        <v>10</v>
      </c>
      <c r="I279" s="3">
        <v>66</v>
      </c>
      <c r="J279" s="2">
        <v>24</v>
      </c>
      <c r="K279" s="2">
        <v>3</v>
      </c>
      <c r="L279" s="2">
        <v>2</v>
      </c>
      <c r="M279" s="2">
        <v>26</v>
      </c>
      <c r="N279" s="2">
        <v>34</v>
      </c>
      <c r="O279" s="2">
        <v>9</v>
      </c>
      <c r="P279" s="3">
        <v>69</v>
      </c>
      <c r="Q279" s="2">
        <v>24</v>
      </c>
      <c r="R279" s="2">
        <v>113</v>
      </c>
      <c r="S279" s="2">
        <v>8</v>
      </c>
      <c r="T279" s="2">
        <v>22</v>
      </c>
      <c r="U279" s="2">
        <v>0</v>
      </c>
      <c r="V279" s="2">
        <f t="shared" si="35"/>
        <v>231</v>
      </c>
      <c r="W279" s="2">
        <v>0</v>
      </c>
      <c r="X279" s="2">
        <v>5</v>
      </c>
      <c r="Y279" s="2">
        <v>0</v>
      </c>
      <c r="Z279" s="2">
        <f t="shared" si="29"/>
        <v>5</v>
      </c>
      <c r="AA279" s="2">
        <f t="shared" si="30"/>
        <v>236</v>
      </c>
      <c r="AB279" s="2">
        <v>5312</v>
      </c>
      <c r="AC279" s="20">
        <f t="shared" si="32"/>
        <v>4.44277108433735</v>
      </c>
      <c r="AD279" s="2" t="s">
        <v>58</v>
      </c>
      <c r="AE279" s="2">
        <v>125</v>
      </c>
      <c r="AF279" s="21">
        <f t="shared" si="33"/>
        <v>6.68192771084337</v>
      </c>
      <c r="AG279" s="4">
        <f t="shared" si="31"/>
        <v>4.34864457831325</v>
      </c>
      <c r="AH279" s="4">
        <f t="shared" si="34"/>
        <v>0.0941265060240964</v>
      </c>
    </row>
    <row r="280" spans="1:34">
      <c r="A280" s="2">
        <v>20260117</v>
      </c>
      <c r="B280" s="2" t="s">
        <v>607</v>
      </c>
      <c r="C280" s="2" t="s">
        <v>608</v>
      </c>
      <c r="D280" s="2">
        <v>7</v>
      </c>
      <c r="E280" s="2">
        <v>59</v>
      </c>
      <c r="F280" s="2">
        <v>27</v>
      </c>
      <c r="G280" s="2">
        <v>23</v>
      </c>
      <c r="H280" s="2">
        <v>27</v>
      </c>
      <c r="I280" s="3">
        <v>24</v>
      </c>
      <c r="J280" s="2">
        <v>32</v>
      </c>
      <c r="K280" s="2">
        <v>37</v>
      </c>
      <c r="L280" s="2">
        <v>1</v>
      </c>
      <c r="M280" s="2">
        <v>16</v>
      </c>
      <c r="N280" s="2">
        <v>32</v>
      </c>
      <c r="O280" s="2">
        <v>62</v>
      </c>
      <c r="P280" s="3">
        <v>40</v>
      </c>
      <c r="Q280" s="2">
        <v>17</v>
      </c>
      <c r="R280" s="2">
        <v>154</v>
      </c>
      <c r="S280" s="2">
        <v>4</v>
      </c>
      <c r="T280" s="2">
        <v>37</v>
      </c>
      <c r="U280" s="2">
        <v>3</v>
      </c>
      <c r="V280" s="2">
        <f t="shared" si="35"/>
        <v>230</v>
      </c>
      <c r="W280" s="2">
        <v>3</v>
      </c>
      <c r="X280" s="2">
        <v>4</v>
      </c>
      <c r="Y280" s="2">
        <v>0</v>
      </c>
      <c r="Z280" s="2">
        <f t="shared" si="29"/>
        <v>10</v>
      </c>
      <c r="AA280" s="2">
        <f t="shared" si="30"/>
        <v>240</v>
      </c>
      <c r="AB280" s="2">
        <v>2981</v>
      </c>
      <c r="AC280" s="20">
        <f t="shared" si="32"/>
        <v>8.0509896008051</v>
      </c>
      <c r="AD280" s="2" t="s">
        <v>58</v>
      </c>
      <c r="AE280" s="2">
        <v>125</v>
      </c>
      <c r="AF280" s="21">
        <f t="shared" si="33"/>
        <v>12.1086883596109</v>
      </c>
      <c r="AG280" s="4">
        <f t="shared" si="31"/>
        <v>7.71553170077155</v>
      </c>
      <c r="AH280" s="4">
        <f t="shared" si="34"/>
        <v>0.335457900033546</v>
      </c>
    </row>
    <row r="281" spans="1:34">
      <c r="A281" s="2">
        <v>20260117</v>
      </c>
      <c r="B281" s="2" t="s">
        <v>609</v>
      </c>
      <c r="C281" s="2" t="s">
        <v>610</v>
      </c>
      <c r="D281" s="2">
        <v>6</v>
      </c>
      <c r="E281" s="2">
        <v>23</v>
      </c>
      <c r="F281" s="2">
        <v>18</v>
      </c>
      <c r="G281" s="2">
        <v>16</v>
      </c>
      <c r="H281" s="2">
        <v>21</v>
      </c>
      <c r="I281" s="3">
        <v>41</v>
      </c>
      <c r="J281" s="2">
        <v>11</v>
      </c>
      <c r="K281" s="2">
        <v>8</v>
      </c>
      <c r="L281" s="2">
        <v>1</v>
      </c>
      <c r="M281" s="2">
        <v>26</v>
      </c>
      <c r="N281" s="2">
        <v>37</v>
      </c>
      <c r="O281" s="2">
        <v>46</v>
      </c>
      <c r="P281" s="3">
        <v>66</v>
      </c>
      <c r="Q281" s="2">
        <v>33</v>
      </c>
      <c r="R281" s="2">
        <v>65</v>
      </c>
      <c r="S281" s="2">
        <v>10</v>
      </c>
      <c r="T281" s="2">
        <v>19</v>
      </c>
      <c r="U281" s="2">
        <v>0</v>
      </c>
      <c r="V281" s="2">
        <f t="shared" si="35"/>
        <v>207</v>
      </c>
      <c r="W281" s="2">
        <v>0</v>
      </c>
      <c r="X281" s="2">
        <v>2</v>
      </c>
      <c r="Y281" s="2">
        <v>0</v>
      </c>
      <c r="Z281" s="2">
        <f t="shared" si="29"/>
        <v>2</v>
      </c>
      <c r="AA281" s="2">
        <f t="shared" si="30"/>
        <v>209</v>
      </c>
      <c r="AB281" s="2">
        <v>3503</v>
      </c>
      <c r="AC281" s="20">
        <f t="shared" si="32"/>
        <v>5.96631458749643</v>
      </c>
      <c r="AD281" s="2" t="s">
        <v>58</v>
      </c>
      <c r="AE281" s="2">
        <v>125</v>
      </c>
      <c r="AF281" s="21">
        <f t="shared" si="33"/>
        <v>8.97333713959463</v>
      </c>
      <c r="AG281" s="4">
        <f t="shared" si="31"/>
        <v>5.90922066799886</v>
      </c>
      <c r="AH281" s="4">
        <f t="shared" si="34"/>
        <v>0.0570939194975735</v>
      </c>
    </row>
    <row r="282" spans="1:34">
      <c r="A282" s="2">
        <v>20260117</v>
      </c>
      <c r="B282" s="2" t="s">
        <v>611</v>
      </c>
      <c r="C282" s="2" t="s">
        <v>612</v>
      </c>
      <c r="D282" s="2">
        <v>3</v>
      </c>
      <c r="E282" s="2">
        <v>65</v>
      </c>
      <c r="F282" s="2">
        <v>9</v>
      </c>
      <c r="G282" s="2">
        <v>6</v>
      </c>
      <c r="H282" s="2">
        <v>10</v>
      </c>
      <c r="I282" s="3">
        <v>70</v>
      </c>
      <c r="J282" s="2">
        <v>14</v>
      </c>
      <c r="K282" s="2">
        <v>8</v>
      </c>
      <c r="L282" s="2">
        <v>0</v>
      </c>
      <c r="M282" s="2">
        <v>20</v>
      </c>
      <c r="N282" s="2">
        <v>25</v>
      </c>
      <c r="O282" s="2">
        <v>32</v>
      </c>
      <c r="P282" s="3">
        <v>72</v>
      </c>
      <c r="Q282" s="2">
        <v>15</v>
      </c>
      <c r="R282" s="2">
        <v>33</v>
      </c>
      <c r="S282" s="2">
        <v>5</v>
      </c>
      <c r="T282" s="2">
        <v>5</v>
      </c>
      <c r="U282" s="2">
        <v>0</v>
      </c>
      <c r="V282" s="2">
        <f t="shared" si="35"/>
        <v>163</v>
      </c>
      <c r="W282" s="2">
        <v>3</v>
      </c>
      <c r="X282" s="2">
        <v>39</v>
      </c>
      <c r="Y282" s="2">
        <v>0</v>
      </c>
      <c r="Z282" s="2">
        <f t="shared" si="29"/>
        <v>42</v>
      </c>
      <c r="AA282" s="2">
        <f t="shared" si="30"/>
        <v>205</v>
      </c>
      <c r="AB282" s="2">
        <v>5164</v>
      </c>
      <c r="AC282" s="20">
        <f t="shared" si="32"/>
        <v>3.96979085979861</v>
      </c>
      <c r="AD282" s="2" t="s">
        <v>58</v>
      </c>
      <c r="AE282" s="2">
        <v>125</v>
      </c>
      <c r="AF282" s="21">
        <f t="shared" si="33"/>
        <v>5.9705654531371</v>
      </c>
      <c r="AG282" s="4">
        <f t="shared" si="31"/>
        <v>3.15646785437645</v>
      </c>
      <c r="AH282" s="4">
        <f t="shared" si="34"/>
        <v>0.813323005422153</v>
      </c>
    </row>
    <row r="283" spans="1:34">
      <c r="A283" s="2">
        <v>20260117</v>
      </c>
      <c r="B283" s="2" t="s">
        <v>613</v>
      </c>
      <c r="C283" s="2" t="s">
        <v>614</v>
      </c>
      <c r="D283" s="2">
        <v>1</v>
      </c>
      <c r="E283" s="2">
        <v>1</v>
      </c>
      <c r="F283" s="2">
        <v>2</v>
      </c>
      <c r="G283" s="2">
        <v>3</v>
      </c>
      <c r="H283" s="2">
        <v>3</v>
      </c>
      <c r="I283" s="3">
        <v>28</v>
      </c>
      <c r="J283" s="2">
        <v>4</v>
      </c>
      <c r="K283" s="2">
        <v>3</v>
      </c>
      <c r="L283" s="2">
        <v>0</v>
      </c>
      <c r="M283" s="2">
        <v>16</v>
      </c>
      <c r="N283" s="2">
        <v>21</v>
      </c>
      <c r="O283" s="2">
        <v>9</v>
      </c>
      <c r="P283" s="3">
        <v>41</v>
      </c>
      <c r="Q283" s="2">
        <v>8</v>
      </c>
      <c r="R283" s="2">
        <v>12</v>
      </c>
      <c r="S283" s="2">
        <v>2</v>
      </c>
      <c r="T283" s="2">
        <v>1</v>
      </c>
      <c r="U283" s="2">
        <v>0</v>
      </c>
      <c r="V283" s="2">
        <f t="shared" si="35"/>
        <v>77</v>
      </c>
      <c r="W283" s="2">
        <v>10</v>
      </c>
      <c r="X283" s="2">
        <v>12</v>
      </c>
      <c r="Y283" s="2">
        <v>0</v>
      </c>
      <c r="Z283" s="2">
        <f t="shared" si="29"/>
        <v>22</v>
      </c>
      <c r="AA283" s="2">
        <f t="shared" si="30"/>
        <v>99</v>
      </c>
      <c r="AB283" s="2">
        <v>2597</v>
      </c>
      <c r="AC283" s="20">
        <f t="shared" si="32"/>
        <v>3.81209087408548</v>
      </c>
      <c r="AD283" s="2" t="s">
        <v>58</v>
      </c>
      <c r="AE283" s="2">
        <v>125</v>
      </c>
      <c r="AF283" s="21">
        <f t="shared" si="33"/>
        <v>5.73338467462457</v>
      </c>
      <c r="AG283" s="4">
        <f t="shared" si="31"/>
        <v>2.96495956873315</v>
      </c>
      <c r="AH283" s="4">
        <f t="shared" si="34"/>
        <v>0.84713130535233</v>
      </c>
    </row>
    <row r="284" spans="1:34">
      <c r="A284" s="2">
        <v>20260118</v>
      </c>
      <c r="B284" s="2" t="s">
        <v>615</v>
      </c>
      <c r="C284" s="2" t="s">
        <v>616</v>
      </c>
      <c r="D284" s="2">
        <v>0</v>
      </c>
      <c r="E284" s="2">
        <v>1</v>
      </c>
      <c r="F284" s="2">
        <v>15</v>
      </c>
      <c r="G284" s="2">
        <v>0</v>
      </c>
      <c r="H284" s="2">
        <v>2</v>
      </c>
      <c r="I284" s="3">
        <v>25</v>
      </c>
      <c r="J284" s="2">
        <v>18</v>
      </c>
      <c r="K284" s="2">
        <v>2</v>
      </c>
      <c r="L284" s="2">
        <v>2</v>
      </c>
      <c r="M284" s="2">
        <v>15</v>
      </c>
      <c r="N284" s="2">
        <v>5</v>
      </c>
      <c r="O284" s="2">
        <v>24</v>
      </c>
      <c r="P284" s="3">
        <v>44</v>
      </c>
      <c r="Q284" s="2">
        <v>7</v>
      </c>
      <c r="R284" s="2">
        <v>4</v>
      </c>
      <c r="S284" s="2">
        <v>1</v>
      </c>
      <c r="T284" s="2">
        <v>0</v>
      </c>
      <c r="U284" s="2">
        <v>0</v>
      </c>
      <c r="V284" s="2">
        <f t="shared" si="35"/>
        <v>92</v>
      </c>
      <c r="W284" s="2">
        <v>5</v>
      </c>
      <c r="X284" s="2">
        <v>11</v>
      </c>
      <c r="Y284" s="2">
        <v>0</v>
      </c>
      <c r="Z284" s="2">
        <f t="shared" si="29"/>
        <v>16</v>
      </c>
      <c r="AA284" s="2">
        <f t="shared" si="30"/>
        <v>108</v>
      </c>
      <c r="AB284" s="2">
        <v>2784</v>
      </c>
      <c r="AC284" s="20">
        <f t="shared" si="32"/>
        <v>3.87931034482759</v>
      </c>
      <c r="AD284" s="2" t="s">
        <v>58</v>
      </c>
      <c r="AE284" s="2">
        <v>188</v>
      </c>
      <c r="AF284" s="21">
        <f t="shared" si="33"/>
        <v>3.87931034482759</v>
      </c>
      <c r="AG284" s="4">
        <f t="shared" si="31"/>
        <v>3.30459770114943</v>
      </c>
      <c r="AH284" s="4">
        <f t="shared" si="34"/>
        <v>0.574712643678161</v>
      </c>
    </row>
    <row r="285" spans="1:34">
      <c r="A285" s="2">
        <v>20260118</v>
      </c>
      <c r="B285" s="2" t="s">
        <v>617</v>
      </c>
      <c r="C285" s="2" t="s">
        <v>618</v>
      </c>
      <c r="D285" s="2">
        <v>0</v>
      </c>
      <c r="E285" s="2">
        <v>56</v>
      </c>
      <c r="F285" s="2">
        <v>13</v>
      </c>
      <c r="G285" s="2">
        <v>3</v>
      </c>
      <c r="H285" s="2">
        <v>2</v>
      </c>
      <c r="I285" s="3">
        <v>21</v>
      </c>
      <c r="J285" s="2">
        <v>9</v>
      </c>
      <c r="K285" s="2">
        <v>6</v>
      </c>
      <c r="L285" s="2">
        <v>3</v>
      </c>
      <c r="M285" s="2">
        <v>35</v>
      </c>
      <c r="N285" s="2">
        <v>20</v>
      </c>
      <c r="O285" s="2">
        <v>14</v>
      </c>
      <c r="P285" s="3">
        <v>107</v>
      </c>
      <c r="Q285" s="2">
        <v>8</v>
      </c>
      <c r="R285" s="2">
        <v>5</v>
      </c>
      <c r="S285" s="2">
        <v>0</v>
      </c>
      <c r="T285" s="2">
        <v>0</v>
      </c>
      <c r="U285" s="2">
        <v>1</v>
      </c>
      <c r="V285" s="2">
        <f t="shared" si="35"/>
        <v>171</v>
      </c>
      <c r="W285" s="2">
        <v>1</v>
      </c>
      <c r="X285" s="2">
        <v>14</v>
      </c>
      <c r="Y285" s="2">
        <v>0</v>
      </c>
      <c r="Z285" s="2">
        <f t="shared" si="29"/>
        <v>16</v>
      </c>
      <c r="AA285" s="2">
        <f t="shared" si="30"/>
        <v>187</v>
      </c>
      <c r="AB285" s="2">
        <v>2314</v>
      </c>
      <c r="AC285" s="20">
        <f t="shared" si="32"/>
        <v>8.08124459809853</v>
      </c>
      <c r="AD285" s="2" t="s">
        <v>58</v>
      </c>
      <c r="AE285" s="2">
        <v>188</v>
      </c>
      <c r="AF285" s="21">
        <f t="shared" si="33"/>
        <v>8.08124459809853</v>
      </c>
      <c r="AG285" s="4">
        <f t="shared" si="31"/>
        <v>7.38980121002593</v>
      </c>
      <c r="AH285" s="4">
        <f t="shared" si="34"/>
        <v>0.691443388072602</v>
      </c>
    </row>
    <row r="286" spans="1:34">
      <c r="A286" s="2">
        <v>20260118</v>
      </c>
      <c r="B286" s="2" t="s">
        <v>619</v>
      </c>
      <c r="C286" s="2" t="s">
        <v>620</v>
      </c>
      <c r="D286" s="2">
        <v>2</v>
      </c>
      <c r="E286" s="2">
        <v>5</v>
      </c>
      <c r="F286" s="2">
        <v>9</v>
      </c>
      <c r="G286" s="2">
        <v>1</v>
      </c>
      <c r="H286" s="2">
        <v>1</v>
      </c>
      <c r="I286" s="3">
        <v>33</v>
      </c>
      <c r="J286" s="2">
        <v>2</v>
      </c>
      <c r="K286" s="2">
        <v>0</v>
      </c>
      <c r="L286" s="2">
        <v>1</v>
      </c>
      <c r="M286" s="2">
        <v>4</v>
      </c>
      <c r="N286" s="2">
        <v>3</v>
      </c>
      <c r="O286" s="2">
        <v>7</v>
      </c>
      <c r="P286" s="3">
        <v>30</v>
      </c>
      <c r="Q286" s="2">
        <v>6</v>
      </c>
      <c r="R286" s="2">
        <v>1</v>
      </c>
      <c r="S286" s="2">
        <v>0</v>
      </c>
      <c r="T286" s="2">
        <v>0</v>
      </c>
      <c r="U286" s="2">
        <v>0</v>
      </c>
      <c r="V286" s="2">
        <f t="shared" si="35"/>
        <v>41</v>
      </c>
      <c r="W286" s="2">
        <v>1</v>
      </c>
      <c r="X286" s="2">
        <v>30</v>
      </c>
      <c r="Y286" s="2">
        <v>0</v>
      </c>
      <c r="Z286" s="2">
        <f t="shared" si="29"/>
        <v>31</v>
      </c>
      <c r="AA286" s="2">
        <f t="shared" si="30"/>
        <v>72</v>
      </c>
      <c r="AB286" s="2">
        <v>2164</v>
      </c>
      <c r="AC286" s="20">
        <f t="shared" si="32"/>
        <v>3.3271719038817</v>
      </c>
      <c r="AD286" s="2" t="s">
        <v>58</v>
      </c>
      <c r="AE286" s="2">
        <v>188</v>
      </c>
      <c r="AF286" s="21">
        <f t="shared" si="33"/>
        <v>3.3271719038817</v>
      </c>
      <c r="AG286" s="4">
        <f t="shared" si="31"/>
        <v>1.89463955637708</v>
      </c>
      <c r="AH286" s="4">
        <f t="shared" si="34"/>
        <v>1.43253234750462</v>
      </c>
    </row>
    <row r="287" spans="1:34">
      <c r="A287" s="2">
        <v>20260118</v>
      </c>
      <c r="B287" s="2" t="s">
        <v>621</v>
      </c>
      <c r="C287" s="2" t="s">
        <v>622</v>
      </c>
      <c r="D287" s="2">
        <v>0</v>
      </c>
      <c r="E287" s="2">
        <v>1</v>
      </c>
      <c r="F287" s="2">
        <v>1</v>
      </c>
      <c r="G287" s="2">
        <v>2</v>
      </c>
      <c r="H287" s="2">
        <v>4</v>
      </c>
      <c r="I287" s="3">
        <v>16</v>
      </c>
      <c r="J287" s="2">
        <v>8</v>
      </c>
      <c r="K287" s="2">
        <v>4</v>
      </c>
      <c r="L287" s="2">
        <v>1</v>
      </c>
      <c r="M287" s="2">
        <v>4</v>
      </c>
      <c r="N287" s="2">
        <v>27</v>
      </c>
      <c r="O287" s="2">
        <v>0</v>
      </c>
      <c r="P287" s="3">
        <v>9</v>
      </c>
      <c r="Q287" s="2">
        <v>2</v>
      </c>
      <c r="R287" s="2">
        <v>54</v>
      </c>
      <c r="S287" s="2">
        <v>2</v>
      </c>
      <c r="T287" s="2">
        <v>0</v>
      </c>
      <c r="U287" s="2">
        <v>0</v>
      </c>
      <c r="V287" s="2">
        <f t="shared" si="35"/>
        <v>44</v>
      </c>
      <c r="W287" s="2">
        <v>0</v>
      </c>
      <c r="X287" s="2">
        <v>4</v>
      </c>
      <c r="Y287" s="2">
        <v>0</v>
      </c>
      <c r="Z287" s="2">
        <f t="shared" si="29"/>
        <v>4</v>
      </c>
      <c r="AA287" s="2">
        <f t="shared" si="30"/>
        <v>48</v>
      </c>
      <c r="AB287" s="2">
        <v>3105</v>
      </c>
      <c r="AC287" s="20">
        <f t="shared" si="32"/>
        <v>1.54589371980676</v>
      </c>
      <c r="AD287" s="2" t="s">
        <v>44</v>
      </c>
      <c r="AE287" s="2">
        <v>100</v>
      </c>
      <c r="AF287" s="21">
        <f t="shared" si="33"/>
        <v>2.90628019323671</v>
      </c>
      <c r="AG287" s="4">
        <f t="shared" si="31"/>
        <v>1.4170692431562</v>
      </c>
      <c r="AH287" s="4">
        <f t="shared" si="34"/>
        <v>0.128824476650564</v>
      </c>
    </row>
    <row r="288" spans="1:34">
      <c r="A288" s="2">
        <v>20260118</v>
      </c>
      <c r="B288" s="2" t="s">
        <v>623</v>
      </c>
      <c r="C288" s="2" t="s">
        <v>624</v>
      </c>
      <c r="D288" s="2">
        <v>1</v>
      </c>
      <c r="E288" s="2">
        <v>8</v>
      </c>
      <c r="F288" s="2">
        <v>3</v>
      </c>
      <c r="G288" s="2">
        <v>5</v>
      </c>
      <c r="H288" s="2">
        <v>12</v>
      </c>
      <c r="I288" s="3">
        <v>35</v>
      </c>
      <c r="J288" s="2">
        <v>14</v>
      </c>
      <c r="K288" s="2">
        <v>5</v>
      </c>
      <c r="L288" s="2">
        <v>2</v>
      </c>
      <c r="M288" s="2">
        <v>21</v>
      </c>
      <c r="N288" s="2">
        <v>26</v>
      </c>
      <c r="O288" s="2">
        <v>0</v>
      </c>
      <c r="P288" s="3">
        <v>68</v>
      </c>
      <c r="Q288" s="2">
        <v>7</v>
      </c>
      <c r="R288" s="2">
        <v>98</v>
      </c>
      <c r="S288" s="2">
        <v>1</v>
      </c>
      <c r="T288" s="2">
        <v>11</v>
      </c>
      <c r="U288" s="2">
        <v>0</v>
      </c>
      <c r="V288" s="2">
        <f t="shared" si="35"/>
        <v>172</v>
      </c>
      <c r="W288" s="2">
        <v>0</v>
      </c>
      <c r="X288" s="2">
        <v>1</v>
      </c>
      <c r="Y288" s="2">
        <v>0</v>
      </c>
      <c r="Z288" s="2">
        <f t="shared" si="29"/>
        <v>1</v>
      </c>
      <c r="AA288" s="2">
        <f t="shared" si="30"/>
        <v>173</v>
      </c>
      <c r="AB288" s="2">
        <v>3115</v>
      </c>
      <c r="AC288" s="20">
        <f t="shared" si="32"/>
        <v>5.553772070626</v>
      </c>
      <c r="AD288" s="2" t="s">
        <v>44</v>
      </c>
      <c r="AE288" s="2">
        <v>100</v>
      </c>
      <c r="AF288" s="21">
        <f t="shared" si="33"/>
        <v>10.4410914927769</v>
      </c>
      <c r="AG288" s="4">
        <f t="shared" si="31"/>
        <v>5.52166934189406</v>
      </c>
      <c r="AH288" s="4">
        <f t="shared" si="34"/>
        <v>0.0321027287319422</v>
      </c>
    </row>
    <row r="289" spans="1:34">
      <c r="A289" s="2">
        <v>20260118</v>
      </c>
      <c r="B289" s="2" t="s">
        <v>625</v>
      </c>
      <c r="C289" s="2" t="s">
        <v>626</v>
      </c>
      <c r="D289" s="2">
        <v>0</v>
      </c>
      <c r="E289" s="2">
        <v>0</v>
      </c>
      <c r="F289" s="2">
        <v>8</v>
      </c>
      <c r="G289" s="2">
        <v>9</v>
      </c>
      <c r="H289" s="2">
        <v>7</v>
      </c>
      <c r="I289" s="3">
        <v>35</v>
      </c>
      <c r="J289" s="2">
        <v>8</v>
      </c>
      <c r="K289" s="2">
        <v>9</v>
      </c>
      <c r="L289" s="2">
        <v>0</v>
      </c>
      <c r="M289" s="2">
        <v>3</v>
      </c>
      <c r="N289" s="2">
        <v>28</v>
      </c>
      <c r="O289" s="2">
        <v>7</v>
      </c>
      <c r="P289" s="3">
        <v>11</v>
      </c>
      <c r="Q289" s="2">
        <v>6</v>
      </c>
      <c r="R289" s="2">
        <v>39</v>
      </c>
      <c r="S289" s="2">
        <v>9</v>
      </c>
      <c r="T289" s="2">
        <v>12</v>
      </c>
      <c r="U289" s="2">
        <v>0</v>
      </c>
      <c r="V289" s="2">
        <f t="shared" si="35"/>
        <v>86</v>
      </c>
      <c r="W289" s="2">
        <v>2</v>
      </c>
      <c r="X289" s="2">
        <v>6</v>
      </c>
      <c r="Y289" s="2">
        <v>0</v>
      </c>
      <c r="Z289" s="2">
        <f t="shared" si="29"/>
        <v>8</v>
      </c>
      <c r="AA289" s="2">
        <f t="shared" si="30"/>
        <v>94</v>
      </c>
      <c r="AB289" s="2">
        <v>3115</v>
      </c>
      <c r="AC289" s="20">
        <f t="shared" si="32"/>
        <v>3.01765650080257</v>
      </c>
      <c r="AD289" s="2" t="s">
        <v>44</v>
      </c>
      <c r="AE289" s="2">
        <v>100</v>
      </c>
      <c r="AF289" s="21">
        <f t="shared" si="33"/>
        <v>5.67319422150883</v>
      </c>
      <c r="AG289" s="4">
        <f t="shared" si="31"/>
        <v>2.76083467094703</v>
      </c>
      <c r="AH289" s="4">
        <f t="shared" si="34"/>
        <v>0.256821829855538</v>
      </c>
    </row>
    <row r="290" spans="1:34">
      <c r="A290" s="2">
        <v>20260118</v>
      </c>
      <c r="B290" s="2" t="s">
        <v>555</v>
      </c>
      <c r="C290" s="2" t="s">
        <v>627</v>
      </c>
      <c r="D290" s="2">
        <v>1</v>
      </c>
      <c r="E290" s="2">
        <v>3</v>
      </c>
      <c r="F290" s="2">
        <v>12</v>
      </c>
      <c r="G290" s="2">
        <v>21</v>
      </c>
      <c r="H290" s="2">
        <v>23</v>
      </c>
      <c r="I290" s="3">
        <v>60</v>
      </c>
      <c r="J290" s="2">
        <v>24</v>
      </c>
      <c r="K290" s="2">
        <v>15</v>
      </c>
      <c r="L290" s="2">
        <v>0</v>
      </c>
      <c r="M290" s="2">
        <v>13</v>
      </c>
      <c r="N290" s="2">
        <v>63</v>
      </c>
      <c r="O290" s="2">
        <v>2</v>
      </c>
      <c r="P290" s="3">
        <v>55</v>
      </c>
      <c r="Q290" s="2">
        <v>8</v>
      </c>
      <c r="R290" s="2">
        <v>126</v>
      </c>
      <c r="S290" s="2">
        <v>16</v>
      </c>
      <c r="T290" s="2">
        <v>42</v>
      </c>
      <c r="U290" s="2">
        <v>0</v>
      </c>
      <c r="V290" s="2">
        <f t="shared" si="35"/>
        <v>253</v>
      </c>
      <c r="W290" s="2">
        <v>0</v>
      </c>
      <c r="X290" s="2">
        <v>0</v>
      </c>
      <c r="Y290" s="2">
        <v>0</v>
      </c>
      <c r="Z290" s="2">
        <f t="shared" si="29"/>
        <v>0</v>
      </c>
      <c r="AA290" s="2">
        <f t="shared" si="30"/>
        <v>253</v>
      </c>
      <c r="AB290" s="2">
        <v>6167</v>
      </c>
      <c r="AC290" s="20">
        <f t="shared" si="32"/>
        <v>4.10248094697584</v>
      </c>
      <c r="AD290" s="2" t="s">
        <v>44</v>
      </c>
      <c r="AE290" s="2">
        <v>100</v>
      </c>
      <c r="AF290" s="21">
        <f t="shared" si="33"/>
        <v>7.71266418031458</v>
      </c>
      <c r="AG290" s="4">
        <f t="shared" si="31"/>
        <v>4.10248094697584</v>
      </c>
      <c r="AH290" s="4">
        <f t="shared" si="34"/>
        <v>0</v>
      </c>
    </row>
    <row r="291" spans="1:34">
      <c r="A291" s="2">
        <v>20260118</v>
      </c>
      <c r="B291" s="2" t="s">
        <v>557</v>
      </c>
      <c r="C291" s="2" t="s">
        <v>628</v>
      </c>
      <c r="D291" s="2">
        <v>3</v>
      </c>
      <c r="E291" s="2">
        <v>5</v>
      </c>
      <c r="F291" s="2">
        <v>4</v>
      </c>
      <c r="G291" s="2">
        <v>6</v>
      </c>
      <c r="H291" s="2">
        <v>13</v>
      </c>
      <c r="I291" s="3">
        <v>48</v>
      </c>
      <c r="J291" s="2">
        <v>23</v>
      </c>
      <c r="K291" s="2">
        <v>6</v>
      </c>
      <c r="L291" s="2">
        <v>0</v>
      </c>
      <c r="M291" s="2">
        <v>35</v>
      </c>
      <c r="N291" s="2">
        <v>34</v>
      </c>
      <c r="O291" s="2">
        <v>1</v>
      </c>
      <c r="P291" s="3">
        <v>48</v>
      </c>
      <c r="Q291" s="2">
        <v>10</v>
      </c>
      <c r="R291" s="2">
        <v>49</v>
      </c>
      <c r="S291" s="2">
        <v>6</v>
      </c>
      <c r="T291" s="2">
        <v>24</v>
      </c>
      <c r="U291" s="2">
        <v>0</v>
      </c>
      <c r="V291" s="2">
        <f t="shared" si="35"/>
        <v>202</v>
      </c>
      <c r="W291" s="2">
        <v>0</v>
      </c>
      <c r="X291" s="2">
        <v>1</v>
      </c>
      <c r="Y291" s="2">
        <v>0</v>
      </c>
      <c r="Z291" s="2">
        <f t="shared" si="29"/>
        <v>1</v>
      </c>
      <c r="AA291" s="2">
        <f t="shared" si="30"/>
        <v>203</v>
      </c>
      <c r="AB291" s="2">
        <v>3116</v>
      </c>
      <c r="AC291" s="20">
        <f t="shared" si="32"/>
        <v>6.51476251604621</v>
      </c>
      <c r="AD291" s="2" t="s">
        <v>44</v>
      </c>
      <c r="AE291" s="2">
        <v>100</v>
      </c>
      <c r="AF291" s="21">
        <f t="shared" si="33"/>
        <v>12.2477535301669</v>
      </c>
      <c r="AG291" s="4">
        <f t="shared" si="31"/>
        <v>6.48267008985879</v>
      </c>
      <c r="AH291" s="4">
        <f t="shared" si="34"/>
        <v>0.0320924261874198</v>
      </c>
    </row>
    <row r="292" spans="1:34">
      <c r="A292" s="2">
        <v>20260118</v>
      </c>
      <c r="B292" s="2" t="s">
        <v>629</v>
      </c>
      <c r="C292" s="2" t="s">
        <v>630</v>
      </c>
      <c r="D292" s="2">
        <v>2</v>
      </c>
      <c r="E292" s="2">
        <v>4</v>
      </c>
      <c r="F292" s="2">
        <v>6</v>
      </c>
      <c r="G292" s="2">
        <v>8</v>
      </c>
      <c r="H292" s="2">
        <v>19</v>
      </c>
      <c r="I292" s="3">
        <v>54</v>
      </c>
      <c r="J292" s="2">
        <v>13</v>
      </c>
      <c r="K292" s="2">
        <v>5</v>
      </c>
      <c r="L292" s="2">
        <v>3</v>
      </c>
      <c r="M292" s="2">
        <v>20</v>
      </c>
      <c r="N292" s="2">
        <v>38</v>
      </c>
      <c r="O292" s="2">
        <v>2</v>
      </c>
      <c r="P292" s="3">
        <v>49</v>
      </c>
      <c r="Q292" s="2">
        <v>8</v>
      </c>
      <c r="R292" s="2">
        <v>83</v>
      </c>
      <c r="S292" s="2">
        <v>5</v>
      </c>
      <c r="T292" s="2">
        <v>19</v>
      </c>
      <c r="U292" s="2">
        <v>2</v>
      </c>
      <c r="V292" s="2">
        <f t="shared" si="35"/>
        <v>182</v>
      </c>
      <c r="W292" s="2">
        <v>3</v>
      </c>
      <c r="X292" s="2">
        <v>5</v>
      </c>
      <c r="Y292" s="2">
        <v>0</v>
      </c>
      <c r="Z292" s="2">
        <f t="shared" si="29"/>
        <v>10</v>
      </c>
      <c r="AA292" s="2">
        <f t="shared" si="30"/>
        <v>192</v>
      </c>
      <c r="AB292" s="2">
        <v>3514</v>
      </c>
      <c r="AC292" s="20">
        <f t="shared" si="32"/>
        <v>5.46385885031303</v>
      </c>
      <c r="AD292" s="2" t="s">
        <v>44</v>
      </c>
      <c r="AE292" s="2">
        <v>100</v>
      </c>
      <c r="AF292" s="21">
        <f t="shared" si="33"/>
        <v>10.2720546385885</v>
      </c>
      <c r="AG292" s="4">
        <f t="shared" si="31"/>
        <v>5.1792828685259</v>
      </c>
      <c r="AH292" s="4">
        <f t="shared" si="34"/>
        <v>0.284575981787137</v>
      </c>
    </row>
    <row r="293" spans="1:34">
      <c r="A293" s="2">
        <v>20260118</v>
      </c>
      <c r="B293" s="2" t="s">
        <v>631</v>
      </c>
      <c r="C293" s="2" t="s">
        <v>632</v>
      </c>
      <c r="D293" s="2">
        <v>3</v>
      </c>
      <c r="E293" s="2">
        <v>2</v>
      </c>
      <c r="F293" s="2">
        <v>4</v>
      </c>
      <c r="G293" s="2">
        <v>14</v>
      </c>
      <c r="H293" s="2">
        <v>16</v>
      </c>
      <c r="I293" s="3">
        <v>49</v>
      </c>
      <c r="J293" s="2">
        <v>18</v>
      </c>
      <c r="K293" s="2">
        <v>9</v>
      </c>
      <c r="L293" s="2">
        <v>2</v>
      </c>
      <c r="M293" s="2">
        <v>8</v>
      </c>
      <c r="N293" s="2">
        <v>45</v>
      </c>
      <c r="O293" s="2">
        <v>3</v>
      </c>
      <c r="P293" s="3">
        <v>33</v>
      </c>
      <c r="Q293" s="2">
        <v>7</v>
      </c>
      <c r="R293" s="2">
        <v>86</v>
      </c>
      <c r="S293" s="2">
        <v>4</v>
      </c>
      <c r="T293" s="2">
        <v>30</v>
      </c>
      <c r="U293" s="2">
        <v>2</v>
      </c>
      <c r="V293" s="2">
        <f t="shared" si="35"/>
        <v>175</v>
      </c>
      <c r="W293" s="2">
        <v>0</v>
      </c>
      <c r="X293" s="2">
        <v>3</v>
      </c>
      <c r="Y293" s="2">
        <v>1</v>
      </c>
      <c r="Z293" s="2">
        <f t="shared" si="29"/>
        <v>6</v>
      </c>
      <c r="AA293" s="2">
        <f t="shared" si="30"/>
        <v>181</v>
      </c>
      <c r="AB293" s="2">
        <v>3265</v>
      </c>
      <c r="AC293" s="20">
        <f t="shared" si="32"/>
        <v>5.54364471669219</v>
      </c>
      <c r="AD293" s="2" t="s">
        <v>44</v>
      </c>
      <c r="AE293" s="2">
        <v>100</v>
      </c>
      <c r="AF293" s="21">
        <f t="shared" si="33"/>
        <v>10.4220520673813</v>
      </c>
      <c r="AG293" s="4">
        <f t="shared" si="31"/>
        <v>5.35987748851455</v>
      </c>
      <c r="AH293" s="4">
        <f t="shared" si="34"/>
        <v>0.183767228177642</v>
      </c>
    </row>
    <row r="294" spans="1:34">
      <c r="A294" s="2">
        <v>20260118</v>
      </c>
      <c r="B294" s="2" t="s">
        <v>633</v>
      </c>
      <c r="C294" s="2" t="s">
        <v>634</v>
      </c>
      <c r="D294" s="2">
        <v>0</v>
      </c>
      <c r="E294" s="2">
        <v>3</v>
      </c>
      <c r="F294" s="2">
        <v>6</v>
      </c>
      <c r="G294" s="2">
        <v>36</v>
      </c>
      <c r="H294" s="2">
        <v>44</v>
      </c>
      <c r="I294" s="3">
        <v>116</v>
      </c>
      <c r="J294" s="2">
        <v>34</v>
      </c>
      <c r="K294" s="2">
        <v>13</v>
      </c>
      <c r="L294" s="2">
        <v>1</v>
      </c>
      <c r="M294" s="2">
        <v>28</v>
      </c>
      <c r="N294" s="2">
        <v>41</v>
      </c>
      <c r="O294" s="2">
        <v>5</v>
      </c>
      <c r="P294" s="3">
        <v>87</v>
      </c>
      <c r="Q294" s="2">
        <v>10</v>
      </c>
      <c r="R294" s="2">
        <v>90</v>
      </c>
      <c r="S294" s="2">
        <v>23</v>
      </c>
      <c r="T294" s="2">
        <v>64</v>
      </c>
      <c r="U294" s="2">
        <v>2</v>
      </c>
      <c r="V294" s="2">
        <f t="shared" si="35"/>
        <v>410</v>
      </c>
      <c r="W294" s="2">
        <v>0</v>
      </c>
      <c r="X294" s="2">
        <v>13</v>
      </c>
      <c r="Y294" s="2">
        <v>0</v>
      </c>
      <c r="Z294" s="2">
        <f t="shared" si="29"/>
        <v>15</v>
      </c>
      <c r="AA294" s="2">
        <f t="shared" si="30"/>
        <v>425</v>
      </c>
      <c r="AB294" s="2">
        <v>6172</v>
      </c>
      <c r="AC294" s="20">
        <f t="shared" si="32"/>
        <v>6.88593648736228</v>
      </c>
      <c r="AD294" s="2" t="s">
        <v>44</v>
      </c>
      <c r="AE294" s="2">
        <v>100</v>
      </c>
      <c r="AF294" s="21">
        <f t="shared" si="33"/>
        <v>12.9455605962411</v>
      </c>
      <c r="AG294" s="4">
        <f t="shared" si="31"/>
        <v>6.64290343486714</v>
      </c>
      <c r="AH294" s="4">
        <f t="shared" si="34"/>
        <v>0.243033052495139</v>
      </c>
    </row>
    <row r="295" spans="1:34">
      <c r="A295" s="2">
        <v>20260118</v>
      </c>
      <c r="B295" s="2" t="s">
        <v>635</v>
      </c>
      <c r="C295" s="2" t="s">
        <v>636</v>
      </c>
      <c r="D295" s="2">
        <v>1</v>
      </c>
      <c r="E295" s="2">
        <v>3</v>
      </c>
      <c r="F295" s="2">
        <v>3</v>
      </c>
      <c r="G295" s="2">
        <v>12</v>
      </c>
      <c r="H295" s="3">
        <v>21</v>
      </c>
      <c r="I295" s="2">
        <v>35</v>
      </c>
      <c r="J295" s="2">
        <v>13</v>
      </c>
      <c r="K295" s="2">
        <v>5</v>
      </c>
      <c r="L295" s="2">
        <v>2</v>
      </c>
      <c r="M295" s="2">
        <v>8</v>
      </c>
      <c r="N295" s="2">
        <v>28</v>
      </c>
      <c r="O295" s="3">
        <v>1</v>
      </c>
      <c r="P295" s="2">
        <v>32</v>
      </c>
      <c r="Q295" s="2">
        <v>5</v>
      </c>
      <c r="R295" s="2">
        <v>44</v>
      </c>
      <c r="S295" s="2">
        <v>7</v>
      </c>
      <c r="T295" s="2">
        <v>28</v>
      </c>
      <c r="U295" s="2">
        <v>1</v>
      </c>
      <c r="V295" s="2">
        <f t="shared" si="35"/>
        <v>156</v>
      </c>
      <c r="W295" s="2">
        <v>0</v>
      </c>
      <c r="X295" s="2">
        <v>0</v>
      </c>
      <c r="Y295" s="2">
        <v>0</v>
      </c>
      <c r="Z295" s="2">
        <f t="shared" si="29"/>
        <v>1</v>
      </c>
      <c r="AA295" s="2">
        <f t="shared" si="30"/>
        <v>157</v>
      </c>
      <c r="AB295" s="2">
        <v>3116</v>
      </c>
      <c r="AC295" s="20">
        <f t="shared" si="32"/>
        <v>5.0385109114249</v>
      </c>
      <c r="AD295" s="2" t="s">
        <v>44</v>
      </c>
      <c r="AE295" s="2">
        <v>100</v>
      </c>
      <c r="AF295" s="21">
        <f t="shared" si="33"/>
        <v>9.47240051347882</v>
      </c>
      <c r="AG295" s="4">
        <f t="shared" si="31"/>
        <v>5.00641848523748</v>
      </c>
      <c r="AH295" s="4">
        <f t="shared" si="34"/>
        <v>0.0320924261874198</v>
      </c>
    </row>
    <row r="296" spans="1:34">
      <c r="A296" s="2">
        <v>20260118</v>
      </c>
      <c r="B296" s="2" t="s">
        <v>637</v>
      </c>
      <c r="C296" s="2" t="s">
        <v>638</v>
      </c>
      <c r="D296" s="2">
        <v>0</v>
      </c>
      <c r="E296" s="2">
        <v>1</v>
      </c>
      <c r="F296" s="2">
        <v>6</v>
      </c>
      <c r="G296" s="2">
        <v>6</v>
      </c>
      <c r="H296" s="2">
        <v>7</v>
      </c>
      <c r="I296" s="3">
        <v>27</v>
      </c>
      <c r="J296" s="2">
        <v>13</v>
      </c>
      <c r="K296" s="2">
        <v>5</v>
      </c>
      <c r="L296" s="2">
        <v>3</v>
      </c>
      <c r="M296" s="2">
        <v>4</v>
      </c>
      <c r="N296" s="2">
        <v>20</v>
      </c>
      <c r="O296" s="2">
        <v>10</v>
      </c>
      <c r="P296" s="3">
        <v>22</v>
      </c>
      <c r="Q296" s="2">
        <v>11</v>
      </c>
      <c r="R296" s="2">
        <v>22</v>
      </c>
      <c r="S296" s="2">
        <v>3</v>
      </c>
      <c r="T296" s="2">
        <v>10</v>
      </c>
      <c r="U296" s="2">
        <v>2</v>
      </c>
      <c r="V296" s="2">
        <f t="shared" si="35"/>
        <v>94</v>
      </c>
      <c r="W296" s="2">
        <v>3</v>
      </c>
      <c r="X296" s="2">
        <v>0</v>
      </c>
      <c r="Y296" s="2">
        <v>0</v>
      </c>
      <c r="Z296" s="2">
        <f t="shared" si="29"/>
        <v>5</v>
      </c>
      <c r="AA296" s="2">
        <f t="shared" si="30"/>
        <v>99</v>
      </c>
      <c r="AB296" s="2">
        <v>3117</v>
      </c>
      <c r="AC296" s="20">
        <f t="shared" si="32"/>
        <v>3.17613089509143</v>
      </c>
      <c r="AD296" s="2" t="s">
        <v>44</v>
      </c>
      <c r="AE296" s="2">
        <v>100</v>
      </c>
      <c r="AF296" s="21">
        <f t="shared" si="33"/>
        <v>5.9711260827719</v>
      </c>
      <c r="AG296" s="4">
        <f t="shared" si="31"/>
        <v>3.01572024382419</v>
      </c>
      <c r="AH296" s="4">
        <f t="shared" si="34"/>
        <v>0.160410651267244</v>
      </c>
    </row>
    <row r="297" spans="1:34">
      <c r="A297" s="2">
        <v>20260221</v>
      </c>
      <c r="B297" s="2" t="s">
        <v>639</v>
      </c>
      <c r="C297" s="2" t="s">
        <v>640</v>
      </c>
      <c r="D297" s="2">
        <v>4</v>
      </c>
      <c r="E297" s="2">
        <f>80+38</f>
        <v>118</v>
      </c>
      <c r="F297" s="2">
        <v>9</v>
      </c>
      <c r="G297" s="2">
        <v>11</v>
      </c>
      <c r="H297" s="2">
        <v>48</v>
      </c>
      <c r="I297" s="3">
        <v>272</v>
      </c>
      <c r="J297" s="2">
        <f>769+21</f>
        <v>790</v>
      </c>
      <c r="K297" s="2">
        <v>2</v>
      </c>
      <c r="L297" s="2">
        <v>0</v>
      </c>
      <c r="M297" s="2">
        <f>47+35</f>
        <v>82</v>
      </c>
      <c r="N297" s="2">
        <f>2218+3</f>
        <v>2221</v>
      </c>
      <c r="O297" s="2">
        <v>0</v>
      </c>
      <c r="P297" s="3">
        <f>68+29</f>
        <v>97</v>
      </c>
      <c r="Q297" s="2">
        <v>1</v>
      </c>
      <c r="R297" s="2">
        <f>415+177</f>
        <v>592</v>
      </c>
      <c r="S297" s="2">
        <v>3</v>
      </c>
      <c r="T297" s="2">
        <f>162+6</f>
        <v>168</v>
      </c>
      <c r="U297" s="2">
        <v>1</v>
      </c>
      <c r="V297" s="2">
        <f t="shared" si="35"/>
        <v>1459</v>
      </c>
      <c r="W297" s="2">
        <v>3</v>
      </c>
      <c r="X297" s="2">
        <v>8</v>
      </c>
      <c r="Y297" s="2">
        <v>0</v>
      </c>
      <c r="Z297" s="2">
        <f t="shared" si="29"/>
        <v>12</v>
      </c>
      <c r="AA297" s="2">
        <f t="shared" si="30"/>
        <v>1471</v>
      </c>
      <c r="AB297" s="2">
        <v>2080</v>
      </c>
      <c r="AC297" s="20">
        <f t="shared" si="32"/>
        <v>70.7211538461539</v>
      </c>
      <c r="AD297" s="2" t="s">
        <v>343</v>
      </c>
      <c r="AE297" s="2">
        <v>150</v>
      </c>
      <c r="AF297" s="21">
        <f t="shared" si="33"/>
        <v>88.6371794871795</v>
      </c>
      <c r="AG297" s="4">
        <f t="shared" si="31"/>
        <v>70.1442307692308</v>
      </c>
      <c r="AH297" s="4">
        <f t="shared" si="34"/>
        <v>0.576923076923077</v>
      </c>
    </row>
    <row r="298" spans="1:34">
      <c r="A298" s="2">
        <v>20260221</v>
      </c>
      <c r="B298" s="8" t="s">
        <v>641</v>
      </c>
      <c r="C298" s="2" t="s">
        <v>642</v>
      </c>
      <c r="D298" s="2">
        <v>0</v>
      </c>
      <c r="E298" s="2">
        <v>227</v>
      </c>
      <c r="F298" s="2">
        <v>2</v>
      </c>
      <c r="G298" s="2">
        <v>6</v>
      </c>
      <c r="H298" s="2">
        <v>18</v>
      </c>
      <c r="I298" s="3">
        <v>25</v>
      </c>
      <c r="J298" s="2">
        <v>53</v>
      </c>
      <c r="K298" s="2">
        <v>0</v>
      </c>
      <c r="L298" s="2">
        <v>1</v>
      </c>
      <c r="M298" s="2">
        <v>66</v>
      </c>
      <c r="N298" s="2">
        <v>6</v>
      </c>
      <c r="O298" s="2">
        <v>0</v>
      </c>
      <c r="P298" s="3">
        <v>144</v>
      </c>
      <c r="Q298" s="2">
        <v>0</v>
      </c>
      <c r="R298" s="2">
        <v>615</v>
      </c>
      <c r="S298" s="2">
        <v>3</v>
      </c>
      <c r="T298" s="2">
        <v>16</v>
      </c>
      <c r="U298" s="2">
        <v>0</v>
      </c>
      <c r="V298" s="2">
        <f t="shared" si="35"/>
        <v>298</v>
      </c>
      <c r="W298" s="2">
        <v>28</v>
      </c>
      <c r="X298" s="2">
        <v>3</v>
      </c>
      <c r="Y298" s="2">
        <v>0</v>
      </c>
      <c r="Z298" s="2">
        <f t="shared" si="29"/>
        <v>31</v>
      </c>
      <c r="AA298" s="2">
        <f t="shared" si="30"/>
        <v>329</v>
      </c>
      <c r="AB298" s="2">
        <v>2080</v>
      </c>
      <c r="AC298" s="20">
        <f t="shared" si="32"/>
        <v>15.8173076923077</v>
      </c>
      <c r="AD298" s="2" t="s">
        <v>343</v>
      </c>
      <c r="AE298" s="2">
        <v>150</v>
      </c>
      <c r="AF298" s="21">
        <f t="shared" si="33"/>
        <v>19.824358974359</v>
      </c>
      <c r="AG298" s="4">
        <f t="shared" si="31"/>
        <v>14.3269230769231</v>
      </c>
      <c r="AH298" s="4">
        <f t="shared" si="34"/>
        <v>1.49038461538462</v>
      </c>
    </row>
    <row r="299" spans="1:34">
      <c r="A299" s="2">
        <v>20260221</v>
      </c>
      <c r="B299" s="2" t="s">
        <v>643</v>
      </c>
      <c r="C299" s="2" t="s">
        <v>644</v>
      </c>
      <c r="D299" s="2">
        <v>2</v>
      </c>
      <c r="E299" s="2">
        <v>263</v>
      </c>
      <c r="F299" s="2">
        <v>4</v>
      </c>
      <c r="G299" s="2">
        <v>2</v>
      </c>
      <c r="H299" s="2">
        <v>13</v>
      </c>
      <c r="I299" s="3">
        <v>135</v>
      </c>
      <c r="J299" s="2">
        <v>32</v>
      </c>
      <c r="K299" s="2">
        <v>4</v>
      </c>
      <c r="L299" s="2">
        <v>1</v>
      </c>
      <c r="M299" s="2">
        <v>57</v>
      </c>
      <c r="N299" s="2">
        <v>5</v>
      </c>
      <c r="O299" s="2">
        <v>2</v>
      </c>
      <c r="P299" s="3">
        <v>133</v>
      </c>
      <c r="Q299" s="2">
        <v>0</v>
      </c>
      <c r="R299" s="2">
        <v>613</v>
      </c>
      <c r="S299" s="2">
        <v>0</v>
      </c>
      <c r="T299" s="2">
        <v>12</v>
      </c>
      <c r="U299" s="2">
        <v>0</v>
      </c>
      <c r="V299" s="2">
        <f t="shared" si="35"/>
        <v>256</v>
      </c>
      <c r="W299" s="2">
        <v>1</v>
      </c>
      <c r="X299" s="2">
        <v>132</v>
      </c>
      <c r="Y299" s="2">
        <v>0</v>
      </c>
      <c r="Z299" s="2">
        <f t="shared" si="29"/>
        <v>133</v>
      </c>
      <c r="AA299" s="2">
        <f t="shared" si="30"/>
        <v>389</v>
      </c>
      <c r="AB299" s="2">
        <v>2080</v>
      </c>
      <c r="AC299" s="20">
        <f t="shared" si="32"/>
        <v>18.7019230769231</v>
      </c>
      <c r="AD299" s="2" t="s">
        <v>343</v>
      </c>
      <c r="AE299" s="2">
        <v>150</v>
      </c>
      <c r="AF299" s="21">
        <f t="shared" si="33"/>
        <v>23.4397435897436</v>
      </c>
      <c r="AG299" s="4">
        <f t="shared" si="31"/>
        <v>12.3076923076923</v>
      </c>
      <c r="AH299" s="4">
        <f t="shared" si="34"/>
        <v>6.39423076923077</v>
      </c>
    </row>
    <row r="300" spans="1:34">
      <c r="A300" s="2">
        <v>20260221</v>
      </c>
      <c r="B300" s="2" t="s">
        <v>645</v>
      </c>
      <c r="C300" s="2" t="s">
        <v>646</v>
      </c>
      <c r="D300" s="2">
        <v>0</v>
      </c>
      <c r="E300" s="2">
        <v>167</v>
      </c>
      <c r="F300" s="2">
        <v>1</v>
      </c>
      <c r="G300" s="2">
        <v>3</v>
      </c>
      <c r="H300" s="2">
        <v>21</v>
      </c>
      <c r="I300" s="3">
        <v>32</v>
      </c>
      <c r="J300" s="2">
        <v>40</v>
      </c>
      <c r="K300" s="2">
        <v>4</v>
      </c>
      <c r="L300" s="2">
        <v>0</v>
      </c>
      <c r="M300" s="2">
        <v>45</v>
      </c>
      <c r="N300" s="2">
        <v>3</v>
      </c>
      <c r="O300" s="2">
        <v>1</v>
      </c>
      <c r="P300" s="3">
        <v>133</v>
      </c>
      <c r="Q300" s="2">
        <v>6</v>
      </c>
      <c r="R300" s="2">
        <v>572</v>
      </c>
      <c r="S300" s="2">
        <v>2</v>
      </c>
      <c r="T300" s="2">
        <v>29</v>
      </c>
      <c r="U300" s="2">
        <v>0</v>
      </c>
      <c r="V300" s="2">
        <f t="shared" si="35"/>
        <v>283</v>
      </c>
      <c r="W300" s="2">
        <v>2</v>
      </c>
      <c r="X300" s="2">
        <v>22</v>
      </c>
      <c r="Y300" s="2">
        <v>0</v>
      </c>
      <c r="Z300" s="2">
        <f t="shared" si="29"/>
        <v>24</v>
      </c>
      <c r="AA300" s="2">
        <f t="shared" si="30"/>
        <v>307</v>
      </c>
      <c r="AB300" s="2">
        <v>2280</v>
      </c>
      <c r="AC300" s="20">
        <f t="shared" si="32"/>
        <v>13.4649122807018</v>
      </c>
      <c r="AD300" s="2" t="s">
        <v>343</v>
      </c>
      <c r="AE300" s="2">
        <v>150</v>
      </c>
      <c r="AF300" s="21">
        <f t="shared" si="33"/>
        <v>16.8760233918129</v>
      </c>
      <c r="AG300" s="4">
        <f t="shared" si="31"/>
        <v>12.4122807017544</v>
      </c>
      <c r="AH300" s="4">
        <f t="shared" si="34"/>
        <v>1.05263157894737</v>
      </c>
    </row>
    <row r="301" spans="1:34">
      <c r="A301" s="2">
        <v>20260221</v>
      </c>
      <c r="B301" s="2" t="s">
        <v>647</v>
      </c>
      <c r="C301" s="2" t="s">
        <v>648</v>
      </c>
      <c r="D301" s="2">
        <v>0</v>
      </c>
      <c r="E301" s="2">
        <v>166</v>
      </c>
      <c r="F301" s="2">
        <v>5</v>
      </c>
      <c r="G301" s="2">
        <v>6</v>
      </c>
      <c r="H301" s="2">
        <v>19</v>
      </c>
      <c r="I301" s="3">
        <v>13</v>
      </c>
      <c r="J301" s="2">
        <v>57</v>
      </c>
      <c r="K301" s="2">
        <v>5</v>
      </c>
      <c r="L301" s="2">
        <v>0</v>
      </c>
      <c r="M301" s="2">
        <v>25</v>
      </c>
      <c r="N301" s="2">
        <v>11</v>
      </c>
      <c r="O301" s="2">
        <v>0</v>
      </c>
      <c r="P301" s="3">
        <v>110</v>
      </c>
      <c r="Q301" s="2">
        <v>2</v>
      </c>
      <c r="R301" s="2">
        <v>868</v>
      </c>
      <c r="S301" s="2">
        <v>0</v>
      </c>
      <c r="T301" s="2">
        <v>17</v>
      </c>
      <c r="U301" s="2">
        <v>0</v>
      </c>
      <c r="V301" s="2">
        <f t="shared" si="35"/>
        <v>244</v>
      </c>
      <c r="W301" s="2">
        <v>0</v>
      </c>
      <c r="X301" s="2">
        <v>8</v>
      </c>
      <c r="Y301" s="2">
        <v>0</v>
      </c>
      <c r="Z301" s="2">
        <f t="shared" si="29"/>
        <v>8</v>
      </c>
      <c r="AA301" s="2">
        <f t="shared" si="30"/>
        <v>252</v>
      </c>
      <c r="AB301" s="2">
        <v>2080</v>
      </c>
      <c r="AC301" s="20">
        <f t="shared" si="32"/>
        <v>12.1153846153846</v>
      </c>
      <c r="AD301" s="2" t="s">
        <v>343</v>
      </c>
      <c r="AE301" s="2">
        <v>150</v>
      </c>
      <c r="AF301" s="21">
        <f t="shared" si="33"/>
        <v>15.1846153846154</v>
      </c>
      <c r="AG301" s="4">
        <f t="shared" si="31"/>
        <v>11.7307692307692</v>
      </c>
      <c r="AH301" s="4">
        <f t="shared" si="34"/>
        <v>0.384615384615385</v>
      </c>
    </row>
    <row r="302" spans="1:34">
      <c r="A302" s="2">
        <v>20260221</v>
      </c>
      <c r="B302" s="2" t="s">
        <v>647</v>
      </c>
      <c r="C302" s="2" t="s">
        <v>649</v>
      </c>
      <c r="D302" s="2">
        <v>0</v>
      </c>
      <c r="E302" s="2">
        <v>48</v>
      </c>
      <c r="F302" s="2">
        <v>0</v>
      </c>
      <c r="G302" s="2">
        <v>6</v>
      </c>
      <c r="H302" s="2">
        <v>17</v>
      </c>
      <c r="I302" s="3">
        <v>25</v>
      </c>
      <c r="J302" s="2">
        <v>47</v>
      </c>
      <c r="K302" s="2">
        <v>2</v>
      </c>
      <c r="L302" s="2">
        <v>1</v>
      </c>
      <c r="M302" s="2">
        <v>40</v>
      </c>
      <c r="N302" s="2">
        <v>3</v>
      </c>
      <c r="O302" s="2">
        <v>4</v>
      </c>
      <c r="P302" s="3">
        <v>85</v>
      </c>
      <c r="Q302" s="2">
        <v>15</v>
      </c>
      <c r="R302" s="2">
        <v>426</v>
      </c>
      <c r="S302" s="2">
        <v>1</v>
      </c>
      <c r="T302" s="2">
        <v>33</v>
      </c>
      <c r="U302" s="2">
        <v>0</v>
      </c>
      <c r="V302" s="2">
        <f t="shared" si="35"/>
        <v>235</v>
      </c>
      <c r="W302" s="2">
        <v>0</v>
      </c>
      <c r="X302" s="2">
        <v>21</v>
      </c>
      <c r="Y302" s="2">
        <v>0</v>
      </c>
      <c r="Z302" s="2">
        <f t="shared" si="29"/>
        <v>21</v>
      </c>
      <c r="AA302" s="2">
        <f t="shared" si="30"/>
        <v>256</v>
      </c>
      <c r="AB302" s="2">
        <v>2081</v>
      </c>
      <c r="AC302" s="20">
        <f t="shared" si="32"/>
        <v>12.3017779913503</v>
      </c>
      <c r="AD302" s="2" t="s">
        <v>343</v>
      </c>
      <c r="AE302" s="2">
        <v>150</v>
      </c>
      <c r="AF302" s="21">
        <f t="shared" si="33"/>
        <v>15.4182284158257</v>
      </c>
      <c r="AG302" s="4">
        <f t="shared" si="31"/>
        <v>11.2926477654974</v>
      </c>
      <c r="AH302" s="4">
        <f t="shared" si="34"/>
        <v>1.00913022585296</v>
      </c>
    </row>
    <row r="303" spans="1:34">
      <c r="A303" s="2">
        <v>20260221</v>
      </c>
      <c r="B303" s="2" t="s">
        <v>650</v>
      </c>
      <c r="C303" s="2" t="s">
        <v>651</v>
      </c>
      <c r="D303" s="2">
        <v>0</v>
      </c>
      <c r="E303" s="2">
        <v>74</v>
      </c>
      <c r="F303" s="2">
        <v>1</v>
      </c>
      <c r="G303" s="2">
        <v>4</v>
      </c>
      <c r="H303" s="2">
        <v>32</v>
      </c>
      <c r="I303" s="3">
        <v>31</v>
      </c>
      <c r="J303" s="2">
        <v>87</v>
      </c>
      <c r="K303" s="2">
        <v>6</v>
      </c>
      <c r="L303" s="2">
        <v>0</v>
      </c>
      <c r="M303" s="2">
        <v>36</v>
      </c>
      <c r="N303" s="2">
        <v>7</v>
      </c>
      <c r="O303" s="2">
        <v>0</v>
      </c>
      <c r="P303" s="3">
        <v>176</v>
      </c>
      <c r="Q303" s="2">
        <v>0</v>
      </c>
      <c r="R303" s="2">
        <v>447</v>
      </c>
      <c r="S303" s="2">
        <v>3</v>
      </c>
      <c r="T303" s="2">
        <v>62</v>
      </c>
      <c r="U303" s="2">
        <v>1</v>
      </c>
      <c r="V303" s="2">
        <f t="shared" si="35"/>
        <v>400</v>
      </c>
      <c r="W303" s="2">
        <v>5</v>
      </c>
      <c r="X303" s="2">
        <v>29</v>
      </c>
      <c r="Y303" s="2">
        <v>0</v>
      </c>
      <c r="Z303" s="2">
        <f t="shared" si="29"/>
        <v>35</v>
      </c>
      <c r="AA303" s="2">
        <f t="shared" si="30"/>
        <v>435</v>
      </c>
      <c r="AB303" s="2">
        <v>4119</v>
      </c>
      <c r="AC303" s="20">
        <f t="shared" si="32"/>
        <v>10.5608157319738</v>
      </c>
      <c r="AD303" s="2" t="s">
        <v>343</v>
      </c>
      <c r="AE303" s="2">
        <v>150</v>
      </c>
      <c r="AF303" s="21">
        <f t="shared" si="33"/>
        <v>13.2362223840738</v>
      </c>
      <c r="AG303" s="4">
        <f t="shared" si="31"/>
        <v>9.7110949259529</v>
      </c>
      <c r="AH303" s="4">
        <f t="shared" si="34"/>
        <v>0.849720806020879</v>
      </c>
    </row>
    <row r="304" spans="1:34">
      <c r="A304" s="2">
        <v>20260222</v>
      </c>
      <c r="B304" s="2" t="s">
        <v>652</v>
      </c>
      <c r="C304" s="2" t="s">
        <v>653</v>
      </c>
      <c r="D304" s="2">
        <v>0</v>
      </c>
      <c r="E304" s="2">
        <v>3367</v>
      </c>
      <c r="F304" s="2">
        <v>0</v>
      </c>
      <c r="G304" s="2">
        <v>2</v>
      </c>
      <c r="H304" s="2">
        <v>22</v>
      </c>
      <c r="I304" s="3">
        <v>41</v>
      </c>
      <c r="J304" s="2">
        <v>57</v>
      </c>
      <c r="K304" s="2">
        <v>6</v>
      </c>
      <c r="L304" s="2">
        <v>0</v>
      </c>
      <c r="M304" s="2">
        <v>27</v>
      </c>
      <c r="N304" s="2">
        <v>14</v>
      </c>
      <c r="O304" s="2">
        <v>18</v>
      </c>
      <c r="P304" s="3">
        <v>152</v>
      </c>
      <c r="Q304" s="2">
        <v>0</v>
      </c>
      <c r="R304" s="2">
        <v>580</v>
      </c>
      <c r="S304" s="2">
        <v>0</v>
      </c>
      <c r="T304" s="2">
        <v>55</v>
      </c>
      <c r="U304" s="2">
        <v>0</v>
      </c>
      <c r="V304" s="2">
        <f t="shared" si="35"/>
        <v>331</v>
      </c>
      <c r="W304" s="2">
        <v>7</v>
      </c>
      <c r="X304" s="2">
        <v>24</v>
      </c>
      <c r="Y304" s="2">
        <v>0</v>
      </c>
      <c r="Z304" s="2">
        <f t="shared" si="29"/>
        <v>31</v>
      </c>
      <c r="AA304" s="2">
        <f t="shared" si="30"/>
        <v>362</v>
      </c>
      <c r="AB304" s="2">
        <v>4719</v>
      </c>
      <c r="AC304" s="20">
        <f t="shared" si="32"/>
        <v>7.67111676202585</v>
      </c>
      <c r="AD304" s="2" t="s">
        <v>343</v>
      </c>
      <c r="AE304" s="2">
        <v>150</v>
      </c>
      <c r="AF304" s="21">
        <f t="shared" si="33"/>
        <v>9.61446634173907</v>
      </c>
      <c r="AG304" s="4">
        <f t="shared" si="31"/>
        <v>7.01419792328883</v>
      </c>
      <c r="AH304" s="4">
        <f t="shared" si="34"/>
        <v>0.656918838737021</v>
      </c>
    </row>
    <row r="305" spans="1:34">
      <c r="A305" s="2">
        <v>20260222</v>
      </c>
      <c r="B305" s="2" t="s">
        <v>654</v>
      </c>
      <c r="C305" s="2" t="s">
        <v>655</v>
      </c>
      <c r="D305" s="2">
        <v>1</v>
      </c>
      <c r="E305" s="2">
        <v>65</v>
      </c>
      <c r="F305" s="2">
        <v>0</v>
      </c>
      <c r="G305" s="2">
        <v>1</v>
      </c>
      <c r="H305" s="2">
        <v>17</v>
      </c>
      <c r="I305" s="3">
        <v>14</v>
      </c>
      <c r="J305" s="2">
        <v>65</v>
      </c>
      <c r="K305" s="2">
        <v>4</v>
      </c>
      <c r="L305" s="2">
        <v>0</v>
      </c>
      <c r="M305" s="2">
        <v>33</v>
      </c>
      <c r="N305" s="2">
        <v>3</v>
      </c>
      <c r="O305" s="2">
        <v>0</v>
      </c>
      <c r="P305" s="3">
        <v>140</v>
      </c>
      <c r="Q305" s="2">
        <v>1</v>
      </c>
      <c r="R305" s="2">
        <v>391</v>
      </c>
      <c r="S305" s="2">
        <v>2</v>
      </c>
      <c r="T305" s="2">
        <v>49</v>
      </c>
      <c r="U305" s="2">
        <v>0</v>
      </c>
      <c r="V305" s="2">
        <f t="shared" si="35"/>
        <v>302</v>
      </c>
      <c r="W305" s="2">
        <v>2</v>
      </c>
      <c r="X305" s="2">
        <v>19</v>
      </c>
      <c r="Y305" s="2">
        <v>0</v>
      </c>
      <c r="Z305" s="2">
        <f t="shared" ref="Z305:Z309" si="36">Y305+X305+W305+U305</f>
        <v>21</v>
      </c>
      <c r="AA305" s="2">
        <f t="shared" ref="AA305:AA368" si="37">G305+H305+I305+J305+K305+L305+M305+P305+T305+U305</f>
        <v>323</v>
      </c>
      <c r="AB305" s="2">
        <v>4119</v>
      </c>
      <c r="AC305" s="20">
        <f t="shared" si="32"/>
        <v>7.84170915270697</v>
      </c>
      <c r="AD305" s="2" t="s">
        <v>343</v>
      </c>
      <c r="AE305" s="2">
        <v>150</v>
      </c>
      <c r="AF305" s="21">
        <f t="shared" si="33"/>
        <v>9.82827547139273</v>
      </c>
      <c r="AG305" s="4">
        <f t="shared" ref="AG305:AG368" si="38">V305/AB305*100</f>
        <v>7.33187666909444</v>
      </c>
      <c r="AH305" s="4">
        <f t="shared" si="34"/>
        <v>0.509832483612527</v>
      </c>
    </row>
    <row r="306" spans="1:34">
      <c r="A306" s="2">
        <v>20260222</v>
      </c>
      <c r="B306" s="2" t="s">
        <v>656</v>
      </c>
      <c r="C306" s="2" t="s">
        <v>657</v>
      </c>
      <c r="D306" s="2">
        <v>0</v>
      </c>
      <c r="E306" s="2">
        <v>57</v>
      </c>
      <c r="F306" s="2">
        <v>0</v>
      </c>
      <c r="G306" s="2">
        <v>4</v>
      </c>
      <c r="H306" s="2">
        <v>11</v>
      </c>
      <c r="I306" s="3">
        <v>17</v>
      </c>
      <c r="J306" s="2">
        <v>54</v>
      </c>
      <c r="K306" s="2">
        <v>32</v>
      </c>
      <c r="L306" s="2">
        <v>0</v>
      </c>
      <c r="M306" s="2">
        <v>25</v>
      </c>
      <c r="N306" s="2">
        <v>3</v>
      </c>
      <c r="O306" s="2">
        <v>0</v>
      </c>
      <c r="P306" s="3">
        <v>127</v>
      </c>
      <c r="Q306" s="2">
        <v>1</v>
      </c>
      <c r="R306" s="2">
        <v>279</v>
      </c>
      <c r="S306" s="2">
        <v>0</v>
      </c>
      <c r="T306" s="2">
        <v>40</v>
      </c>
      <c r="U306" s="2">
        <v>0</v>
      </c>
      <c r="V306" s="2">
        <f t="shared" si="35"/>
        <v>301</v>
      </c>
      <c r="W306" s="2">
        <v>2</v>
      </c>
      <c r="X306" s="2">
        <v>7</v>
      </c>
      <c r="Y306" s="2">
        <v>0</v>
      </c>
      <c r="Z306" s="2">
        <f t="shared" si="36"/>
        <v>9</v>
      </c>
      <c r="AA306" s="2">
        <f t="shared" si="37"/>
        <v>310</v>
      </c>
      <c r="AB306" s="2">
        <v>4119</v>
      </c>
      <c r="AC306" s="20">
        <f t="shared" si="32"/>
        <v>7.5260985676135</v>
      </c>
      <c r="AD306" s="2" t="s">
        <v>343</v>
      </c>
      <c r="AE306" s="2">
        <v>150</v>
      </c>
      <c r="AF306" s="21">
        <f t="shared" si="33"/>
        <v>9.43271020474225</v>
      </c>
      <c r="AG306" s="4">
        <f t="shared" si="38"/>
        <v>7.30759893177956</v>
      </c>
      <c r="AH306" s="4">
        <f t="shared" si="34"/>
        <v>0.21849963583394</v>
      </c>
    </row>
    <row r="307" spans="1:34">
      <c r="A307" s="2">
        <v>20260222</v>
      </c>
      <c r="B307" s="2" t="s">
        <v>658</v>
      </c>
      <c r="C307" s="2" t="s">
        <v>659</v>
      </c>
      <c r="D307" s="2">
        <v>1</v>
      </c>
      <c r="E307" s="2">
        <v>383</v>
      </c>
      <c r="F307" s="2">
        <v>0</v>
      </c>
      <c r="G307" s="2">
        <v>2</v>
      </c>
      <c r="H307" s="2">
        <v>16</v>
      </c>
      <c r="I307" s="3">
        <v>23</v>
      </c>
      <c r="J307" s="2">
        <v>25</v>
      </c>
      <c r="K307" s="2">
        <v>2</v>
      </c>
      <c r="L307" s="2">
        <v>0</v>
      </c>
      <c r="M307" s="2">
        <v>20</v>
      </c>
      <c r="N307" s="2">
        <v>2</v>
      </c>
      <c r="O307" s="2">
        <v>0</v>
      </c>
      <c r="P307" s="3">
        <v>121</v>
      </c>
      <c r="Q307" s="2">
        <v>1</v>
      </c>
      <c r="R307" s="2">
        <v>146</v>
      </c>
      <c r="S307" s="2">
        <v>0</v>
      </c>
      <c r="T307" s="2">
        <v>32</v>
      </c>
      <c r="U307" s="2">
        <v>0</v>
      </c>
      <c r="V307" s="2">
        <f t="shared" si="35"/>
        <v>228</v>
      </c>
      <c r="W307" s="2">
        <v>0</v>
      </c>
      <c r="X307" s="2">
        <v>13</v>
      </c>
      <c r="Y307" s="2">
        <v>0</v>
      </c>
      <c r="Z307" s="2">
        <f t="shared" si="36"/>
        <v>13</v>
      </c>
      <c r="AA307" s="2">
        <f t="shared" si="37"/>
        <v>241</v>
      </c>
      <c r="AB307" s="2">
        <v>4104</v>
      </c>
      <c r="AC307" s="20">
        <f t="shared" si="32"/>
        <v>5.87231968810916</v>
      </c>
      <c r="AD307" s="2" t="s">
        <v>343</v>
      </c>
      <c r="AE307" s="2">
        <v>150</v>
      </c>
      <c r="AF307" s="21">
        <f t="shared" si="33"/>
        <v>7.35997400909682</v>
      </c>
      <c r="AG307" s="4">
        <f t="shared" si="38"/>
        <v>5.55555555555556</v>
      </c>
      <c r="AH307" s="4">
        <f t="shared" si="34"/>
        <v>0.316764132553606</v>
      </c>
    </row>
    <row r="308" spans="1:34">
      <c r="A308" s="2">
        <v>20260222</v>
      </c>
      <c r="B308" s="2" t="s">
        <v>660</v>
      </c>
      <c r="C308" s="2" t="s">
        <v>661</v>
      </c>
      <c r="D308" s="2">
        <v>0</v>
      </c>
      <c r="E308" s="2">
        <v>23</v>
      </c>
      <c r="F308" s="2">
        <v>0</v>
      </c>
      <c r="G308" s="2">
        <v>0</v>
      </c>
      <c r="H308" s="2">
        <v>10</v>
      </c>
      <c r="I308" s="3">
        <v>12</v>
      </c>
      <c r="J308" s="2">
        <v>13</v>
      </c>
      <c r="K308" s="2">
        <v>1</v>
      </c>
      <c r="L308" s="2">
        <v>0</v>
      </c>
      <c r="M308" s="2">
        <v>11</v>
      </c>
      <c r="N308" s="2">
        <v>0</v>
      </c>
      <c r="O308" s="2">
        <v>0</v>
      </c>
      <c r="P308" s="3">
        <v>88</v>
      </c>
      <c r="Q308" s="2">
        <v>0</v>
      </c>
      <c r="R308" s="2">
        <v>62</v>
      </c>
      <c r="S308" s="2">
        <v>1</v>
      </c>
      <c r="T308" s="2">
        <v>15</v>
      </c>
      <c r="U308" s="2">
        <v>0</v>
      </c>
      <c r="V308" s="2">
        <f t="shared" si="35"/>
        <v>142</v>
      </c>
      <c r="W308" s="2">
        <v>0</v>
      </c>
      <c r="X308" s="2">
        <v>7</v>
      </c>
      <c r="Y308" s="2">
        <v>1</v>
      </c>
      <c r="Z308" s="2">
        <f t="shared" si="36"/>
        <v>8</v>
      </c>
      <c r="AA308" s="2">
        <f t="shared" si="37"/>
        <v>150</v>
      </c>
      <c r="AB308" s="2">
        <v>2080</v>
      </c>
      <c r="AC308" s="20">
        <f t="shared" si="32"/>
        <v>7.21153846153846</v>
      </c>
      <c r="AD308" s="2" t="s">
        <v>343</v>
      </c>
      <c r="AE308" s="2">
        <v>150</v>
      </c>
      <c r="AF308" s="21">
        <f t="shared" si="33"/>
        <v>9.03846153846154</v>
      </c>
      <c r="AG308" s="4">
        <f t="shared" si="38"/>
        <v>6.82692307692308</v>
      </c>
      <c r="AH308" s="4">
        <f t="shared" si="34"/>
        <v>0.384615384615385</v>
      </c>
    </row>
    <row r="309" spans="1:34">
      <c r="A309" s="2">
        <v>20260222</v>
      </c>
      <c r="B309" s="2" t="s">
        <v>662</v>
      </c>
      <c r="C309" s="2" t="s">
        <v>663</v>
      </c>
      <c r="D309" s="2">
        <v>0</v>
      </c>
      <c r="E309" s="2">
        <v>11</v>
      </c>
      <c r="F309" s="2">
        <v>0</v>
      </c>
      <c r="G309" s="2">
        <v>8</v>
      </c>
      <c r="H309" s="2">
        <v>12</v>
      </c>
      <c r="I309" s="3">
        <v>11</v>
      </c>
      <c r="J309" s="2">
        <v>58</v>
      </c>
      <c r="K309" s="2">
        <v>3</v>
      </c>
      <c r="L309" s="2">
        <v>1</v>
      </c>
      <c r="M309" s="2">
        <v>12</v>
      </c>
      <c r="N309" s="2">
        <v>3</v>
      </c>
      <c r="O309" s="2">
        <v>0</v>
      </c>
      <c r="P309" s="3">
        <v>23</v>
      </c>
      <c r="Q309" s="2">
        <v>0</v>
      </c>
      <c r="R309" s="2">
        <v>217</v>
      </c>
      <c r="S309" s="2">
        <v>1</v>
      </c>
      <c r="T309" s="2">
        <v>64</v>
      </c>
      <c r="U309" s="2">
        <v>0</v>
      </c>
      <c r="V309" s="2">
        <f t="shared" si="35"/>
        <v>192</v>
      </c>
      <c r="W309" s="2">
        <v>0</v>
      </c>
      <c r="X309" s="2">
        <v>0</v>
      </c>
      <c r="Y309" s="2">
        <v>0</v>
      </c>
      <c r="Z309" s="2">
        <f t="shared" si="36"/>
        <v>0</v>
      </c>
      <c r="AA309" s="2">
        <f t="shared" si="37"/>
        <v>192</v>
      </c>
      <c r="AB309" s="2">
        <v>2073</v>
      </c>
      <c r="AC309" s="20">
        <f t="shared" si="32"/>
        <v>9.26193921852388</v>
      </c>
      <c r="AD309" s="2" t="s">
        <v>257</v>
      </c>
      <c r="AE309" s="2">
        <v>188</v>
      </c>
      <c r="AF309" s="21">
        <f t="shared" si="33"/>
        <v>9.26193921852388</v>
      </c>
      <c r="AG309" s="4">
        <f t="shared" si="38"/>
        <v>9.26193921852388</v>
      </c>
      <c r="AH309" s="4">
        <f t="shared" si="34"/>
        <v>0</v>
      </c>
    </row>
    <row r="310" spans="1:34">
      <c r="A310" s="2">
        <v>20260222</v>
      </c>
      <c r="B310" s="2" t="s">
        <v>664</v>
      </c>
      <c r="C310" s="2" t="s">
        <v>665</v>
      </c>
      <c r="D310" s="2">
        <v>4</v>
      </c>
      <c r="E310" s="2">
        <v>661</v>
      </c>
      <c r="F310" s="2">
        <v>109</v>
      </c>
      <c r="G310" s="2">
        <v>4</v>
      </c>
      <c r="H310" s="2">
        <v>34</v>
      </c>
      <c r="I310" s="3">
        <v>21</v>
      </c>
      <c r="J310" s="2">
        <v>876</v>
      </c>
      <c r="K310" s="2">
        <v>1</v>
      </c>
      <c r="L310" s="2">
        <v>0</v>
      </c>
      <c r="M310" s="2">
        <v>17</v>
      </c>
      <c r="N310" s="2">
        <v>202</v>
      </c>
      <c r="O310" s="2">
        <v>0</v>
      </c>
      <c r="P310" s="3">
        <v>21</v>
      </c>
      <c r="Q310" s="2">
        <v>5</v>
      </c>
      <c r="R310" s="2">
        <v>448</v>
      </c>
      <c r="S310" s="2">
        <v>3</v>
      </c>
      <c r="T310" s="2">
        <v>258</v>
      </c>
      <c r="U310" s="2">
        <v>0</v>
      </c>
      <c r="V310" s="2">
        <f t="shared" si="35"/>
        <v>1231</v>
      </c>
      <c r="W310" s="2">
        <v>0</v>
      </c>
      <c r="X310" s="2">
        <v>1</v>
      </c>
      <c r="Y310" s="2">
        <v>0</v>
      </c>
      <c r="Z310" s="2">
        <v>0</v>
      </c>
      <c r="AA310" s="2">
        <f t="shared" si="37"/>
        <v>1232</v>
      </c>
      <c r="AB310" s="2">
        <v>1981</v>
      </c>
      <c r="AC310" s="20">
        <f t="shared" si="32"/>
        <v>62.1908127208481</v>
      </c>
      <c r="AD310" s="2" t="s">
        <v>257</v>
      </c>
      <c r="AE310" s="2">
        <v>188</v>
      </c>
      <c r="AF310" s="21">
        <f t="shared" si="33"/>
        <v>62.1908127208481</v>
      </c>
      <c r="AG310" s="4">
        <f t="shared" si="38"/>
        <v>62.1403331650681</v>
      </c>
      <c r="AH310" s="4">
        <f t="shared" si="34"/>
        <v>0</v>
      </c>
    </row>
    <row r="311" spans="1:34">
      <c r="A311" s="2">
        <v>20260222</v>
      </c>
      <c r="B311" s="2" t="s">
        <v>666</v>
      </c>
      <c r="C311" s="2" t="s">
        <v>667</v>
      </c>
      <c r="D311" s="2">
        <v>0</v>
      </c>
      <c r="E311" s="2">
        <v>67</v>
      </c>
      <c r="F311" s="2">
        <v>0</v>
      </c>
      <c r="G311" s="2">
        <v>22</v>
      </c>
      <c r="H311" s="2">
        <v>29</v>
      </c>
      <c r="I311" s="3">
        <v>26</v>
      </c>
      <c r="J311" s="2">
        <v>72</v>
      </c>
      <c r="K311" s="2">
        <v>6</v>
      </c>
      <c r="L311" s="2">
        <v>0</v>
      </c>
      <c r="M311" s="2">
        <v>13</v>
      </c>
      <c r="N311" s="2">
        <v>22</v>
      </c>
      <c r="O311" s="2">
        <v>2</v>
      </c>
      <c r="P311" s="3">
        <v>17</v>
      </c>
      <c r="Q311" s="2">
        <v>3</v>
      </c>
      <c r="R311" s="2">
        <v>488</v>
      </c>
      <c r="S311" s="2">
        <v>5</v>
      </c>
      <c r="T311" s="2">
        <v>50</v>
      </c>
      <c r="U311" s="2">
        <v>0</v>
      </c>
      <c r="V311" s="2">
        <f t="shared" si="35"/>
        <v>234</v>
      </c>
      <c r="W311" s="2">
        <v>0</v>
      </c>
      <c r="X311" s="2">
        <v>1</v>
      </c>
      <c r="Y311" s="2">
        <v>0</v>
      </c>
      <c r="Z311" s="2">
        <f t="shared" ref="Z311:Z374" si="39">Y311+X311+W311+U311</f>
        <v>1</v>
      </c>
      <c r="AA311" s="2">
        <f t="shared" si="37"/>
        <v>235</v>
      </c>
      <c r="AB311" s="2">
        <v>2073</v>
      </c>
      <c r="AC311" s="20">
        <f t="shared" si="32"/>
        <v>11.3362276893391</v>
      </c>
      <c r="AD311" s="2" t="s">
        <v>257</v>
      </c>
      <c r="AE311" s="2">
        <v>188</v>
      </c>
      <c r="AF311" s="21">
        <f t="shared" si="33"/>
        <v>11.3362276893391</v>
      </c>
      <c r="AG311" s="4">
        <f t="shared" si="38"/>
        <v>11.287988422576</v>
      </c>
      <c r="AH311" s="4">
        <f t="shared" si="34"/>
        <v>0.0482392667631452</v>
      </c>
    </row>
    <row r="312" spans="1:34">
      <c r="A312" s="2">
        <v>20260222</v>
      </c>
      <c r="B312" s="2" t="s">
        <v>668</v>
      </c>
      <c r="C312" s="2" t="s">
        <v>669</v>
      </c>
      <c r="D312" s="2">
        <v>0</v>
      </c>
      <c r="E312" s="2">
        <v>16</v>
      </c>
      <c r="F312" s="2">
        <v>0</v>
      </c>
      <c r="G312" s="2">
        <v>11</v>
      </c>
      <c r="H312" s="2">
        <v>16</v>
      </c>
      <c r="I312" s="3">
        <v>11</v>
      </c>
      <c r="J312" s="2">
        <v>43</v>
      </c>
      <c r="K312" s="2">
        <v>0</v>
      </c>
      <c r="L312" s="2">
        <v>0</v>
      </c>
      <c r="M312" s="2">
        <v>6</v>
      </c>
      <c r="N312" s="2">
        <v>21</v>
      </c>
      <c r="O312" s="2">
        <v>0</v>
      </c>
      <c r="P312" s="3">
        <v>20</v>
      </c>
      <c r="Q312" s="2">
        <v>0</v>
      </c>
      <c r="R312" s="2">
        <v>207</v>
      </c>
      <c r="S312" s="2">
        <v>5</v>
      </c>
      <c r="T312" s="2">
        <v>60</v>
      </c>
      <c r="U312" s="2">
        <v>0</v>
      </c>
      <c r="V312" s="2">
        <f t="shared" si="35"/>
        <v>167</v>
      </c>
      <c r="W312" s="2">
        <v>0</v>
      </c>
      <c r="X312" s="2">
        <v>0</v>
      </c>
      <c r="Y312" s="2">
        <v>0</v>
      </c>
      <c r="Z312" s="2">
        <f t="shared" si="39"/>
        <v>0</v>
      </c>
      <c r="AA312" s="2">
        <f t="shared" si="37"/>
        <v>167</v>
      </c>
      <c r="AB312" s="2">
        <v>2073</v>
      </c>
      <c r="AC312" s="20">
        <f t="shared" si="32"/>
        <v>8.05595754944525</v>
      </c>
      <c r="AD312" s="2" t="s">
        <v>257</v>
      </c>
      <c r="AE312" s="2">
        <v>188</v>
      </c>
      <c r="AF312" s="21">
        <f t="shared" si="33"/>
        <v>8.05595754944525</v>
      </c>
      <c r="AG312" s="4">
        <f t="shared" si="38"/>
        <v>8.05595754944525</v>
      </c>
      <c r="AH312" s="4">
        <f t="shared" si="34"/>
        <v>0</v>
      </c>
    </row>
    <row r="313" spans="1:34">
      <c r="A313" s="2">
        <v>20260222</v>
      </c>
      <c r="B313" s="2" t="s">
        <v>670</v>
      </c>
      <c r="C313" s="2" t="s">
        <v>671</v>
      </c>
      <c r="D313" s="2">
        <v>0</v>
      </c>
      <c r="E313" s="2">
        <v>28</v>
      </c>
      <c r="F313" s="2">
        <v>2</v>
      </c>
      <c r="G313" s="2">
        <v>6</v>
      </c>
      <c r="H313" s="2">
        <v>5</v>
      </c>
      <c r="I313" s="3">
        <v>11</v>
      </c>
      <c r="J313" s="2">
        <v>37</v>
      </c>
      <c r="K313" s="2">
        <v>3</v>
      </c>
      <c r="L313" s="2">
        <v>0</v>
      </c>
      <c r="M313" s="2">
        <v>12</v>
      </c>
      <c r="N313" s="2">
        <v>14</v>
      </c>
      <c r="O313" s="2">
        <v>0</v>
      </c>
      <c r="P313" s="3">
        <v>23</v>
      </c>
      <c r="Q313" s="2">
        <v>0</v>
      </c>
      <c r="R313" s="2">
        <v>537</v>
      </c>
      <c r="S313" s="2">
        <v>7</v>
      </c>
      <c r="T313" s="2">
        <v>66</v>
      </c>
      <c r="U313" s="2">
        <v>0</v>
      </c>
      <c r="V313" s="2">
        <f t="shared" si="35"/>
        <v>161</v>
      </c>
      <c r="W313" s="2">
        <v>1</v>
      </c>
      <c r="X313" s="2">
        <v>1</v>
      </c>
      <c r="Y313" s="2">
        <v>0</v>
      </c>
      <c r="Z313" s="2">
        <f t="shared" si="39"/>
        <v>2</v>
      </c>
      <c r="AA313" s="2">
        <f t="shared" si="37"/>
        <v>163</v>
      </c>
      <c r="AB313" s="2">
        <v>2073</v>
      </c>
      <c r="AC313" s="20">
        <f t="shared" si="32"/>
        <v>7.86300048239267</v>
      </c>
      <c r="AD313" s="2" t="s">
        <v>257</v>
      </c>
      <c r="AE313" s="2">
        <v>188</v>
      </c>
      <c r="AF313" s="21">
        <f t="shared" si="33"/>
        <v>7.86300048239267</v>
      </c>
      <c r="AG313" s="4">
        <f t="shared" si="38"/>
        <v>7.76652194886638</v>
      </c>
      <c r="AH313" s="4">
        <f t="shared" si="34"/>
        <v>0.0964785335262904</v>
      </c>
    </row>
    <row r="314" spans="1:34">
      <c r="A314" s="2">
        <v>20260222</v>
      </c>
      <c r="B314" s="2" t="s">
        <v>672</v>
      </c>
      <c r="C314" s="2" t="s">
        <v>673</v>
      </c>
      <c r="D314" s="2">
        <v>0</v>
      </c>
      <c r="E314" s="2">
        <v>0</v>
      </c>
      <c r="F314" s="2">
        <v>0</v>
      </c>
      <c r="G314" s="2">
        <v>10</v>
      </c>
      <c r="H314" s="2">
        <v>5</v>
      </c>
      <c r="I314" s="3">
        <v>3</v>
      </c>
      <c r="J314" s="2">
        <v>24</v>
      </c>
      <c r="K314" s="2">
        <v>1</v>
      </c>
      <c r="L314" s="2">
        <v>0</v>
      </c>
      <c r="M314" s="2">
        <v>7</v>
      </c>
      <c r="N314" s="2">
        <v>2</v>
      </c>
      <c r="O314" s="2">
        <v>1</v>
      </c>
      <c r="P314" s="3">
        <v>33</v>
      </c>
      <c r="Q314" s="2">
        <v>0</v>
      </c>
      <c r="R314" s="2">
        <v>31</v>
      </c>
      <c r="S314" s="2">
        <v>4</v>
      </c>
      <c r="T314" s="2">
        <v>60</v>
      </c>
      <c r="U314" s="2">
        <v>0</v>
      </c>
      <c r="V314" s="2">
        <f t="shared" si="35"/>
        <v>142</v>
      </c>
      <c r="W314" s="2">
        <v>0</v>
      </c>
      <c r="X314" s="2">
        <v>1</v>
      </c>
      <c r="Y314" s="2">
        <v>0</v>
      </c>
      <c r="Z314" s="2">
        <f t="shared" si="39"/>
        <v>1</v>
      </c>
      <c r="AA314" s="2">
        <f t="shared" si="37"/>
        <v>143</v>
      </c>
      <c r="AB314" s="2">
        <v>2073</v>
      </c>
      <c r="AC314" s="20">
        <f t="shared" si="32"/>
        <v>6.89821514712976</v>
      </c>
      <c r="AD314" s="2" t="s">
        <v>257</v>
      </c>
      <c r="AE314" s="2">
        <v>188</v>
      </c>
      <c r="AF314" s="21">
        <f t="shared" si="33"/>
        <v>6.89821514712976</v>
      </c>
      <c r="AG314" s="4">
        <f t="shared" si="38"/>
        <v>6.84997588036662</v>
      </c>
      <c r="AH314" s="4">
        <f t="shared" si="34"/>
        <v>0.0482392667631452</v>
      </c>
    </row>
    <row r="315" spans="1:34">
      <c r="A315" s="2">
        <v>20260222</v>
      </c>
      <c r="B315" s="2" t="s">
        <v>674</v>
      </c>
      <c r="C315" s="2" t="s">
        <v>675</v>
      </c>
      <c r="D315" s="2">
        <v>19</v>
      </c>
      <c r="E315" s="2">
        <v>60</v>
      </c>
      <c r="F315" s="2">
        <v>14</v>
      </c>
      <c r="G315" s="2">
        <v>100</v>
      </c>
      <c r="H315" s="2">
        <v>74</v>
      </c>
      <c r="I315" s="3">
        <v>241</v>
      </c>
      <c r="J315" s="2">
        <v>137</v>
      </c>
      <c r="K315" s="2">
        <v>16</v>
      </c>
      <c r="L315" s="2">
        <v>5</v>
      </c>
      <c r="M315" s="2">
        <v>33</v>
      </c>
      <c r="N315" s="2">
        <v>21</v>
      </c>
      <c r="O315" s="2">
        <v>7</v>
      </c>
      <c r="P315" s="3">
        <v>54</v>
      </c>
      <c r="Q315" s="2">
        <v>11</v>
      </c>
      <c r="R315" s="2">
        <v>526</v>
      </c>
      <c r="S315" s="2">
        <v>35</v>
      </c>
      <c r="T315" s="2">
        <v>63</v>
      </c>
      <c r="U315" s="2">
        <v>8</v>
      </c>
      <c r="V315" s="2">
        <f t="shared" si="35"/>
        <v>714</v>
      </c>
      <c r="W315" s="2">
        <v>0</v>
      </c>
      <c r="X315" s="2">
        <v>9</v>
      </c>
      <c r="Y315" s="2">
        <v>0</v>
      </c>
      <c r="Z315" s="2">
        <f t="shared" si="39"/>
        <v>17</v>
      </c>
      <c r="AA315" s="2">
        <f t="shared" si="37"/>
        <v>731</v>
      </c>
      <c r="AB315" s="2">
        <v>1828</v>
      </c>
      <c r="AC315" s="20">
        <f t="shared" si="32"/>
        <v>39.9890590809628</v>
      </c>
      <c r="AD315" s="2" t="s">
        <v>676</v>
      </c>
      <c r="AE315" s="2">
        <v>188</v>
      </c>
      <c r="AF315" s="21">
        <f t="shared" si="33"/>
        <v>39.9890590809628</v>
      </c>
      <c r="AG315" s="4">
        <f t="shared" si="38"/>
        <v>39.0590809628009</v>
      </c>
      <c r="AH315" s="4">
        <f t="shared" si="34"/>
        <v>0.929978118161926</v>
      </c>
    </row>
    <row r="316" spans="1:34">
      <c r="A316" s="2">
        <v>20260222</v>
      </c>
      <c r="B316" s="2" t="s">
        <v>677</v>
      </c>
      <c r="C316" s="2" t="s">
        <v>678</v>
      </c>
      <c r="D316" s="2">
        <v>1</v>
      </c>
      <c r="E316" s="2">
        <v>11</v>
      </c>
      <c r="F316" s="2">
        <v>3</v>
      </c>
      <c r="G316" s="2">
        <v>5</v>
      </c>
      <c r="H316" s="2">
        <v>25</v>
      </c>
      <c r="I316" s="3">
        <v>255</v>
      </c>
      <c r="J316" s="2">
        <v>65</v>
      </c>
      <c r="K316" s="2">
        <v>2</v>
      </c>
      <c r="L316" s="2">
        <v>0</v>
      </c>
      <c r="M316" s="2">
        <v>4</v>
      </c>
      <c r="N316" s="2">
        <v>102</v>
      </c>
      <c r="O316" s="2">
        <v>1</v>
      </c>
      <c r="P316" s="3">
        <v>19</v>
      </c>
      <c r="Q316" s="2">
        <v>3</v>
      </c>
      <c r="R316" s="2">
        <v>214</v>
      </c>
      <c r="S316" s="2">
        <v>1</v>
      </c>
      <c r="T316" s="2">
        <v>2</v>
      </c>
      <c r="U316" s="2">
        <v>1</v>
      </c>
      <c r="V316" s="2">
        <f t="shared" si="35"/>
        <v>377</v>
      </c>
      <c r="W316" s="2">
        <v>0</v>
      </c>
      <c r="X316" s="2">
        <v>0</v>
      </c>
      <c r="Y316" s="2">
        <v>0</v>
      </c>
      <c r="Z316" s="2">
        <f t="shared" si="39"/>
        <v>1</v>
      </c>
      <c r="AA316" s="2">
        <f t="shared" si="37"/>
        <v>378</v>
      </c>
      <c r="AB316" s="2">
        <v>2792</v>
      </c>
      <c r="AC316" s="20">
        <f t="shared" si="32"/>
        <v>13.5386819484241</v>
      </c>
      <c r="AD316" s="2" t="s">
        <v>676</v>
      </c>
      <c r="AE316" s="2">
        <v>188</v>
      </c>
      <c r="AF316" s="21">
        <f t="shared" si="33"/>
        <v>13.5386819484241</v>
      </c>
      <c r="AG316" s="4">
        <f t="shared" si="38"/>
        <v>13.5028653295129</v>
      </c>
      <c r="AH316" s="4">
        <f t="shared" si="34"/>
        <v>0.0358166189111748</v>
      </c>
    </row>
    <row r="317" spans="1:34">
      <c r="A317" s="2">
        <v>20260222</v>
      </c>
      <c r="B317" s="2" t="s">
        <v>679</v>
      </c>
      <c r="C317" s="2" t="s">
        <v>680</v>
      </c>
      <c r="D317" s="2">
        <v>0</v>
      </c>
      <c r="E317" s="2">
        <v>22</v>
      </c>
      <c r="F317" s="2">
        <v>1</v>
      </c>
      <c r="G317" s="2">
        <v>3</v>
      </c>
      <c r="H317" s="2">
        <v>7</v>
      </c>
      <c r="I317" s="3">
        <v>14</v>
      </c>
      <c r="J317" s="2">
        <v>10</v>
      </c>
      <c r="K317" s="2">
        <v>0</v>
      </c>
      <c r="L317" s="2">
        <v>0</v>
      </c>
      <c r="M317" s="2">
        <v>6</v>
      </c>
      <c r="N317" s="2">
        <v>23</v>
      </c>
      <c r="O317" s="2">
        <v>0</v>
      </c>
      <c r="P317" s="3">
        <v>12</v>
      </c>
      <c r="Q317" s="2">
        <v>6</v>
      </c>
      <c r="R317" s="2">
        <v>181</v>
      </c>
      <c r="S317" s="2">
        <v>1</v>
      </c>
      <c r="T317" s="2">
        <v>2</v>
      </c>
      <c r="U317" s="2">
        <v>0</v>
      </c>
      <c r="V317" s="2">
        <f t="shared" si="35"/>
        <v>45</v>
      </c>
      <c r="W317" s="2">
        <v>0</v>
      </c>
      <c r="X317" s="2">
        <v>9</v>
      </c>
      <c r="Y317" s="2">
        <v>0</v>
      </c>
      <c r="Z317" s="2">
        <f t="shared" si="39"/>
        <v>9</v>
      </c>
      <c r="AA317" s="2">
        <f t="shared" si="37"/>
        <v>54</v>
      </c>
      <c r="AB317" s="2">
        <v>1614</v>
      </c>
      <c r="AC317" s="20">
        <f t="shared" si="32"/>
        <v>3.3457249070632</v>
      </c>
      <c r="AD317" s="2" t="s">
        <v>676</v>
      </c>
      <c r="AE317" s="2">
        <v>188</v>
      </c>
      <c r="AF317" s="21">
        <f t="shared" si="33"/>
        <v>3.3457249070632</v>
      </c>
      <c r="AG317" s="4">
        <f t="shared" si="38"/>
        <v>2.78810408921933</v>
      </c>
      <c r="AH317" s="4">
        <f t="shared" si="34"/>
        <v>0.557620817843866</v>
      </c>
    </row>
    <row r="318" spans="1:34">
      <c r="A318" s="2">
        <v>20260222</v>
      </c>
      <c r="B318" s="2" t="s">
        <v>681</v>
      </c>
      <c r="C318" s="2" t="s">
        <v>682</v>
      </c>
      <c r="D318" s="2">
        <v>1</v>
      </c>
      <c r="E318" s="2">
        <v>5</v>
      </c>
      <c r="F318" s="2">
        <v>1</v>
      </c>
      <c r="G318" s="2">
        <v>4</v>
      </c>
      <c r="H318" s="2">
        <v>3</v>
      </c>
      <c r="I318" s="3">
        <v>42</v>
      </c>
      <c r="J318" s="2">
        <v>14</v>
      </c>
      <c r="K318" s="2">
        <v>2</v>
      </c>
      <c r="L318" s="2">
        <v>0</v>
      </c>
      <c r="M318" s="2">
        <v>17</v>
      </c>
      <c r="N318" s="2">
        <v>7</v>
      </c>
      <c r="O318" s="2">
        <v>3</v>
      </c>
      <c r="P318" s="3">
        <v>20</v>
      </c>
      <c r="Q318" s="2">
        <v>12</v>
      </c>
      <c r="R318" s="2">
        <v>97</v>
      </c>
      <c r="S318" s="2">
        <v>1</v>
      </c>
      <c r="T318" s="2">
        <v>0</v>
      </c>
      <c r="U318" s="2">
        <v>0</v>
      </c>
      <c r="V318" s="2">
        <f t="shared" si="35"/>
        <v>71</v>
      </c>
      <c r="W318" s="2">
        <v>1</v>
      </c>
      <c r="X318" s="2">
        <v>30</v>
      </c>
      <c r="Y318" s="2">
        <v>0</v>
      </c>
      <c r="Z318" s="2">
        <f t="shared" si="39"/>
        <v>31</v>
      </c>
      <c r="AA318" s="2">
        <f t="shared" si="37"/>
        <v>102</v>
      </c>
      <c r="AB318" s="2">
        <v>2793</v>
      </c>
      <c r="AC318" s="20">
        <f t="shared" si="32"/>
        <v>3.65198711063373</v>
      </c>
      <c r="AD318" s="2" t="s">
        <v>676</v>
      </c>
      <c r="AE318" s="2">
        <v>188</v>
      </c>
      <c r="AF318" s="21">
        <f t="shared" si="33"/>
        <v>3.65198711063373</v>
      </c>
      <c r="AG318" s="4">
        <f t="shared" si="38"/>
        <v>2.54206945936269</v>
      </c>
      <c r="AH318" s="4">
        <f t="shared" si="34"/>
        <v>1.10991765127103</v>
      </c>
    </row>
    <row r="319" spans="1:34">
      <c r="A319" s="2">
        <v>20260222</v>
      </c>
      <c r="B319" s="2" t="s">
        <v>683</v>
      </c>
      <c r="C319" s="2" t="s">
        <v>684</v>
      </c>
      <c r="D319" s="2">
        <v>2</v>
      </c>
      <c r="E319" s="2">
        <v>6</v>
      </c>
      <c r="F319" s="2">
        <v>0</v>
      </c>
      <c r="G319" s="2">
        <v>1</v>
      </c>
      <c r="H319" s="2">
        <v>20</v>
      </c>
      <c r="I319" s="3">
        <v>56</v>
      </c>
      <c r="J319" s="2">
        <v>20</v>
      </c>
      <c r="K319" s="2">
        <v>2</v>
      </c>
      <c r="L319" s="2">
        <v>1</v>
      </c>
      <c r="M319" s="2">
        <v>15</v>
      </c>
      <c r="N319" s="2">
        <v>20</v>
      </c>
      <c r="O319" s="2">
        <v>10</v>
      </c>
      <c r="P319" s="3">
        <v>18</v>
      </c>
      <c r="Q319" s="2">
        <v>3</v>
      </c>
      <c r="R319" s="2">
        <v>260</v>
      </c>
      <c r="S319" s="2">
        <v>0</v>
      </c>
      <c r="T319" s="2">
        <v>6</v>
      </c>
      <c r="U319" s="2">
        <v>1</v>
      </c>
      <c r="V319" s="2">
        <f t="shared" si="35"/>
        <v>94</v>
      </c>
      <c r="W319" s="2">
        <v>6</v>
      </c>
      <c r="X319" s="2">
        <v>38</v>
      </c>
      <c r="Y319" s="2">
        <v>1</v>
      </c>
      <c r="Z319" s="2">
        <f t="shared" si="39"/>
        <v>46</v>
      </c>
      <c r="AA319" s="2">
        <f t="shared" si="37"/>
        <v>140</v>
      </c>
      <c r="AB319" s="2">
        <v>2793</v>
      </c>
      <c r="AC319" s="20">
        <f t="shared" si="32"/>
        <v>5.0125313283208</v>
      </c>
      <c r="AD319" s="2" t="s">
        <v>676</v>
      </c>
      <c r="AE319" s="2">
        <v>188</v>
      </c>
      <c r="AF319" s="21">
        <f t="shared" si="33"/>
        <v>5.0125313283208</v>
      </c>
      <c r="AG319" s="4">
        <f t="shared" si="38"/>
        <v>3.3655567490154</v>
      </c>
      <c r="AH319" s="4">
        <f t="shared" si="34"/>
        <v>1.64697457930541</v>
      </c>
    </row>
    <row r="320" spans="1:34">
      <c r="A320" s="2">
        <v>20260222</v>
      </c>
      <c r="B320" s="2" t="s">
        <v>685</v>
      </c>
      <c r="C320" s="2" t="s">
        <v>686</v>
      </c>
      <c r="D320" s="2">
        <v>1</v>
      </c>
      <c r="E320" s="2">
        <v>4</v>
      </c>
      <c r="F320" s="2">
        <v>0</v>
      </c>
      <c r="G320" s="2">
        <v>4</v>
      </c>
      <c r="H320" s="2">
        <v>10</v>
      </c>
      <c r="I320" s="3">
        <v>19</v>
      </c>
      <c r="J320" s="2">
        <v>1</v>
      </c>
      <c r="K320" s="2">
        <v>1</v>
      </c>
      <c r="L320" s="2">
        <v>0</v>
      </c>
      <c r="M320" s="2">
        <v>12</v>
      </c>
      <c r="N320" s="2">
        <v>0</v>
      </c>
      <c r="O320" s="2">
        <v>0</v>
      </c>
      <c r="P320" s="3">
        <v>16</v>
      </c>
      <c r="Q320" s="2">
        <v>0</v>
      </c>
      <c r="R320" s="2">
        <v>42</v>
      </c>
      <c r="S320" s="2">
        <v>1</v>
      </c>
      <c r="T320" s="2">
        <v>1</v>
      </c>
      <c r="U320" s="2">
        <v>1</v>
      </c>
      <c r="V320" s="2">
        <f t="shared" si="35"/>
        <v>49</v>
      </c>
      <c r="W320" s="2">
        <v>3</v>
      </c>
      <c r="X320" s="2">
        <v>12</v>
      </c>
      <c r="Y320" s="2">
        <v>0</v>
      </c>
      <c r="Z320" s="2">
        <f t="shared" si="39"/>
        <v>16</v>
      </c>
      <c r="AA320" s="2">
        <f t="shared" si="37"/>
        <v>65</v>
      </c>
      <c r="AB320" s="2">
        <v>2794</v>
      </c>
      <c r="AC320" s="20">
        <f t="shared" si="32"/>
        <v>2.32641374373658</v>
      </c>
      <c r="AD320" s="2" t="s">
        <v>676</v>
      </c>
      <c r="AE320" s="2">
        <v>188</v>
      </c>
      <c r="AF320" s="21">
        <f t="shared" si="33"/>
        <v>2.32641374373658</v>
      </c>
      <c r="AG320" s="4">
        <f t="shared" si="38"/>
        <v>1.75375805297065</v>
      </c>
      <c r="AH320" s="4">
        <f t="shared" si="34"/>
        <v>0.572655690765927</v>
      </c>
    </row>
    <row r="321" spans="1:34">
      <c r="A321" s="2">
        <v>20260222</v>
      </c>
      <c r="B321" s="2" t="s">
        <v>687</v>
      </c>
      <c r="C321" s="2" t="s">
        <v>688</v>
      </c>
      <c r="D321" s="2">
        <v>0</v>
      </c>
      <c r="E321" s="2">
        <v>4</v>
      </c>
      <c r="F321" s="2">
        <v>1</v>
      </c>
      <c r="G321" s="2">
        <v>1</v>
      </c>
      <c r="H321" s="2">
        <v>1</v>
      </c>
      <c r="I321" s="3">
        <v>7</v>
      </c>
      <c r="J321" s="2">
        <v>6</v>
      </c>
      <c r="K321" s="2">
        <v>1</v>
      </c>
      <c r="L321" s="2">
        <v>0</v>
      </c>
      <c r="M321" s="2">
        <v>2</v>
      </c>
      <c r="N321" s="2">
        <v>0</v>
      </c>
      <c r="O321" s="2">
        <v>0</v>
      </c>
      <c r="P321" s="3">
        <v>5</v>
      </c>
      <c r="Q321" s="2">
        <v>0</v>
      </c>
      <c r="R321" s="2">
        <v>29</v>
      </c>
      <c r="S321" s="2">
        <v>0</v>
      </c>
      <c r="T321" s="2">
        <v>0</v>
      </c>
      <c r="U321" s="2">
        <v>0</v>
      </c>
      <c r="V321" s="2">
        <f t="shared" si="35"/>
        <v>13</v>
      </c>
      <c r="W321" s="2">
        <v>5</v>
      </c>
      <c r="X321" s="2">
        <v>5</v>
      </c>
      <c r="Y321" s="2">
        <v>0</v>
      </c>
      <c r="Z321" s="2">
        <f t="shared" si="39"/>
        <v>10</v>
      </c>
      <c r="AA321" s="2">
        <f t="shared" si="37"/>
        <v>23</v>
      </c>
      <c r="AB321" s="2">
        <v>1416</v>
      </c>
      <c r="AC321" s="20">
        <f t="shared" si="32"/>
        <v>1.62429378531073</v>
      </c>
      <c r="AD321" s="2" t="s">
        <v>676</v>
      </c>
      <c r="AE321" s="2">
        <v>188</v>
      </c>
      <c r="AF321" s="21">
        <f t="shared" si="33"/>
        <v>1.62429378531073</v>
      </c>
      <c r="AG321" s="4">
        <f t="shared" si="38"/>
        <v>0.918079096045198</v>
      </c>
      <c r="AH321" s="4">
        <f t="shared" si="34"/>
        <v>0.706214689265537</v>
      </c>
    </row>
    <row r="322" spans="1:34">
      <c r="A322" s="2">
        <v>20260222</v>
      </c>
      <c r="B322" s="2" t="s">
        <v>689</v>
      </c>
      <c r="C322" s="2" t="s">
        <v>690</v>
      </c>
      <c r="D322" s="2">
        <v>1</v>
      </c>
      <c r="E322" s="2">
        <v>8</v>
      </c>
      <c r="F322" s="2">
        <v>1</v>
      </c>
      <c r="G322" s="2">
        <v>1</v>
      </c>
      <c r="H322" s="2">
        <v>5</v>
      </c>
      <c r="I322" s="3">
        <v>11</v>
      </c>
      <c r="J322" s="2">
        <v>39</v>
      </c>
      <c r="K322" s="2">
        <v>1</v>
      </c>
      <c r="L322" s="2">
        <v>0</v>
      </c>
      <c r="M322" s="2">
        <v>9</v>
      </c>
      <c r="N322" s="2">
        <v>9</v>
      </c>
      <c r="O322" s="2">
        <v>2</v>
      </c>
      <c r="P322" s="3">
        <v>12</v>
      </c>
      <c r="Q322" s="2">
        <v>1</v>
      </c>
      <c r="R322" s="2">
        <v>99</v>
      </c>
      <c r="S322" s="2">
        <v>2</v>
      </c>
      <c r="T322" s="2">
        <v>0</v>
      </c>
      <c r="U322" s="2">
        <v>0</v>
      </c>
      <c r="V322" s="2">
        <f t="shared" si="35"/>
        <v>63</v>
      </c>
      <c r="W322" s="2">
        <v>5</v>
      </c>
      <c r="X322" s="2">
        <v>10</v>
      </c>
      <c r="Y322" s="2">
        <v>0</v>
      </c>
      <c r="Z322" s="2">
        <f t="shared" si="39"/>
        <v>15</v>
      </c>
      <c r="AA322" s="2">
        <f t="shared" si="37"/>
        <v>78</v>
      </c>
      <c r="AB322" s="2">
        <v>2794</v>
      </c>
      <c r="AC322" s="20">
        <f t="shared" ref="AC322:AC385" si="40">AA322/AB322*100</f>
        <v>2.79169649248389</v>
      </c>
      <c r="AD322" s="2" t="s">
        <v>676</v>
      </c>
      <c r="AE322" s="2">
        <v>188</v>
      </c>
      <c r="AF322" s="21">
        <f t="shared" ref="AF322:AF385" si="41">188/AE322*AC322</f>
        <v>2.79169649248389</v>
      </c>
      <c r="AG322" s="4">
        <f t="shared" si="38"/>
        <v>2.25483178239084</v>
      </c>
      <c r="AH322" s="4">
        <f t="shared" ref="AH322:AH385" si="42">Z322/AB322*100</f>
        <v>0.536864710093057</v>
      </c>
    </row>
    <row r="323" spans="1:34">
      <c r="A323" s="2">
        <v>20260223</v>
      </c>
      <c r="B323" s="2" t="s">
        <v>691</v>
      </c>
      <c r="C323" s="2" t="s">
        <v>692</v>
      </c>
      <c r="D323" s="2">
        <v>1</v>
      </c>
      <c r="E323" s="2">
        <v>12</v>
      </c>
      <c r="F323" s="2">
        <v>1</v>
      </c>
      <c r="G323" s="2">
        <v>2</v>
      </c>
      <c r="H323" s="2">
        <v>3</v>
      </c>
      <c r="I323" s="3">
        <v>12</v>
      </c>
      <c r="J323" s="2">
        <v>52</v>
      </c>
      <c r="K323" s="2">
        <v>1</v>
      </c>
      <c r="L323" s="2">
        <v>0</v>
      </c>
      <c r="M323" s="2">
        <v>11</v>
      </c>
      <c r="N323" s="2">
        <v>11</v>
      </c>
      <c r="O323" s="2">
        <v>0</v>
      </c>
      <c r="P323" s="3">
        <v>10</v>
      </c>
      <c r="Q323" s="2">
        <v>0</v>
      </c>
      <c r="R323" s="2">
        <v>160</v>
      </c>
      <c r="S323" s="2">
        <v>0</v>
      </c>
      <c r="T323" s="2">
        <v>0</v>
      </c>
      <c r="U323" s="2">
        <v>2</v>
      </c>
      <c r="V323" s="2">
        <v>0</v>
      </c>
      <c r="W323" s="2">
        <v>4</v>
      </c>
      <c r="X323" s="2">
        <v>12</v>
      </c>
      <c r="Y323" s="2">
        <v>0</v>
      </c>
      <c r="Z323" s="2">
        <f t="shared" si="39"/>
        <v>18</v>
      </c>
      <c r="AA323" s="2">
        <f t="shared" si="37"/>
        <v>93</v>
      </c>
      <c r="AB323" s="2">
        <v>2794</v>
      </c>
      <c r="AC323" s="20">
        <f t="shared" si="40"/>
        <v>3.32856120257695</v>
      </c>
      <c r="AD323" s="2" t="s">
        <v>676</v>
      </c>
      <c r="AE323" s="2">
        <v>188</v>
      </c>
      <c r="AF323" s="21">
        <f t="shared" si="41"/>
        <v>3.32856120257695</v>
      </c>
      <c r="AG323" s="4">
        <f t="shared" si="38"/>
        <v>0</v>
      </c>
      <c r="AH323" s="4">
        <f t="shared" si="42"/>
        <v>0.644237652111668</v>
      </c>
    </row>
    <row r="324" spans="1:34">
      <c r="A324" s="2">
        <v>20260223</v>
      </c>
      <c r="B324" s="2" t="s">
        <v>693</v>
      </c>
      <c r="C324" s="2" t="s">
        <v>694</v>
      </c>
      <c r="D324" s="2">
        <v>1</v>
      </c>
      <c r="E324" s="2">
        <v>58</v>
      </c>
      <c r="F324" s="2">
        <v>0</v>
      </c>
      <c r="G324" s="2">
        <v>1</v>
      </c>
      <c r="H324" s="2">
        <v>7</v>
      </c>
      <c r="I324" s="3">
        <v>23</v>
      </c>
      <c r="J324" s="2">
        <v>46</v>
      </c>
      <c r="K324" s="2">
        <v>4</v>
      </c>
      <c r="L324" s="2">
        <v>0</v>
      </c>
      <c r="M324" s="2">
        <v>14</v>
      </c>
      <c r="N324" s="2">
        <v>18</v>
      </c>
      <c r="O324" s="2">
        <v>7</v>
      </c>
      <c r="P324" s="3">
        <v>19</v>
      </c>
      <c r="Q324" s="2">
        <v>2</v>
      </c>
      <c r="R324" s="2">
        <v>120</v>
      </c>
      <c r="S324" s="2">
        <v>0</v>
      </c>
      <c r="T324" s="2">
        <v>0</v>
      </c>
      <c r="U324" s="2">
        <v>0</v>
      </c>
      <c r="V324" s="2">
        <f t="shared" ref="V324:V351" si="43">AA324-Y324-X324-W324-U324</f>
        <v>84</v>
      </c>
      <c r="W324" s="2">
        <v>9</v>
      </c>
      <c r="X324" s="2">
        <v>21</v>
      </c>
      <c r="Y324" s="2">
        <v>0</v>
      </c>
      <c r="Z324" s="2">
        <f t="shared" si="39"/>
        <v>30</v>
      </c>
      <c r="AA324" s="2">
        <f t="shared" si="37"/>
        <v>114</v>
      </c>
      <c r="AB324" s="2">
        <v>2994</v>
      </c>
      <c r="AC324" s="20">
        <f t="shared" si="40"/>
        <v>3.80761523046092</v>
      </c>
      <c r="AD324" s="2" t="s">
        <v>676</v>
      </c>
      <c r="AE324" s="2">
        <v>188</v>
      </c>
      <c r="AF324" s="21">
        <f t="shared" si="41"/>
        <v>3.80761523046092</v>
      </c>
      <c r="AG324" s="4">
        <f t="shared" si="38"/>
        <v>2.80561122244489</v>
      </c>
      <c r="AH324" s="4">
        <f t="shared" si="42"/>
        <v>1.00200400801603</v>
      </c>
    </row>
    <row r="325" spans="1:34">
      <c r="A325" s="2">
        <v>20260223</v>
      </c>
      <c r="B325" s="8" t="s">
        <v>695</v>
      </c>
      <c r="C325" s="2" t="s">
        <v>696</v>
      </c>
      <c r="D325" s="2">
        <v>1</v>
      </c>
      <c r="E325" s="2">
        <v>24</v>
      </c>
      <c r="F325" s="2">
        <v>0</v>
      </c>
      <c r="G325" s="2">
        <v>6</v>
      </c>
      <c r="H325" s="2">
        <v>15</v>
      </c>
      <c r="I325" s="3">
        <v>12</v>
      </c>
      <c r="J325" s="2">
        <v>35</v>
      </c>
      <c r="K325" s="2">
        <v>4</v>
      </c>
      <c r="L325" s="2">
        <v>1</v>
      </c>
      <c r="M325" s="2">
        <v>25</v>
      </c>
      <c r="N325" s="2">
        <v>12</v>
      </c>
      <c r="O325" s="2">
        <v>0</v>
      </c>
      <c r="P325" s="3">
        <v>15</v>
      </c>
      <c r="Q325" s="2">
        <v>1</v>
      </c>
      <c r="R325" s="2">
        <v>180</v>
      </c>
      <c r="S325" s="2">
        <v>0</v>
      </c>
      <c r="T325" s="2">
        <v>2</v>
      </c>
      <c r="U325" s="2">
        <v>1</v>
      </c>
      <c r="V325" s="2">
        <f t="shared" si="43"/>
        <v>97</v>
      </c>
      <c r="W325" s="2">
        <v>13</v>
      </c>
      <c r="X325" s="2">
        <v>5</v>
      </c>
      <c r="Y325" s="2">
        <v>0</v>
      </c>
      <c r="Z325" s="2">
        <f t="shared" si="39"/>
        <v>19</v>
      </c>
      <c r="AA325" s="2">
        <f t="shared" si="37"/>
        <v>116</v>
      </c>
      <c r="AB325" s="2">
        <v>3294</v>
      </c>
      <c r="AC325" s="20">
        <f t="shared" si="40"/>
        <v>3.52155434122647</v>
      </c>
      <c r="AD325" s="2" t="s">
        <v>676</v>
      </c>
      <c r="AE325" s="2">
        <v>188</v>
      </c>
      <c r="AF325" s="21">
        <f t="shared" si="41"/>
        <v>3.52155434122647</v>
      </c>
      <c r="AG325" s="4">
        <f t="shared" si="38"/>
        <v>2.94474802671524</v>
      </c>
      <c r="AH325" s="4">
        <f t="shared" si="42"/>
        <v>0.576806314511233</v>
      </c>
    </row>
    <row r="326" spans="1:34">
      <c r="A326" s="2">
        <v>20260223</v>
      </c>
      <c r="B326" s="8" t="s">
        <v>697</v>
      </c>
      <c r="C326" s="2" t="s">
        <v>698</v>
      </c>
      <c r="D326" s="2">
        <v>0</v>
      </c>
      <c r="E326" s="2">
        <v>0</v>
      </c>
      <c r="F326" s="2">
        <v>3</v>
      </c>
      <c r="G326" s="2">
        <v>2</v>
      </c>
      <c r="H326" s="2">
        <v>4</v>
      </c>
      <c r="I326" s="3">
        <v>5</v>
      </c>
      <c r="J326" s="2">
        <v>3</v>
      </c>
      <c r="K326" s="2">
        <v>1</v>
      </c>
      <c r="L326" s="2">
        <v>0</v>
      </c>
      <c r="M326" s="2">
        <v>8</v>
      </c>
      <c r="N326" s="2">
        <v>15</v>
      </c>
      <c r="O326" s="2">
        <v>8</v>
      </c>
      <c r="P326" s="3">
        <v>3</v>
      </c>
      <c r="Q326" s="2">
        <v>21</v>
      </c>
      <c r="R326" s="2">
        <v>76</v>
      </c>
      <c r="S326" s="2">
        <v>0</v>
      </c>
      <c r="T326" s="2">
        <v>1</v>
      </c>
      <c r="U326" s="2">
        <v>0</v>
      </c>
      <c r="V326" s="2">
        <f t="shared" si="43"/>
        <v>18</v>
      </c>
      <c r="W326" s="2">
        <v>4</v>
      </c>
      <c r="X326" s="2">
        <v>5</v>
      </c>
      <c r="Y326" s="2">
        <v>0</v>
      </c>
      <c r="Z326" s="2">
        <f t="shared" si="39"/>
        <v>9</v>
      </c>
      <c r="AA326" s="2">
        <f t="shared" si="37"/>
        <v>27</v>
      </c>
      <c r="AB326" s="2">
        <v>1416</v>
      </c>
      <c r="AC326" s="20">
        <f t="shared" si="40"/>
        <v>1.90677966101695</v>
      </c>
      <c r="AD326" s="2" t="s">
        <v>676</v>
      </c>
      <c r="AE326" s="2">
        <v>188</v>
      </c>
      <c r="AF326" s="21">
        <f t="shared" si="41"/>
        <v>1.90677966101695</v>
      </c>
      <c r="AG326" s="4">
        <f t="shared" si="38"/>
        <v>1.27118644067797</v>
      </c>
      <c r="AH326" s="4">
        <f t="shared" si="42"/>
        <v>0.635593220338983</v>
      </c>
    </row>
    <row r="327" spans="1:34">
      <c r="A327" s="2">
        <v>20260223</v>
      </c>
      <c r="B327" s="8" t="s">
        <v>699</v>
      </c>
      <c r="C327" s="2" t="s">
        <v>700</v>
      </c>
      <c r="D327" s="2">
        <v>0</v>
      </c>
      <c r="E327" s="2">
        <v>2</v>
      </c>
      <c r="F327" s="2">
        <v>0</v>
      </c>
      <c r="G327" s="2">
        <v>0</v>
      </c>
      <c r="H327" s="2">
        <v>6</v>
      </c>
      <c r="I327" s="3">
        <v>9</v>
      </c>
      <c r="J327" s="2">
        <v>6</v>
      </c>
      <c r="K327" s="2">
        <v>3</v>
      </c>
      <c r="L327" s="2">
        <v>0</v>
      </c>
      <c r="M327" s="2">
        <v>4</v>
      </c>
      <c r="N327" s="2">
        <v>10</v>
      </c>
      <c r="O327" s="2">
        <v>0</v>
      </c>
      <c r="P327" s="3">
        <v>5</v>
      </c>
      <c r="Q327" s="2">
        <v>0</v>
      </c>
      <c r="R327" s="2">
        <v>17</v>
      </c>
      <c r="S327" s="2">
        <v>1</v>
      </c>
      <c r="T327" s="2">
        <v>2</v>
      </c>
      <c r="U327" s="2">
        <v>0</v>
      </c>
      <c r="V327" s="2">
        <f t="shared" si="43"/>
        <v>16</v>
      </c>
      <c r="W327" s="2">
        <v>13</v>
      </c>
      <c r="X327" s="2">
        <v>6</v>
      </c>
      <c r="Y327" s="2">
        <v>0</v>
      </c>
      <c r="Z327" s="2">
        <f t="shared" si="39"/>
        <v>19</v>
      </c>
      <c r="AA327" s="2">
        <f t="shared" si="37"/>
        <v>35</v>
      </c>
      <c r="AB327" s="2">
        <v>2065</v>
      </c>
      <c r="AC327" s="20">
        <f t="shared" si="40"/>
        <v>1.69491525423729</v>
      </c>
      <c r="AD327" s="2" t="s">
        <v>257</v>
      </c>
      <c r="AE327" s="2">
        <v>188</v>
      </c>
      <c r="AF327" s="21">
        <f t="shared" si="41"/>
        <v>1.69491525423729</v>
      </c>
      <c r="AG327" s="4">
        <f t="shared" si="38"/>
        <v>0.774818401937046</v>
      </c>
      <c r="AH327" s="4">
        <f t="shared" si="42"/>
        <v>0.920096852300242</v>
      </c>
    </row>
    <row r="328" spans="1:34">
      <c r="A328" s="2">
        <v>20260223</v>
      </c>
      <c r="B328" s="8" t="s">
        <v>701</v>
      </c>
      <c r="C328" s="2" t="s">
        <v>702</v>
      </c>
      <c r="D328" s="2">
        <v>0</v>
      </c>
      <c r="E328" s="2">
        <v>1</v>
      </c>
      <c r="F328" s="2">
        <v>6</v>
      </c>
      <c r="G328" s="2">
        <v>3</v>
      </c>
      <c r="H328" s="2">
        <v>8</v>
      </c>
      <c r="I328" s="3">
        <v>19</v>
      </c>
      <c r="J328" s="2">
        <v>19</v>
      </c>
      <c r="K328" s="2">
        <v>0</v>
      </c>
      <c r="L328" s="2">
        <v>1</v>
      </c>
      <c r="M328" s="2">
        <v>12</v>
      </c>
      <c r="N328" s="2">
        <v>29</v>
      </c>
      <c r="O328" s="2">
        <v>20</v>
      </c>
      <c r="P328" s="3">
        <v>8</v>
      </c>
      <c r="Q328" s="2">
        <v>15</v>
      </c>
      <c r="R328" s="2">
        <v>12</v>
      </c>
      <c r="S328" s="2">
        <v>0</v>
      </c>
      <c r="T328" s="2">
        <v>2</v>
      </c>
      <c r="U328" s="2">
        <v>0</v>
      </c>
      <c r="V328" s="2">
        <f t="shared" si="43"/>
        <v>59</v>
      </c>
      <c r="W328" s="2">
        <v>13</v>
      </c>
      <c r="X328" s="2">
        <v>0</v>
      </c>
      <c r="Y328" s="2">
        <v>0</v>
      </c>
      <c r="Z328" s="2">
        <f t="shared" si="39"/>
        <v>13</v>
      </c>
      <c r="AA328" s="2">
        <f t="shared" si="37"/>
        <v>72</v>
      </c>
      <c r="AB328" s="2">
        <v>2065</v>
      </c>
      <c r="AC328" s="20">
        <f t="shared" si="40"/>
        <v>3.48668280871671</v>
      </c>
      <c r="AD328" s="2" t="s">
        <v>257</v>
      </c>
      <c r="AE328" s="2">
        <v>188</v>
      </c>
      <c r="AF328" s="21">
        <f t="shared" si="41"/>
        <v>3.48668280871671</v>
      </c>
      <c r="AG328" s="4">
        <f t="shared" si="38"/>
        <v>2.85714285714286</v>
      </c>
      <c r="AH328" s="4">
        <f t="shared" si="42"/>
        <v>0.62953995157385</v>
      </c>
    </row>
    <row r="329" spans="1:34">
      <c r="A329" s="2">
        <v>20260223</v>
      </c>
      <c r="B329" s="8" t="s">
        <v>703</v>
      </c>
      <c r="C329" s="2" t="s">
        <v>704</v>
      </c>
      <c r="D329" s="2">
        <v>1</v>
      </c>
      <c r="E329" s="2">
        <v>6</v>
      </c>
      <c r="F329" s="2">
        <v>1</v>
      </c>
      <c r="G329" s="2">
        <v>5</v>
      </c>
      <c r="H329" s="2">
        <v>11</v>
      </c>
      <c r="I329" s="3">
        <v>6</v>
      </c>
      <c r="J329" s="2">
        <v>11</v>
      </c>
      <c r="K329" s="2">
        <v>1</v>
      </c>
      <c r="L329" s="2">
        <v>0</v>
      </c>
      <c r="M329" s="2">
        <v>9</v>
      </c>
      <c r="N329" s="2">
        <v>8</v>
      </c>
      <c r="O329" s="2">
        <v>0</v>
      </c>
      <c r="P329" s="3">
        <v>8</v>
      </c>
      <c r="Q329" s="2">
        <v>4</v>
      </c>
      <c r="R329" s="2">
        <v>14</v>
      </c>
      <c r="S329" s="2">
        <v>1</v>
      </c>
      <c r="T329" s="2">
        <v>0</v>
      </c>
      <c r="U329" s="2">
        <v>0</v>
      </c>
      <c r="V329" s="2">
        <f t="shared" si="43"/>
        <v>21</v>
      </c>
      <c r="W329" s="2">
        <v>26</v>
      </c>
      <c r="X329" s="2">
        <v>4</v>
      </c>
      <c r="Y329" s="2">
        <v>0</v>
      </c>
      <c r="Z329" s="2">
        <f t="shared" si="39"/>
        <v>30</v>
      </c>
      <c r="AA329" s="2">
        <f t="shared" si="37"/>
        <v>51</v>
      </c>
      <c r="AB329" s="2">
        <v>2065</v>
      </c>
      <c r="AC329" s="20">
        <f t="shared" si="40"/>
        <v>2.46973365617433</v>
      </c>
      <c r="AD329" s="2" t="s">
        <v>257</v>
      </c>
      <c r="AE329" s="2">
        <v>188</v>
      </c>
      <c r="AF329" s="21">
        <f t="shared" si="41"/>
        <v>2.46973365617433</v>
      </c>
      <c r="AG329" s="4">
        <f t="shared" si="38"/>
        <v>1.01694915254237</v>
      </c>
      <c r="AH329" s="4">
        <f t="shared" si="42"/>
        <v>1.45278450363196</v>
      </c>
    </row>
    <row r="330" spans="1:34">
      <c r="A330" s="2">
        <v>20260223</v>
      </c>
      <c r="B330" s="8" t="s">
        <v>705</v>
      </c>
      <c r="C330" s="2" t="s">
        <v>706</v>
      </c>
      <c r="D330" s="2">
        <v>0</v>
      </c>
      <c r="E330" s="2">
        <v>1</v>
      </c>
      <c r="F330" s="2">
        <v>0</v>
      </c>
      <c r="G330" s="2">
        <v>5</v>
      </c>
      <c r="H330" s="2">
        <v>7</v>
      </c>
      <c r="I330" s="3">
        <v>4</v>
      </c>
      <c r="J330" s="2">
        <v>21</v>
      </c>
      <c r="K330" s="2">
        <v>0</v>
      </c>
      <c r="L330" s="2">
        <v>0</v>
      </c>
      <c r="M330" s="2">
        <v>8</v>
      </c>
      <c r="N330" s="2">
        <v>8</v>
      </c>
      <c r="O330" s="2">
        <v>2</v>
      </c>
      <c r="P330" s="3">
        <v>15</v>
      </c>
      <c r="Q330" s="2">
        <v>1</v>
      </c>
      <c r="R330" s="2">
        <v>11</v>
      </c>
      <c r="S330" s="2">
        <v>0</v>
      </c>
      <c r="T330" s="2">
        <v>2</v>
      </c>
      <c r="U330" s="2">
        <v>0</v>
      </c>
      <c r="V330" s="2">
        <f t="shared" si="43"/>
        <v>32</v>
      </c>
      <c r="W330" s="2">
        <v>28</v>
      </c>
      <c r="X330" s="2">
        <v>2</v>
      </c>
      <c r="Y330" s="2">
        <v>0</v>
      </c>
      <c r="Z330" s="2">
        <f t="shared" si="39"/>
        <v>30</v>
      </c>
      <c r="AA330" s="2">
        <f t="shared" si="37"/>
        <v>62</v>
      </c>
      <c r="AB330" s="2">
        <v>2065</v>
      </c>
      <c r="AC330" s="20">
        <f t="shared" si="40"/>
        <v>3.00242130750605</v>
      </c>
      <c r="AD330" s="2" t="s">
        <v>257</v>
      </c>
      <c r="AE330" s="2">
        <v>188</v>
      </c>
      <c r="AF330" s="21">
        <f t="shared" si="41"/>
        <v>3.00242130750605</v>
      </c>
      <c r="AG330" s="4">
        <f t="shared" si="38"/>
        <v>1.54963680387409</v>
      </c>
      <c r="AH330" s="4">
        <f t="shared" si="42"/>
        <v>1.45278450363196</v>
      </c>
    </row>
    <row r="331" spans="1:34">
      <c r="A331" s="2">
        <v>20260223</v>
      </c>
      <c r="B331" s="8" t="s">
        <v>707</v>
      </c>
      <c r="C331" s="2" t="s">
        <v>708</v>
      </c>
      <c r="D331" s="2">
        <v>0</v>
      </c>
      <c r="E331" s="2">
        <v>139</v>
      </c>
      <c r="F331" s="2">
        <v>0</v>
      </c>
      <c r="G331" s="2">
        <v>7</v>
      </c>
      <c r="H331" s="2">
        <v>41</v>
      </c>
      <c r="I331" s="3">
        <v>15</v>
      </c>
      <c r="J331" s="2">
        <v>65</v>
      </c>
      <c r="K331" s="2">
        <v>10</v>
      </c>
      <c r="L331" s="2">
        <v>0</v>
      </c>
      <c r="M331" s="2">
        <v>19</v>
      </c>
      <c r="N331" s="2">
        <v>10</v>
      </c>
      <c r="O331" s="2">
        <v>0</v>
      </c>
      <c r="P331" s="3">
        <v>16</v>
      </c>
      <c r="Q331" s="2">
        <v>4</v>
      </c>
      <c r="R331" s="2">
        <v>525</v>
      </c>
      <c r="S331" s="2">
        <v>18</v>
      </c>
      <c r="T331" s="2">
        <v>8</v>
      </c>
      <c r="U331" s="2">
        <v>0</v>
      </c>
      <c r="V331" s="2">
        <f t="shared" si="43"/>
        <v>177</v>
      </c>
      <c r="W331" s="2">
        <v>3</v>
      </c>
      <c r="X331" s="2">
        <v>1</v>
      </c>
      <c r="Y331" s="2">
        <v>0</v>
      </c>
      <c r="Z331" s="2">
        <f t="shared" si="39"/>
        <v>4</v>
      </c>
      <c r="AA331" s="2">
        <f t="shared" si="37"/>
        <v>181</v>
      </c>
      <c r="AB331" s="2">
        <v>2735</v>
      </c>
      <c r="AC331" s="20">
        <f t="shared" si="40"/>
        <v>6.61791590493601</v>
      </c>
      <c r="AD331" s="2" t="s">
        <v>257</v>
      </c>
      <c r="AE331" s="2">
        <v>188</v>
      </c>
      <c r="AF331" s="21">
        <f t="shared" si="41"/>
        <v>6.61791590493601</v>
      </c>
      <c r="AG331" s="4">
        <f t="shared" si="38"/>
        <v>6.47166361974406</v>
      </c>
      <c r="AH331" s="4">
        <f t="shared" si="42"/>
        <v>0.146252285191956</v>
      </c>
    </row>
    <row r="332" spans="1:34">
      <c r="A332" s="2">
        <v>20260223</v>
      </c>
      <c r="B332" s="8" t="s">
        <v>709</v>
      </c>
      <c r="C332" s="2" t="s">
        <v>710</v>
      </c>
      <c r="D332" s="2">
        <v>0</v>
      </c>
      <c r="E332" s="2">
        <v>4</v>
      </c>
      <c r="F332" s="2">
        <v>2</v>
      </c>
      <c r="G332" s="2">
        <v>2</v>
      </c>
      <c r="H332" s="2">
        <v>7</v>
      </c>
      <c r="I332" s="3">
        <v>16</v>
      </c>
      <c r="J332" s="2">
        <v>13</v>
      </c>
      <c r="K332" s="2">
        <v>0</v>
      </c>
      <c r="L332" s="2">
        <v>0</v>
      </c>
      <c r="M332" s="2">
        <v>5</v>
      </c>
      <c r="N332" s="2">
        <v>14</v>
      </c>
      <c r="O332" s="2">
        <v>3</v>
      </c>
      <c r="P332" s="3">
        <v>6</v>
      </c>
      <c r="Q332" s="2">
        <v>3</v>
      </c>
      <c r="R332" s="2">
        <v>171</v>
      </c>
      <c r="S332" s="2">
        <v>0</v>
      </c>
      <c r="T332" s="2">
        <v>6</v>
      </c>
      <c r="U332" s="2">
        <v>1</v>
      </c>
      <c r="V332" s="2">
        <f t="shared" si="43"/>
        <v>50</v>
      </c>
      <c r="W332" s="2">
        <v>0</v>
      </c>
      <c r="X332" s="2">
        <v>5</v>
      </c>
      <c r="Y332" s="2">
        <v>0</v>
      </c>
      <c r="Z332" s="2">
        <f t="shared" si="39"/>
        <v>6</v>
      </c>
      <c r="AA332" s="2">
        <f t="shared" si="37"/>
        <v>56</v>
      </c>
      <c r="AB332" s="2">
        <v>1638</v>
      </c>
      <c r="AC332" s="20">
        <f t="shared" si="40"/>
        <v>3.41880341880342</v>
      </c>
      <c r="AD332" s="2" t="s">
        <v>676</v>
      </c>
      <c r="AE332" s="2">
        <v>175</v>
      </c>
      <c r="AF332" s="21">
        <f t="shared" si="41"/>
        <v>3.67277167277167</v>
      </c>
      <c r="AG332" s="4">
        <f t="shared" si="38"/>
        <v>3.05250305250305</v>
      </c>
      <c r="AH332" s="4">
        <f t="shared" si="42"/>
        <v>0.366300366300366</v>
      </c>
    </row>
    <row r="333" spans="1:34">
      <c r="A333" s="2">
        <v>20260223</v>
      </c>
      <c r="B333" s="8" t="s">
        <v>711</v>
      </c>
      <c r="C333" s="2" t="s">
        <v>712</v>
      </c>
      <c r="D333" s="2">
        <v>1</v>
      </c>
      <c r="E333" s="2">
        <v>9</v>
      </c>
      <c r="F333" s="2">
        <v>1</v>
      </c>
      <c r="G333" s="2">
        <v>3</v>
      </c>
      <c r="H333" s="2">
        <v>9</v>
      </c>
      <c r="I333" s="3">
        <v>13</v>
      </c>
      <c r="J333" s="2">
        <v>15</v>
      </c>
      <c r="K333" s="2">
        <v>0</v>
      </c>
      <c r="L333" s="2">
        <v>2</v>
      </c>
      <c r="M333" s="2">
        <v>6</v>
      </c>
      <c r="N333" s="2">
        <v>27</v>
      </c>
      <c r="O333" s="2">
        <v>1</v>
      </c>
      <c r="P333" s="3">
        <v>8</v>
      </c>
      <c r="Q333" s="2">
        <v>2</v>
      </c>
      <c r="R333" s="2">
        <v>487</v>
      </c>
      <c r="S333" s="2">
        <v>0</v>
      </c>
      <c r="T333" s="2">
        <v>2</v>
      </c>
      <c r="U333" s="2">
        <v>0</v>
      </c>
      <c r="V333" s="2">
        <f t="shared" si="43"/>
        <v>58</v>
      </c>
      <c r="W333" s="2">
        <v>0</v>
      </c>
      <c r="X333" s="2">
        <v>0</v>
      </c>
      <c r="Y333" s="2">
        <v>0</v>
      </c>
      <c r="Z333" s="2">
        <f t="shared" si="39"/>
        <v>0</v>
      </c>
      <c r="AA333" s="2">
        <f t="shared" si="37"/>
        <v>58</v>
      </c>
      <c r="AB333" s="2">
        <v>2796</v>
      </c>
      <c r="AC333" s="20">
        <f t="shared" si="40"/>
        <v>2.07439198855508</v>
      </c>
      <c r="AD333" s="2" t="s">
        <v>676</v>
      </c>
      <c r="AE333" s="2">
        <v>175</v>
      </c>
      <c r="AF333" s="21">
        <f t="shared" si="41"/>
        <v>2.22848967913346</v>
      </c>
      <c r="AG333" s="4">
        <f t="shared" si="38"/>
        <v>2.07439198855508</v>
      </c>
      <c r="AH333" s="4">
        <f t="shared" si="42"/>
        <v>0</v>
      </c>
    </row>
    <row r="334" spans="1:34">
      <c r="A334" s="2">
        <v>20260223</v>
      </c>
      <c r="B334" s="8" t="s">
        <v>713</v>
      </c>
      <c r="C334" s="2" t="s">
        <v>714</v>
      </c>
      <c r="D334" s="2">
        <v>2</v>
      </c>
      <c r="E334" s="2">
        <v>5457</v>
      </c>
      <c r="F334" s="2">
        <v>1299</v>
      </c>
      <c r="G334" s="2">
        <v>0</v>
      </c>
      <c r="H334" s="2">
        <v>426</v>
      </c>
      <c r="I334" s="3">
        <v>29</v>
      </c>
      <c r="J334" s="2">
        <v>4562</v>
      </c>
      <c r="K334" s="2">
        <v>2</v>
      </c>
      <c r="L334" s="2">
        <v>0</v>
      </c>
      <c r="M334" s="2">
        <v>6</v>
      </c>
      <c r="N334" s="2">
        <v>3770</v>
      </c>
      <c r="O334" s="2">
        <v>2</v>
      </c>
      <c r="P334" s="3">
        <v>12</v>
      </c>
      <c r="Q334" s="2">
        <v>72</v>
      </c>
      <c r="R334" s="2">
        <v>745</v>
      </c>
      <c r="S334" s="2">
        <v>1</v>
      </c>
      <c r="T334" s="2">
        <v>4926</v>
      </c>
      <c r="U334" s="2">
        <v>0</v>
      </c>
      <c r="V334" s="2">
        <f t="shared" si="43"/>
        <v>9963</v>
      </c>
      <c r="W334" s="2">
        <v>0</v>
      </c>
      <c r="X334" s="2">
        <v>0</v>
      </c>
      <c r="Y334" s="2">
        <v>0</v>
      </c>
      <c r="Z334" s="2">
        <f t="shared" si="39"/>
        <v>0</v>
      </c>
      <c r="AA334" s="2">
        <f t="shared" si="37"/>
        <v>9963</v>
      </c>
      <c r="AB334" s="2">
        <v>2806</v>
      </c>
      <c r="AC334" s="20">
        <f t="shared" si="40"/>
        <v>355.060584461867</v>
      </c>
      <c r="AD334" s="2" t="s">
        <v>676</v>
      </c>
      <c r="AE334" s="2">
        <v>175</v>
      </c>
      <c r="AF334" s="21">
        <f t="shared" si="41"/>
        <v>381.43651359332</v>
      </c>
      <c r="AG334" s="4">
        <f t="shared" si="38"/>
        <v>355.060584461867</v>
      </c>
      <c r="AH334" s="4">
        <f t="shared" si="42"/>
        <v>0</v>
      </c>
    </row>
    <row r="335" ht="11" customHeight="1" spans="1:34">
      <c r="A335" s="2">
        <v>20260223</v>
      </c>
      <c r="B335" s="2" t="s">
        <v>715</v>
      </c>
      <c r="C335" s="2" t="s">
        <v>716</v>
      </c>
      <c r="D335" s="2">
        <v>0</v>
      </c>
      <c r="E335" s="2">
        <v>0</v>
      </c>
      <c r="F335" s="2">
        <v>1</v>
      </c>
      <c r="G335" s="2">
        <v>5</v>
      </c>
      <c r="H335" s="2">
        <v>3</v>
      </c>
      <c r="I335" s="3">
        <v>13</v>
      </c>
      <c r="J335" s="2">
        <v>0</v>
      </c>
      <c r="K335" s="2">
        <v>0</v>
      </c>
      <c r="L335" s="2">
        <v>0</v>
      </c>
      <c r="M335" s="2">
        <v>7</v>
      </c>
      <c r="N335" s="2">
        <v>1</v>
      </c>
      <c r="O335" s="2">
        <v>0</v>
      </c>
      <c r="P335" s="3">
        <v>4</v>
      </c>
      <c r="Q335" s="2">
        <v>0</v>
      </c>
      <c r="R335" s="2">
        <v>36</v>
      </c>
      <c r="S335" s="2">
        <v>1</v>
      </c>
      <c r="T335" s="2">
        <v>3</v>
      </c>
      <c r="U335" s="2">
        <v>0</v>
      </c>
      <c r="V335" s="2">
        <f t="shared" si="43"/>
        <v>31</v>
      </c>
      <c r="W335" s="2">
        <v>0</v>
      </c>
      <c r="X335" s="2">
        <v>4</v>
      </c>
      <c r="Y335" s="2">
        <v>0</v>
      </c>
      <c r="Z335" s="2">
        <f t="shared" si="39"/>
        <v>4</v>
      </c>
      <c r="AA335" s="2">
        <f t="shared" si="37"/>
        <v>35</v>
      </c>
      <c r="AB335" s="2">
        <v>2104</v>
      </c>
      <c r="AC335" s="20">
        <f t="shared" si="40"/>
        <v>1.66349809885932</v>
      </c>
      <c r="AD335" s="2" t="s">
        <v>83</v>
      </c>
      <c r="AE335" s="2">
        <v>125</v>
      </c>
      <c r="AF335" s="21">
        <f t="shared" si="41"/>
        <v>2.50190114068441</v>
      </c>
      <c r="AG335" s="4">
        <f t="shared" si="38"/>
        <v>1.47338403041825</v>
      </c>
      <c r="AH335" s="4">
        <f t="shared" si="42"/>
        <v>0.190114068441065</v>
      </c>
    </row>
    <row r="336" spans="1:34">
      <c r="A336" s="2">
        <v>20260223</v>
      </c>
      <c r="B336" s="2" t="s">
        <v>717</v>
      </c>
      <c r="C336" s="2" t="s">
        <v>718</v>
      </c>
      <c r="D336" s="2">
        <v>0</v>
      </c>
      <c r="E336" s="2">
        <v>5</v>
      </c>
      <c r="F336" s="2">
        <v>0</v>
      </c>
      <c r="G336" s="2">
        <v>1</v>
      </c>
      <c r="H336" s="2">
        <v>6</v>
      </c>
      <c r="I336" s="3">
        <v>14</v>
      </c>
      <c r="J336" s="2">
        <v>3</v>
      </c>
      <c r="K336" s="2">
        <v>0</v>
      </c>
      <c r="L336" s="2">
        <v>0</v>
      </c>
      <c r="M336" s="2">
        <v>6</v>
      </c>
      <c r="N336" s="2">
        <v>5</v>
      </c>
      <c r="O336" s="2">
        <v>0</v>
      </c>
      <c r="P336" s="3">
        <v>10</v>
      </c>
      <c r="Q336" s="2">
        <v>1</v>
      </c>
      <c r="R336" s="2">
        <v>37</v>
      </c>
      <c r="S336" s="2">
        <v>1</v>
      </c>
      <c r="T336" s="2">
        <v>2</v>
      </c>
      <c r="U336" s="2">
        <v>0</v>
      </c>
      <c r="V336" s="2">
        <f t="shared" si="43"/>
        <v>41</v>
      </c>
      <c r="W336" s="2">
        <v>0</v>
      </c>
      <c r="X336" s="2">
        <v>1</v>
      </c>
      <c r="Y336" s="2">
        <v>0</v>
      </c>
      <c r="Z336" s="2">
        <f t="shared" si="39"/>
        <v>1</v>
      </c>
      <c r="AA336" s="2">
        <f t="shared" si="37"/>
        <v>42</v>
      </c>
      <c r="AB336" s="2">
        <v>2223</v>
      </c>
      <c r="AC336" s="20">
        <f t="shared" si="40"/>
        <v>1.88933873144399</v>
      </c>
      <c r="AD336" s="2" t="s">
        <v>83</v>
      </c>
      <c r="AE336" s="2">
        <v>125</v>
      </c>
      <c r="AF336" s="21">
        <f t="shared" si="41"/>
        <v>2.84156545209177</v>
      </c>
      <c r="AG336" s="4">
        <f t="shared" si="38"/>
        <v>1.84435447593342</v>
      </c>
      <c r="AH336" s="4">
        <f t="shared" si="42"/>
        <v>0.0449842555105713</v>
      </c>
    </row>
    <row r="337" spans="1:34">
      <c r="A337" s="2">
        <v>20260223</v>
      </c>
      <c r="B337" s="2" t="s">
        <v>719</v>
      </c>
      <c r="C337" s="2" t="s">
        <v>720</v>
      </c>
      <c r="D337" s="2">
        <v>0</v>
      </c>
      <c r="E337" s="2">
        <v>6</v>
      </c>
      <c r="F337" s="2">
        <v>0</v>
      </c>
      <c r="G337" s="2">
        <v>3</v>
      </c>
      <c r="H337" s="2">
        <v>5</v>
      </c>
      <c r="I337" s="3">
        <v>9</v>
      </c>
      <c r="J337" s="2">
        <v>0</v>
      </c>
      <c r="K337" s="2">
        <v>1</v>
      </c>
      <c r="L337" s="2">
        <v>0</v>
      </c>
      <c r="M337" s="2">
        <v>3</v>
      </c>
      <c r="N337" s="2">
        <v>6</v>
      </c>
      <c r="O337" s="2">
        <v>0</v>
      </c>
      <c r="P337" s="3">
        <v>6</v>
      </c>
      <c r="Q337" s="2">
        <v>0</v>
      </c>
      <c r="R337" s="2">
        <v>381</v>
      </c>
      <c r="S337" s="2">
        <v>1</v>
      </c>
      <c r="T337" s="2">
        <v>2</v>
      </c>
      <c r="U337" s="2">
        <v>0</v>
      </c>
      <c r="V337" s="2">
        <f t="shared" si="43"/>
        <v>29</v>
      </c>
      <c r="W337" s="2">
        <v>0</v>
      </c>
      <c r="X337" s="2">
        <v>0</v>
      </c>
      <c r="Y337" s="2">
        <v>0</v>
      </c>
      <c r="Z337" s="2">
        <f t="shared" si="39"/>
        <v>0</v>
      </c>
      <c r="AA337" s="2">
        <f t="shared" si="37"/>
        <v>29</v>
      </c>
      <c r="AB337" s="2">
        <v>2104</v>
      </c>
      <c r="AC337" s="20">
        <f t="shared" si="40"/>
        <v>1.37832699619772</v>
      </c>
      <c r="AD337" s="2" t="s">
        <v>83</v>
      </c>
      <c r="AE337" s="2">
        <v>125</v>
      </c>
      <c r="AF337" s="21">
        <f t="shared" si="41"/>
        <v>2.07300380228137</v>
      </c>
      <c r="AG337" s="4">
        <f t="shared" si="38"/>
        <v>1.37832699619772</v>
      </c>
      <c r="AH337" s="4">
        <f t="shared" si="42"/>
        <v>0</v>
      </c>
    </row>
    <row r="338" spans="1:34">
      <c r="A338" s="2">
        <v>20260223</v>
      </c>
      <c r="B338" s="2" t="s">
        <v>721</v>
      </c>
      <c r="C338" s="2" t="s">
        <v>722</v>
      </c>
      <c r="D338" s="2">
        <v>1</v>
      </c>
      <c r="E338" s="2">
        <v>47</v>
      </c>
      <c r="F338" s="2">
        <v>8</v>
      </c>
      <c r="G338" s="2">
        <v>3</v>
      </c>
      <c r="H338" s="2">
        <v>4</v>
      </c>
      <c r="I338" s="3">
        <v>32</v>
      </c>
      <c r="J338" s="2">
        <v>7</v>
      </c>
      <c r="K338" s="2">
        <v>4</v>
      </c>
      <c r="L338" s="2">
        <v>0</v>
      </c>
      <c r="M338" s="2">
        <v>6</v>
      </c>
      <c r="N338" s="2">
        <v>17</v>
      </c>
      <c r="O338" s="2">
        <v>27</v>
      </c>
      <c r="P338" s="3">
        <v>15</v>
      </c>
      <c r="Q338" s="2">
        <v>2</v>
      </c>
      <c r="R338" s="2">
        <v>166</v>
      </c>
      <c r="S338" s="2">
        <v>1</v>
      </c>
      <c r="T338" s="2">
        <v>5</v>
      </c>
      <c r="U338" s="2">
        <v>1</v>
      </c>
      <c r="V338" s="2">
        <f t="shared" si="43"/>
        <v>71</v>
      </c>
      <c r="W338" s="2">
        <v>0</v>
      </c>
      <c r="X338" s="2">
        <v>5</v>
      </c>
      <c r="Y338" s="2">
        <v>0</v>
      </c>
      <c r="Z338" s="2">
        <f t="shared" si="39"/>
        <v>6</v>
      </c>
      <c r="AA338" s="2">
        <f t="shared" si="37"/>
        <v>77</v>
      </c>
      <c r="AB338" s="2">
        <v>4611</v>
      </c>
      <c r="AC338" s="20">
        <f t="shared" si="40"/>
        <v>1.66991975710258</v>
      </c>
      <c r="AD338" s="2" t="s">
        <v>83</v>
      </c>
      <c r="AE338" s="2">
        <v>125</v>
      </c>
      <c r="AF338" s="21">
        <f t="shared" si="41"/>
        <v>2.51155931468228</v>
      </c>
      <c r="AG338" s="4">
        <f t="shared" si="38"/>
        <v>1.53979613966602</v>
      </c>
      <c r="AH338" s="4">
        <f t="shared" si="42"/>
        <v>0.130123617436565</v>
      </c>
    </row>
    <row r="339" spans="1:34">
      <c r="A339" s="2">
        <v>20260223</v>
      </c>
      <c r="B339" s="2" t="s">
        <v>723</v>
      </c>
      <c r="C339" s="2" t="s">
        <v>724</v>
      </c>
      <c r="D339" s="2">
        <v>8</v>
      </c>
      <c r="E339" s="2">
        <v>13</v>
      </c>
      <c r="F339" s="2">
        <v>8</v>
      </c>
      <c r="G339" s="2">
        <v>9</v>
      </c>
      <c r="H339" s="2">
        <v>10</v>
      </c>
      <c r="I339" s="3">
        <v>21</v>
      </c>
      <c r="J339" s="2">
        <v>11</v>
      </c>
      <c r="K339" s="2">
        <v>14</v>
      </c>
      <c r="L339" s="2">
        <v>2</v>
      </c>
      <c r="M339" s="2">
        <v>12</v>
      </c>
      <c r="N339" s="2">
        <v>18</v>
      </c>
      <c r="O339" s="2">
        <v>29</v>
      </c>
      <c r="P339" s="3">
        <v>26</v>
      </c>
      <c r="Q339" s="2">
        <v>8</v>
      </c>
      <c r="R339" s="2">
        <v>99</v>
      </c>
      <c r="S339" s="2">
        <v>6</v>
      </c>
      <c r="T339" s="2">
        <v>8</v>
      </c>
      <c r="U339" s="2">
        <v>1</v>
      </c>
      <c r="V339" s="2">
        <f t="shared" si="43"/>
        <v>105</v>
      </c>
      <c r="W339" s="2">
        <v>4</v>
      </c>
      <c r="X339" s="2">
        <v>4</v>
      </c>
      <c r="Y339" s="2">
        <v>0</v>
      </c>
      <c r="Z339" s="2">
        <f t="shared" si="39"/>
        <v>9</v>
      </c>
      <c r="AA339" s="2">
        <f t="shared" si="37"/>
        <v>114</v>
      </c>
      <c r="AB339" s="2">
        <v>4731</v>
      </c>
      <c r="AC339" s="20">
        <f t="shared" si="40"/>
        <v>2.40963855421687</v>
      </c>
      <c r="AD339" s="2" t="s">
        <v>83</v>
      </c>
      <c r="AE339" s="2">
        <v>125</v>
      </c>
      <c r="AF339" s="21">
        <f t="shared" si="41"/>
        <v>3.62409638554217</v>
      </c>
      <c r="AG339" s="4">
        <f t="shared" si="38"/>
        <v>2.21940393151554</v>
      </c>
      <c r="AH339" s="4">
        <f t="shared" si="42"/>
        <v>0.190234622701332</v>
      </c>
    </row>
    <row r="340" spans="1:34">
      <c r="A340" s="2">
        <v>20260223</v>
      </c>
      <c r="B340" s="2" t="s">
        <v>725</v>
      </c>
      <c r="C340" s="2" t="s">
        <v>726</v>
      </c>
      <c r="D340" s="2">
        <v>0</v>
      </c>
      <c r="E340" s="2">
        <v>1</v>
      </c>
      <c r="F340" s="2">
        <v>0</v>
      </c>
      <c r="G340" s="2">
        <v>3</v>
      </c>
      <c r="H340" s="2">
        <v>4</v>
      </c>
      <c r="I340" s="3">
        <v>21</v>
      </c>
      <c r="J340" s="2">
        <v>5</v>
      </c>
      <c r="K340" s="2">
        <v>1</v>
      </c>
      <c r="L340" s="2">
        <v>0</v>
      </c>
      <c r="M340" s="2">
        <v>4</v>
      </c>
      <c r="N340" s="2">
        <v>7</v>
      </c>
      <c r="O340" s="2">
        <v>1</v>
      </c>
      <c r="P340" s="3">
        <v>10</v>
      </c>
      <c r="Q340" s="2">
        <v>4</v>
      </c>
      <c r="R340" s="2">
        <v>84</v>
      </c>
      <c r="S340" s="2">
        <v>4</v>
      </c>
      <c r="T340" s="2">
        <v>8</v>
      </c>
      <c r="U340" s="2">
        <v>0</v>
      </c>
      <c r="V340" s="2">
        <f t="shared" si="43"/>
        <v>47</v>
      </c>
      <c r="W340" s="2">
        <v>1</v>
      </c>
      <c r="X340" s="2">
        <v>8</v>
      </c>
      <c r="Y340" s="2">
        <v>0</v>
      </c>
      <c r="Z340" s="2">
        <f t="shared" si="39"/>
        <v>9</v>
      </c>
      <c r="AA340" s="2">
        <f t="shared" si="37"/>
        <v>56</v>
      </c>
      <c r="AB340" s="2">
        <v>4161</v>
      </c>
      <c r="AC340" s="20">
        <f t="shared" si="40"/>
        <v>1.34583032924778</v>
      </c>
      <c r="AD340" s="2" t="s">
        <v>83</v>
      </c>
      <c r="AE340" s="2">
        <v>125</v>
      </c>
      <c r="AF340" s="21">
        <f t="shared" si="41"/>
        <v>2.02412881518866</v>
      </c>
      <c r="AG340" s="4">
        <f t="shared" si="38"/>
        <v>1.1295361691901</v>
      </c>
      <c r="AH340" s="4">
        <f t="shared" si="42"/>
        <v>0.216294160057678</v>
      </c>
    </row>
    <row r="341" spans="1:34">
      <c r="A341" s="2">
        <v>20260223</v>
      </c>
      <c r="C341" s="2" t="s">
        <v>727</v>
      </c>
      <c r="V341" s="2">
        <f t="shared" si="43"/>
        <v>0</v>
      </c>
      <c r="Z341" s="2">
        <f t="shared" si="39"/>
        <v>0</v>
      </c>
      <c r="AA341" s="2">
        <f t="shared" si="37"/>
        <v>0</v>
      </c>
      <c r="AB341" s="2">
        <v>4161</v>
      </c>
      <c r="AC341" s="20">
        <f t="shared" si="40"/>
        <v>0</v>
      </c>
      <c r="AD341" s="2" t="s">
        <v>83</v>
      </c>
      <c r="AE341" s="2">
        <v>125</v>
      </c>
      <c r="AF341" s="21">
        <f t="shared" si="41"/>
        <v>0</v>
      </c>
      <c r="AG341" s="4">
        <f t="shared" si="38"/>
        <v>0</v>
      </c>
      <c r="AH341" s="4">
        <f t="shared" si="42"/>
        <v>0</v>
      </c>
    </row>
    <row r="342" spans="1:34">
      <c r="A342" s="2">
        <v>20260223</v>
      </c>
      <c r="B342" s="2" t="s">
        <v>728</v>
      </c>
      <c r="C342" s="2" t="s">
        <v>727</v>
      </c>
      <c r="D342" s="2">
        <v>2</v>
      </c>
      <c r="E342" s="2">
        <v>6</v>
      </c>
      <c r="F342" s="2">
        <v>0</v>
      </c>
      <c r="G342" s="2">
        <v>4</v>
      </c>
      <c r="H342" s="2">
        <v>9</v>
      </c>
      <c r="I342" s="3">
        <v>18</v>
      </c>
      <c r="J342" s="2">
        <v>10</v>
      </c>
      <c r="K342" s="2">
        <v>4</v>
      </c>
      <c r="L342" s="2">
        <v>2</v>
      </c>
      <c r="M342" s="2">
        <v>7</v>
      </c>
      <c r="N342" s="2">
        <v>9</v>
      </c>
      <c r="O342" s="2">
        <v>0</v>
      </c>
      <c r="P342" s="3">
        <v>14</v>
      </c>
      <c r="Q342" s="2">
        <v>3</v>
      </c>
      <c r="R342" s="2">
        <v>92</v>
      </c>
      <c r="S342" s="2">
        <v>4</v>
      </c>
      <c r="T342" s="2">
        <v>14</v>
      </c>
      <c r="U342" s="2">
        <v>0</v>
      </c>
      <c r="V342" s="2">
        <f t="shared" si="43"/>
        <v>79</v>
      </c>
      <c r="W342" s="2">
        <v>1</v>
      </c>
      <c r="X342" s="2">
        <v>2</v>
      </c>
      <c r="Y342" s="2">
        <v>0</v>
      </c>
      <c r="Z342" s="2">
        <f t="shared" si="39"/>
        <v>3</v>
      </c>
      <c r="AA342" s="2">
        <f t="shared" si="37"/>
        <v>82</v>
      </c>
      <c r="AB342" s="2">
        <v>4161</v>
      </c>
      <c r="AC342" s="20">
        <f t="shared" si="40"/>
        <v>1.97068012496996</v>
      </c>
      <c r="AD342" s="2" t="s">
        <v>83</v>
      </c>
      <c r="AE342" s="2">
        <v>125</v>
      </c>
      <c r="AF342" s="21">
        <f t="shared" si="41"/>
        <v>2.96390290795482</v>
      </c>
      <c r="AG342" s="4">
        <f t="shared" si="38"/>
        <v>1.8985820716174</v>
      </c>
      <c r="AH342" s="4">
        <f t="shared" si="42"/>
        <v>0.0720980533525595</v>
      </c>
    </row>
    <row r="343" ht="30" customHeight="1" spans="1:34">
      <c r="A343" s="2">
        <v>20260223</v>
      </c>
      <c r="B343" s="2" t="s">
        <v>729</v>
      </c>
      <c r="C343" s="2" t="s">
        <v>730</v>
      </c>
      <c r="D343" s="2">
        <v>3</v>
      </c>
      <c r="E343" s="2">
        <v>1</v>
      </c>
      <c r="F343" s="2">
        <v>1</v>
      </c>
      <c r="G343" s="2">
        <v>8</v>
      </c>
      <c r="H343" s="2">
        <v>22</v>
      </c>
      <c r="I343" s="3">
        <v>13</v>
      </c>
      <c r="J343" s="2">
        <v>15</v>
      </c>
      <c r="K343" s="2">
        <v>2</v>
      </c>
      <c r="L343" s="2">
        <v>0</v>
      </c>
      <c r="M343" s="2">
        <v>5</v>
      </c>
      <c r="N343" s="2">
        <v>11</v>
      </c>
      <c r="O343" s="2">
        <v>1</v>
      </c>
      <c r="P343" s="3">
        <v>18</v>
      </c>
      <c r="Q343" s="2">
        <v>4</v>
      </c>
      <c r="R343" s="2">
        <v>123</v>
      </c>
      <c r="S343" s="2">
        <v>0</v>
      </c>
      <c r="T343" s="2">
        <v>5</v>
      </c>
      <c r="U343" s="2">
        <v>0</v>
      </c>
      <c r="V343" s="2">
        <f t="shared" si="43"/>
        <v>85</v>
      </c>
      <c r="W343" s="2">
        <v>1</v>
      </c>
      <c r="X343" s="2">
        <v>2</v>
      </c>
      <c r="Y343" s="2">
        <v>0</v>
      </c>
      <c r="Z343" s="2">
        <f t="shared" si="39"/>
        <v>3</v>
      </c>
      <c r="AA343" s="2">
        <f t="shared" si="37"/>
        <v>88</v>
      </c>
      <c r="AB343" s="2">
        <v>4161</v>
      </c>
      <c r="AC343" s="20">
        <f t="shared" si="40"/>
        <v>2.11487623167508</v>
      </c>
      <c r="AD343" s="2" t="s">
        <v>83</v>
      </c>
      <c r="AE343" s="2">
        <v>125</v>
      </c>
      <c r="AF343" s="21">
        <f t="shared" si="41"/>
        <v>3.18077385243932</v>
      </c>
      <c r="AG343" s="4">
        <f t="shared" si="38"/>
        <v>2.04277817832252</v>
      </c>
      <c r="AH343" s="4">
        <f t="shared" si="42"/>
        <v>0.0720980533525595</v>
      </c>
    </row>
    <row r="344" spans="1:34">
      <c r="A344" s="2">
        <v>20260223</v>
      </c>
      <c r="B344" s="2" t="s">
        <v>731</v>
      </c>
      <c r="C344" s="2" t="s">
        <v>732</v>
      </c>
      <c r="D344" s="2">
        <v>1</v>
      </c>
      <c r="E344" s="2">
        <v>308</v>
      </c>
      <c r="F344" s="2">
        <v>5</v>
      </c>
      <c r="G344" s="2">
        <v>21</v>
      </c>
      <c r="H344" s="2">
        <v>27</v>
      </c>
      <c r="I344" s="3">
        <v>10</v>
      </c>
      <c r="J344" s="2">
        <v>18</v>
      </c>
      <c r="K344" s="2">
        <v>1</v>
      </c>
      <c r="L344" s="2">
        <v>3</v>
      </c>
      <c r="M344" s="2">
        <v>2</v>
      </c>
      <c r="N344" s="2">
        <v>6</v>
      </c>
      <c r="O344" s="2">
        <v>4</v>
      </c>
      <c r="P344" s="3">
        <v>3</v>
      </c>
      <c r="Q344" s="2">
        <v>6</v>
      </c>
      <c r="R344" s="2">
        <v>195</v>
      </c>
      <c r="S344" s="2">
        <v>0</v>
      </c>
      <c r="T344" s="2">
        <v>103</v>
      </c>
      <c r="U344" s="2">
        <v>0</v>
      </c>
      <c r="V344" s="2">
        <f t="shared" si="43"/>
        <v>186</v>
      </c>
      <c r="W344" s="2">
        <v>0</v>
      </c>
      <c r="X344" s="2">
        <v>2</v>
      </c>
      <c r="Y344" s="2">
        <v>0</v>
      </c>
      <c r="Z344" s="2">
        <f t="shared" si="39"/>
        <v>2</v>
      </c>
      <c r="AA344" s="2">
        <f t="shared" si="37"/>
        <v>188</v>
      </c>
      <c r="AB344" s="2">
        <v>2562</v>
      </c>
      <c r="AC344" s="20">
        <f t="shared" si="40"/>
        <v>7.33801717408275</v>
      </c>
      <c r="AD344" s="2" t="s">
        <v>83</v>
      </c>
      <c r="AE344" s="2">
        <v>125</v>
      </c>
      <c r="AF344" s="21">
        <f t="shared" si="41"/>
        <v>11.0363778298205</v>
      </c>
      <c r="AG344" s="4">
        <f t="shared" si="38"/>
        <v>7.25995316159251</v>
      </c>
      <c r="AH344" s="4">
        <f t="shared" si="42"/>
        <v>0.078064012490242</v>
      </c>
    </row>
    <row r="345" spans="1:34">
      <c r="A345" s="2">
        <v>20260223</v>
      </c>
      <c r="B345" s="2" t="s">
        <v>733</v>
      </c>
      <c r="C345" s="2" t="s">
        <v>734</v>
      </c>
      <c r="D345" s="2">
        <v>5</v>
      </c>
      <c r="E345" s="2">
        <v>4</v>
      </c>
      <c r="F345" s="2">
        <v>17</v>
      </c>
      <c r="G345" s="2">
        <v>7</v>
      </c>
      <c r="H345" s="2">
        <v>8</v>
      </c>
      <c r="I345" s="3">
        <v>13</v>
      </c>
      <c r="J345" s="2">
        <v>12</v>
      </c>
      <c r="K345" s="2">
        <v>9</v>
      </c>
      <c r="L345" s="2">
        <v>0</v>
      </c>
      <c r="M345" s="2">
        <v>3</v>
      </c>
      <c r="N345" s="2">
        <v>3</v>
      </c>
      <c r="O345" s="2">
        <v>25</v>
      </c>
      <c r="P345" s="3">
        <v>6</v>
      </c>
      <c r="Q345" s="2">
        <v>2</v>
      </c>
      <c r="R345" s="2">
        <v>51</v>
      </c>
      <c r="S345" s="2">
        <v>1</v>
      </c>
      <c r="T345" s="2">
        <v>35</v>
      </c>
      <c r="U345" s="2">
        <v>2</v>
      </c>
      <c r="V345" s="2">
        <f t="shared" si="43"/>
        <v>92</v>
      </c>
      <c r="W345" s="2">
        <v>0</v>
      </c>
      <c r="X345" s="2">
        <v>1</v>
      </c>
      <c r="Y345" s="2">
        <v>0</v>
      </c>
      <c r="Z345" s="2">
        <f t="shared" si="39"/>
        <v>3</v>
      </c>
      <c r="AA345" s="2">
        <f t="shared" si="37"/>
        <v>95</v>
      </c>
      <c r="AB345" s="2">
        <v>2379</v>
      </c>
      <c r="AC345" s="20">
        <f t="shared" si="40"/>
        <v>3.99327448507776</v>
      </c>
      <c r="AD345" s="2" t="s">
        <v>83</v>
      </c>
      <c r="AE345" s="2">
        <v>125</v>
      </c>
      <c r="AF345" s="21">
        <f t="shared" si="41"/>
        <v>6.00588482555696</v>
      </c>
      <c r="AG345" s="4">
        <f t="shared" si="38"/>
        <v>3.86717108028583</v>
      </c>
      <c r="AH345" s="4">
        <f t="shared" si="42"/>
        <v>0.126103404791929</v>
      </c>
    </row>
    <row r="346" spans="1:34">
      <c r="A346" s="2">
        <v>20260223</v>
      </c>
      <c r="B346" s="2" t="s">
        <v>735</v>
      </c>
      <c r="C346" s="2" t="s">
        <v>736</v>
      </c>
      <c r="D346" s="2">
        <v>0</v>
      </c>
      <c r="E346" s="2">
        <v>1</v>
      </c>
      <c r="F346" s="2">
        <v>0</v>
      </c>
      <c r="G346" s="2">
        <v>10</v>
      </c>
      <c r="H346" s="2">
        <v>12</v>
      </c>
      <c r="I346" s="3">
        <v>19</v>
      </c>
      <c r="J346" s="2">
        <v>13</v>
      </c>
      <c r="K346" s="2">
        <v>4</v>
      </c>
      <c r="L346" s="2">
        <v>3</v>
      </c>
      <c r="M346" s="2">
        <v>11</v>
      </c>
      <c r="N346" s="2">
        <v>13</v>
      </c>
      <c r="O346" s="2">
        <v>0</v>
      </c>
      <c r="P346" s="3">
        <v>5</v>
      </c>
      <c r="Q346" s="2">
        <v>3</v>
      </c>
      <c r="R346" s="2">
        <v>89</v>
      </c>
      <c r="S346" s="2">
        <v>3</v>
      </c>
      <c r="T346" s="2">
        <v>8</v>
      </c>
      <c r="U346" s="2">
        <v>1</v>
      </c>
      <c r="V346" s="2">
        <f t="shared" si="43"/>
        <v>80</v>
      </c>
      <c r="W346" s="2">
        <v>0</v>
      </c>
      <c r="X346" s="2">
        <v>5</v>
      </c>
      <c r="Y346" s="2">
        <v>0</v>
      </c>
      <c r="Z346" s="2">
        <f t="shared" si="39"/>
        <v>6</v>
      </c>
      <c r="AA346" s="2">
        <f t="shared" si="37"/>
        <v>86</v>
      </c>
      <c r="AB346" s="2">
        <v>4161</v>
      </c>
      <c r="AC346" s="20">
        <f t="shared" si="40"/>
        <v>2.06681086277337</v>
      </c>
      <c r="AD346" s="2" t="s">
        <v>83</v>
      </c>
      <c r="AE346" s="2">
        <v>125</v>
      </c>
      <c r="AF346" s="21">
        <f t="shared" si="41"/>
        <v>3.10848353761115</v>
      </c>
      <c r="AG346" s="4">
        <f t="shared" si="38"/>
        <v>1.92261475606825</v>
      </c>
      <c r="AH346" s="4">
        <f t="shared" si="42"/>
        <v>0.144196106705119</v>
      </c>
    </row>
    <row r="347" spans="1:34">
      <c r="A347" s="2">
        <v>20260223</v>
      </c>
      <c r="B347" s="2" t="s">
        <v>737</v>
      </c>
      <c r="C347" s="2" t="s">
        <v>738</v>
      </c>
      <c r="D347" s="2">
        <v>1</v>
      </c>
      <c r="E347" s="2">
        <v>0</v>
      </c>
      <c r="F347" s="2">
        <v>2</v>
      </c>
      <c r="G347" s="2">
        <v>7</v>
      </c>
      <c r="H347" s="2">
        <v>10</v>
      </c>
      <c r="I347" s="3">
        <v>8</v>
      </c>
      <c r="J347" s="2">
        <v>5</v>
      </c>
      <c r="K347" s="2">
        <v>1</v>
      </c>
      <c r="L347" s="2">
        <v>3</v>
      </c>
      <c r="M347" s="2">
        <v>1</v>
      </c>
      <c r="N347" s="2">
        <v>5</v>
      </c>
      <c r="O347" s="2">
        <v>0</v>
      </c>
      <c r="P347" s="3">
        <v>6</v>
      </c>
      <c r="Q347" s="2">
        <v>0</v>
      </c>
      <c r="R347" s="2">
        <v>52</v>
      </c>
      <c r="S347" s="2">
        <v>2</v>
      </c>
      <c r="T347" s="2">
        <v>3</v>
      </c>
      <c r="U347" s="2">
        <v>2</v>
      </c>
      <c r="V347" s="2">
        <f t="shared" si="43"/>
        <v>42</v>
      </c>
      <c r="W347" s="2">
        <v>0</v>
      </c>
      <c r="X347" s="2">
        <v>2</v>
      </c>
      <c r="Y347" s="2">
        <v>0</v>
      </c>
      <c r="Z347" s="2">
        <f t="shared" si="39"/>
        <v>4</v>
      </c>
      <c r="AA347" s="2">
        <f t="shared" si="37"/>
        <v>46</v>
      </c>
      <c r="AB347" s="2">
        <v>2603</v>
      </c>
      <c r="AC347" s="20">
        <f t="shared" si="40"/>
        <v>1.76719170188244</v>
      </c>
      <c r="AD347" s="2" t="s">
        <v>58</v>
      </c>
      <c r="AE347" s="2">
        <v>125</v>
      </c>
      <c r="AF347" s="21">
        <f t="shared" si="41"/>
        <v>2.65785631963119</v>
      </c>
      <c r="AG347" s="4">
        <f t="shared" si="38"/>
        <v>1.61352285824049</v>
      </c>
      <c r="AH347" s="4">
        <f t="shared" si="42"/>
        <v>0.153668843641952</v>
      </c>
    </row>
    <row r="348" spans="1:34">
      <c r="A348" s="2">
        <v>20260224</v>
      </c>
      <c r="B348" s="2" t="s">
        <v>739</v>
      </c>
      <c r="C348" s="2" t="s">
        <v>740</v>
      </c>
      <c r="D348" s="2">
        <v>0</v>
      </c>
      <c r="E348" s="2">
        <v>2</v>
      </c>
      <c r="F348" s="2">
        <v>0</v>
      </c>
      <c r="G348" s="2">
        <v>5</v>
      </c>
      <c r="H348" s="2">
        <v>12</v>
      </c>
      <c r="I348" s="3">
        <v>8</v>
      </c>
      <c r="J348" s="2">
        <v>6</v>
      </c>
      <c r="K348" s="2">
        <v>0</v>
      </c>
      <c r="L348" s="2">
        <v>0</v>
      </c>
      <c r="M348" s="2">
        <v>3</v>
      </c>
      <c r="N348" s="2">
        <v>12</v>
      </c>
      <c r="O348" s="2">
        <v>0</v>
      </c>
      <c r="P348" s="3">
        <v>12</v>
      </c>
      <c r="Q348" s="2">
        <v>5</v>
      </c>
      <c r="R348" s="2">
        <v>74</v>
      </c>
      <c r="S348" s="2">
        <v>1</v>
      </c>
      <c r="T348" s="2">
        <v>6</v>
      </c>
      <c r="U348" s="2">
        <v>0</v>
      </c>
      <c r="V348" s="2">
        <f t="shared" si="43"/>
        <v>47</v>
      </c>
      <c r="W348" s="2">
        <v>1</v>
      </c>
      <c r="X348" s="2">
        <v>4</v>
      </c>
      <c r="Y348" s="2">
        <v>0</v>
      </c>
      <c r="Z348" s="2">
        <f t="shared" si="39"/>
        <v>5</v>
      </c>
      <c r="AA348" s="2">
        <f t="shared" si="37"/>
        <v>52</v>
      </c>
      <c r="AB348" s="2">
        <v>2663</v>
      </c>
      <c r="AC348" s="20">
        <f t="shared" si="40"/>
        <v>1.95268494179497</v>
      </c>
      <c r="AD348" s="2" t="s">
        <v>58</v>
      </c>
      <c r="AE348" s="2">
        <v>125</v>
      </c>
      <c r="AF348" s="21">
        <f t="shared" si="41"/>
        <v>2.93683815245963</v>
      </c>
      <c r="AG348" s="4">
        <f t="shared" si="38"/>
        <v>1.76492677431468</v>
      </c>
      <c r="AH348" s="4">
        <f t="shared" si="42"/>
        <v>0.187758167480285</v>
      </c>
    </row>
    <row r="349" spans="1:34">
      <c r="A349" s="2">
        <v>20260224</v>
      </c>
      <c r="B349" s="2" t="s">
        <v>741</v>
      </c>
      <c r="C349" s="2" t="s">
        <v>742</v>
      </c>
      <c r="D349" s="2">
        <v>8</v>
      </c>
      <c r="E349" s="2">
        <v>842</v>
      </c>
      <c r="F349" s="2">
        <v>20</v>
      </c>
      <c r="G349" s="2">
        <v>6</v>
      </c>
      <c r="H349" s="2">
        <v>94</v>
      </c>
      <c r="I349" s="3">
        <v>15</v>
      </c>
      <c r="J349" s="2">
        <v>28</v>
      </c>
      <c r="K349" s="2">
        <v>7</v>
      </c>
      <c r="L349" s="2">
        <v>0</v>
      </c>
      <c r="M349" s="2">
        <v>10</v>
      </c>
      <c r="N349" s="2">
        <v>58</v>
      </c>
      <c r="O349" s="2">
        <v>47</v>
      </c>
      <c r="P349" s="3">
        <v>9</v>
      </c>
      <c r="Q349" s="2">
        <v>23</v>
      </c>
      <c r="R349" s="2">
        <v>94</v>
      </c>
      <c r="S349" s="2">
        <v>4</v>
      </c>
      <c r="T349" s="2">
        <v>249</v>
      </c>
      <c r="U349" s="2">
        <v>0</v>
      </c>
      <c r="V349" s="2">
        <f t="shared" si="43"/>
        <v>407</v>
      </c>
      <c r="W349" s="2">
        <v>5</v>
      </c>
      <c r="X349" s="2">
        <v>6</v>
      </c>
      <c r="Y349" s="2">
        <v>0</v>
      </c>
      <c r="Z349" s="2">
        <f t="shared" si="39"/>
        <v>11</v>
      </c>
      <c r="AA349" s="2">
        <f t="shared" si="37"/>
        <v>418</v>
      </c>
      <c r="AB349" s="2">
        <v>2364</v>
      </c>
      <c r="AC349" s="20">
        <f t="shared" si="40"/>
        <v>17.6818950930626</v>
      </c>
      <c r="AD349" s="2" t="s">
        <v>58</v>
      </c>
      <c r="AE349" s="2">
        <v>125</v>
      </c>
      <c r="AF349" s="21">
        <f t="shared" si="41"/>
        <v>26.5935702199662</v>
      </c>
      <c r="AG349" s="4">
        <f t="shared" si="38"/>
        <v>17.2165820642978</v>
      </c>
      <c r="AH349" s="4">
        <f t="shared" si="42"/>
        <v>0.465313028764805</v>
      </c>
    </row>
    <row r="350" spans="1:34">
      <c r="A350" s="2">
        <v>20260224</v>
      </c>
      <c r="B350" s="2" t="s">
        <v>743</v>
      </c>
      <c r="C350" s="2" t="s">
        <v>744</v>
      </c>
      <c r="D350" s="2">
        <v>0</v>
      </c>
      <c r="E350" s="2">
        <v>11</v>
      </c>
      <c r="F350" s="2">
        <v>12</v>
      </c>
      <c r="G350" s="2">
        <v>4</v>
      </c>
      <c r="H350" s="2">
        <v>18</v>
      </c>
      <c r="I350" s="3">
        <v>30</v>
      </c>
      <c r="J350" s="2">
        <v>28</v>
      </c>
      <c r="K350" s="2">
        <v>5</v>
      </c>
      <c r="L350" s="2">
        <v>1</v>
      </c>
      <c r="M350" s="2">
        <v>9</v>
      </c>
      <c r="N350" s="2">
        <v>41</v>
      </c>
      <c r="O350" s="2">
        <v>48</v>
      </c>
      <c r="P350" s="3">
        <v>15</v>
      </c>
      <c r="Q350" s="2">
        <v>20</v>
      </c>
      <c r="R350" s="2">
        <v>100</v>
      </c>
      <c r="S350" s="2">
        <v>1</v>
      </c>
      <c r="T350" s="2">
        <v>11</v>
      </c>
      <c r="U350" s="2">
        <v>0</v>
      </c>
      <c r="V350" s="2">
        <f t="shared" si="43"/>
        <v>86</v>
      </c>
      <c r="W350" s="2">
        <v>1</v>
      </c>
      <c r="X350" s="2">
        <v>34</v>
      </c>
      <c r="Y350" s="2">
        <v>0</v>
      </c>
      <c r="Z350" s="2">
        <f t="shared" si="39"/>
        <v>35</v>
      </c>
      <c r="AA350" s="2">
        <f t="shared" si="37"/>
        <v>121</v>
      </c>
      <c r="AB350" s="2">
        <v>4562</v>
      </c>
      <c r="AC350" s="20">
        <f t="shared" si="40"/>
        <v>2.65234546251644</v>
      </c>
      <c r="AD350" s="2" t="s">
        <v>58</v>
      </c>
      <c r="AE350" s="2">
        <v>125</v>
      </c>
      <c r="AF350" s="21">
        <f t="shared" si="41"/>
        <v>3.98912757562473</v>
      </c>
      <c r="AG350" s="4">
        <f t="shared" si="38"/>
        <v>1.88513809732573</v>
      </c>
      <c r="AH350" s="4">
        <f t="shared" si="42"/>
        <v>0.767207365190706</v>
      </c>
    </row>
    <row r="351" spans="1:34">
      <c r="A351" s="2">
        <v>20260224</v>
      </c>
      <c r="B351" s="2" t="s">
        <v>745</v>
      </c>
      <c r="C351" s="2" t="s">
        <v>746</v>
      </c>
      <c r="D351" s="2">
        <v>1</v>
      </c>
      <c r="E351" s="2">
        <v>1</v>
      </c>
      <c r="F351" s="2">
        <v>0</v>
      </c>
      <c r="G351" s="2">
        <v>2</v>
      </c>
      <c r="H351" s="2">
        <v>12</v>
      </c>
      <c r="I351" s="3">
        <v>19</v>
      </c>
      <c r="J351" s="2">
        <v>8</v>
      </c>
      <c r="K351" s="2">
        <v>2</v>
      </c>
      <c r="L351" s="2">
        <v>1</v>
      </c>
      <c r="M351" s="2">
        <v>12</v>
      </c>
      <c r="N351" s="2">
        <v>18</v>
      </c>
      <c r="O351" s="2">
        <v>0</v>
      </c>
      <c r="P351" s="3">
        <v>8</v>
      </c>
      <c r="Q351" s="2">
        <v>3</v>
      </c>
      <c r="R351" s="2">
        <v>74</v>
      </c>
      <c r="S351" s="2">
        <v>2</v>
      </c>
      <c r="T351" s="2">
        <v>11</v>
      </c>
      <c r="U351" s="2">
        <v>2</v>
      </c>
      <c r="V351" s="2">
        <f t="shared" si="43"/>
        <v>64</v>
      </c>
      <c r="W351" s="2">
        <v>1</v>
      </c>
      <c r="X351" s="2">
        <v>10</v>
      </c>
      <c r="Y351" s="2">
        <v>0</v>
      </c>
      <c r="Z351" s="2">
        <f t="shared" si="39"/>
        <v>13</v>
      </c>
      <c r="AA351" s="2">
        <f t="shared" si="37"/>
        <v>77</v>
      </c>
      <c r="AB351" s="2">
        <v>4162</v>
      </c>
      <c r="AC351" s="20">
        <f t="shared" si="40"/>
        <v>1.85007208073042</v>
      </c>
      <c r="AD351" s="2" t="s">
        <v>58</v>
      </c>
      <c r="AE351" s="2">
        <v>125</v>
      </c>
      <c r="AF351" s="21">
        <f t="shared" si="41"/>
        <v>2.78250840941855</v>
      </c>
      <c r="AG351" s="4">
        <f t="shared" si="38"/>
        <v>1.53772224891879</v>
      </c>
      <c r="AH351" s="4">
        <f t="shared" si="42"/>
        <v>0.312349831811629</v>
      </c>
    </row>
    <row r="352" spans="1:34">
      <c r="A352" s="2">
        <v>20260224</v>
      </c>
      <c r="B352" s="2" t="s">
        <v>747</v>
      </c>
      <c r="C352" s="2" t="s">
        <v>748</v>
      </c>
      <c r="D352" s="2">
        <v>1</v>
      </c>
      <c r="E352" s="2">
        <v>1</v>
      </c>
      <c r="F352" s="2">
        <v>3</v>
      </c>
      <c r="G352" s="2">
        <v>7</v>
      </c>
      <c r="H352" s="2">
        <v>5</v>
      </c>
      <c r="I352" s="3">
        <v>11</v>
      </c>
      <c r="J352" s="2">
        <v>4</v>
      </c>
      <c r="K352" s="2">
        <v>3</v>
      </c>
      <c r="L352" s="2">
        <v>2</v>
      </c>
      <c r="M352" s="2">
        <v>3</v>
      </c>
      <c r="N352" s="2">
        <v>5</v>
      </c>
      <c r="O352" s="2">
        <v>0</v>
      </c>
      <c r="P352" s="3">
        <v>16</v>
      </c>
      <c r="Q352" s="2">
        <v>0</v>
      </c>
      <c r="R352" s="2">
        <v>3</v>
      </c>
      <c r="S352" s="2">
        <v>0</v>
      </c>
      <c r="T352" s="2">
        <v>8</v>
      </c>
      <c r="U352" s="2">
        <v>2</v>
      </c>
      <c r="V352" s="2">
        <v>0</v>
      </c>
      <c r="W352" s="2">
        <v>0</v>
      </c>
      <c r="X352" s="2">
        <v>6</v>
      </c>
      <c r="Y352" s="2">
        <v>0</v>
      </c>
      <c r="Z352" s="2">
        <f t="shared" si="39"/>
        <v>8</v>
      </c>
      <c r="AA352" s="2">
        <f t="shared" si="37"/>
        <v>61</v>
      </c>
      <c r="AB352" s="2">
        <v>3659</v>
      </c>
      <c r="AC352" s="20">
        <f t="shared" si="40"/>
        <v>1.66712216452583</v>
      </c>
      <c r="AD352" s="2" t="s">
        <v>49</v>
      </c>
      <c r="AE352" s="2">
        <v>125</v>
      </c>
      <c r="AF352" s="21">
        <f t="shared" si="41"/>
        <v>2.50735173544684</v>
      </c>
      <c r="AG352" s="4">
        <f t="shared" si="38"/>
        <v>0</v>
      </c>
      <c r="AH352" s="4">
        <f t="shared" si="42"/>
        <v>0.21863897239683</v>
      </c>
    </row>
    <row r="353" spans="1:34">
      <c r="A353" s="2">
        <v>20260224</v>
      </c>
      <c r="B353" s="2" t="s">
        <v>749</v>
      </c>
      <c r="C353" s="2" t="s">
        <v>750</v>
      </c>
      <c r="D353" s="2">
        <v>1</v>
      </c>
      <c r="E353" s="2">
        <v>9</v>
      </c>
      <c r="F353" s="2">
        <v>1</v>
      </c>
      <c r="G353" s="2">
        <v>6</v>
      </c>
      <c r="H353" s="2">
        <v>9</v>
      </c>
      <c r="I353" s="3">
        <v>12</v>
      </c>
      <c r="J353" s="2">
        <v>14</v>
      </c>
      <c r="K353" s="2">
        <v>7</v>
      </c>
      <c r="L353" s="2">
        <v>2</v>
      </c>
      <c r="M353" s="2">
        <v>10</v>
      </c>
      <c r="N353" s="2">
        <v>9</v>
      </c>
      <c r="O353" s="2">
        <v>0</v>
      </c>
      <c r="P353" s="3">
        <v>4</v>
      </c>
      <c r="Q353" s="2">
        <v>4</v>
      </c>
      <c r="R353" s="2">
        <v>7</v>
      </c>
      <c r="S353" s="2">
        <v>0</v>
      </c>
      <c r="T353" s="2">
        <v>7</v>
      </c>
      <c r="U353" s="2">
        <v>1</v>
      </c>
      <c r="V353" s="2">
        <f t="shared" ref="V353:V385" si="44">AA353-Y353-X353-W353-U353</f>
        <v>67</v>
      </c>
      <c r="W353" s="2">
        <v>0</v>
      </c>
      <c r="X353" s="2">
        <v>4</v>
      </c>
      <c r="Y353" s="2">
        <v>0</v>
      </c>
      <c r="Z353" s="2">
        <f t="shared" si="39"/>
        <v>5</v>
      </c>
      <c r="AA353" s="2">
        <f t="shared" si="37"/>
        <v>72</v>
      </c>
      <c r="AB353" s="2">
        <v>3420</v>
      </c>
      <c r="AC353" s="20">
        <f t="shared" si="40"/>
        <v>2.10526315789474</v>
      </c>
      <c r="AD353" s="2" t="s">
        <v>49</v>
      </c>
      <c r="AE353" s="2">
        <v>125</v>
      </c>
      <c r="AF353" s="21">
        <f t="shared" si="41"/>
        <v>3.16631578947368</v>
      </c>
      <c r="AG353" s="4">
        <f t="shared" si="38"/>
        <v>1.95906432748538</v>
      </c>
      <c r="AH353" s="4">
        <f t="shared" si="42"/>
        <v>0.146198830409357</v>
      </c>
    </row>
    <row r="354" spans="1:34">
      <c r="A354" s="2">
        <v>20260224</v>
      </c>
      <c r="B354" s="2" t="s">
        <v>751</v>
      </c>
      <c r="C354" s="2" t="s">
        <v>752</v>
      </c>
      <c r="D354" s="2">
        <v>26</v>
      </c>
      <c r="E354" s="2">
        <v>24</v>
      </c>
      <c r="F354" s="2">
        <v>28</v>
      </c>
      <c r="G354" s="2">
        <v>9</v>
      </c>
      <c r="H354" s="2">
        <v>24</v>
      </c>
      <c r="I354" s="3">
        <v>35</v>
      </c>
      <c r="J354" s="2">
        <v>26</v>
      </c>
      <c r="K354" s="2">
        <v>20</v>
      </c>
      <c r="L354" s="2">
        <v>3</v>
      </c>
      <c r="M354" s="2">
        <v>14</v>
      </c>
      <c r="N354" s="2">
        <v>81</v>
      </c>
      <c r="O354" s="2">
        <v>83</v>
      </c>
      <c r="P354" s="3">
        <v>11</v>
      </c>
      <c r="Q354" s="2">
        <v>48</v>
      </c>
      <c r="R354" s="2">
        <v>9</v>
      </c>
      <c r="S354" s="2">
        <v>1</v>
      </c>
      <c r="T354" s="2">
        <v>20</v>
      </c>
      <c r="U354" s="2">
        <v>0</v>
      </c>
      <c r="V354" s="2">
        <f t="shared" si="44"/>
        <v>150</v>
      </c>
      <c r="W354" s="2">
        <v>5</v>
      </c>
      <c r="X354" s="2">
        <v>7</v>
      </c>
      <c r="Y354" s="2">
        <v>0</v>
      </c>
      <c r="Z354" s="2">
        <f t="shared" si="39"/>
        <v>12</v>
      </c>
      <c r="AA354" s="2">
        <f t="shared" si="37"/>
        <v>162</v>
      </c>
      <c r="AB354" s="2">
        <v>4149</v>
      </c>
      <c r="AC354" s="20">
        <f t="shared" si="40"/>
        <v>3.90455531453362</v>
      </c>
      <c r="AD354" s="2" t="s">
        <v>49</v>
      </c>
      <c r="AE354" s="2">
        <v>125</v>
      </c>
      <c r="AF354" s="21">
        <f t="shared" si="41"/>
        <v>5.87245119305857</v>
      </c>
      <c r="AG354" s="4">
        <f t="shared" si="38"/>
        <v>3.61532899493854</v>
      </c>
      <c r="AH354" s="4">
        <f t="shared" si="42"/>
        <v>0.289226319595083</v>
      </c>
    </row>
    <row r="355" spans="1:34">
      <c r="A355" s="2">
        <v>20260224</v>
      </c>
      <c r="B355" s="2" t="s">
        <v>753</v>
      </c>
      <c r="C355" s="2" t="s">
        <v>754</v>
      </c>
      <c r="D355" s="2">
        <v>0</v>
      </c>
      <c r="E355" s="2">
        <v>3</v>
      </c>
      <c r="F355" s="2">
        <v>0</v>
      </c>
      <c r="G355" s="2">
        <v>1</v>
      </c>
      <c r="H355" s="2">
        <v>8</v>
      </c>
      <c r="I355" s="3">
        <v>15</v>
      </c>
      <c r="J355" s="2">
        <v>5</v>
      </c>
      <c r="K355" s="2">
        <v>2</v>
      </c>
      <c r="L355" s="2">
        <v>1</v>
      </c>
      <c r="M355" s="2">
        <v>4</v>
      </c>
      <c r="N355" s="2">
        <v>8</v>
      </c>
      <c r="O355" s="2">
        <v>0</v>
      </c>
      <c r="P355" s="3">
        <v>8</v>
      </c>
      <c r="Q355" s="2">
        <v>1</v>
      </c>
      <c r="R355" s="2">
        <v>1</v>
      </c>
      <c r="S355" s="2">
        <v>2</v>
      </c>
      <c r="T355" s="2">
        <v>7</v>
      </c>
      <c r="U355" s="2">
        <v>1</v>
      </c>
      <c r="V355" s="2">
        <f t="shared" si="44"/>
        <v>43</v>
      </c>
      <c r="W355" s="2">
        <v>1</v>
      </c>
      <c r="X355" s="2">
        <v>7</v>
      </c>
      <c r="Y355" s="2">
        <v>0</v>
      </c>
      <c r="Z355" s="2">
        <f t="shared" si="39"/>
        <v>9</v>
      </c>
      <c r="AA355" s="2">
        <f t="shared" si="37"/>
        <v>52</v>
      </c>
      <c r="AB355" s="2">
        <v>3200</v>
      </c>
      <c r="AC355" s="20">
        <f t="shared" si="40"/>
        <v>1.625</v>
      </c>
      <c r="AD355" s="2" t="s">
        <v>49</v>
      </c>
      <c r="AE355" s="2">
        <v>125</v>
      </c>
      <c r="AF355" s="21">
        <f t="shared" si="41"/>
        <v>2.444</v>
      </c>
      <c r="AG355" s="4">
        <f t="shared" si="38"/>
        <v>1.34375</v>
      </c>
      <c r="AH355" s="4">
        <f t="shared" si="42"/>
        <v>0.28125</v>
      </c>
    </row>
    <row r="356" spans="1:34">
      <c r="A356" s="2">
        <v>20260224</v>
      </c>
      <c r="B356" s="2" t="s">
        <v>755</v>
      </c>
      <c r="C356" s="2" t="s">
        <v>756</v>
      </c>
      <c r="D356" s="2">
        <v>0</v>
      </c>
      <c r="E356" s="2">
        <v>0</v>
      </c>
      <c r="F356" s="2">
        <v>1</v>
      </c>
      <c r="G356" s="2">
        <v>1</v>
      </c>
      <c r="H356" s="2">
        <v>4</v>
      </c>
      <c r="I356" s="3">
        <v>17</v>
      </c>
      <c r="J356" s="2">
        <v>9</v>
      </c>
      <c r="K356" s="2">
        <v>4</v>
      </c>
      <c r="L356" s="2">
        <v>1</v>
      </c>
      <c r="M356" s="2">
        <v>3</v>
      </c>
      <c r="N356" s="2">
        <v>14</v>
      </c>
      <c r="O356" s="2">
        <v>1</v>
      </c>
      <c r="P356" s="3">
        <v>7</v>
      </c>
      <c r="Q356" s="2">
        <v>7</v>
      </c>
      <c r="R356" s="2">
        <v>2</v>
      </c>
      <c r="S356" s="2">
        <v>1</v>
      </c>
      <c r="T356" s="2">
        <v>4</v>
      </c>
      <c r="U356" s="2">
        <v>0</v>
      </c>
      <c r="V356" s="2">
        <f t="shared" si="44"/>
        <v>41</v>
      </c>
      <c r="W356" s="2">
        <v>6</v>
      </c>
      <c r="X356" s="2">
        <v>3</v>
      </c>
      <c r="Y356" s="2">
        <v>0</v>
      </c>
      <c r="Z356" s="2">
        <f t="shared" si="39"/>
        <v>9</v>
      </c>
      <c r="AA356" s="2">
        <f t="shared" si="37"/>
        <v>50</v>
      </c>
      <c r="AB356" s="2">
        <v>3200</v>
      </c>
      <c r="AC356" s="20">
        <f t="shared" si="40"/>
        <v>1.5625</v>
      </c>
      <c r="AD356" s="2" t="s">
        <v>49</v>
      </c>
      <c r="AE356" s="2">
        <v>125</v>
      </c>
      <c r="AF356" s="21">
        <f t="shared" si="41"/>
        <v>2.35</v>
      </c>
      <c r="AG356" s="4">
        <f t="shared" si="38"/>
        <v>1.28125</v>
      </c>
      <c r="AH356" s="4">
        <f t="shared" si="42"/>
        <v>0.28125</v>
      </c>
    </row>
    <row r="357" spans="1:34">
      <c r="A357" s="2">
        <v>20260224</v>
      </c>
      <c r="B357" s="2" t="s">
        <v>757</v>
      </c>
      <c r="C357" s="2" t="s">
        <v>758</v>
      </c>
      <c r="D357" s="2">
        <v>1</v>
      </c>
      <c r="E357" s="2">
        <v>0</v>
      </c>
      <c r="F357" s="2">
        <v>3</v>
      </c>
      <c r="G357" s="2">
        <v>5</v>
      </c>
      <c r="H357" s="2">
        <v>6</v>
      </c>
      <c r="I357" s="3">
        <v>13</v>
      </c>
      <c r="J357" s="2">
        <v>7</v>
      </c>
      <c r="K357" s="2">
        <v>1</v>
      </c>
      <c r="L357" s="2">
        <v>1</v>
      </c>
      <c r="M357" s="2">
        <v>12</v>
      </c>
      <c r="N357" s="2">
        <v>11</v>
      </c>
      <c r="O357" s="2">
        <v>0</v>
      </c>
      <c r="P357" s="3">
        <v>5</v>
      </c>
      <c r="Q357" s="2">
        <v>3</v>
      </c>
      <c r="R357" s="2">
        <v>1</v>
      </c>
      <c r="S357" s="2">
        <v>0</v>
      </c>
      <c r="T357" s="2">
        <v>4</v>
      </c>
      <c r="U357" s="2">
        <v>0</v>
      </c>
      <c r="V357" s="2">
        <f t="shared" si="44"/>
        <v>44</v>
      </c>
      <c r="W357" s="2">
        <v>6</v>
      </c>
      <c r="X357" s="2">
        <v>4</v>
      </c>
      <c r="Y357" s="2">
        <v>0</v>
      </c>
      <c r="Z357" s="2">
        <f t="shared" si="39"/>
        <v>10</v>
      </c>
      <c r="AA357" s="2">
        <f t="shared" si="37"/>
        <v>54</v>
      </c>
      <c r="AB357" s="2">
        <v>3400</v>
      </c>
      <c r="AC357" s="20">
        <f t="shared" si="40"/>
        <v>1.58823529411765</v>
      </c>
      <c r="AD357" s="2" t="s">
        <v>49</v>
      </c>
      <c r="AE357" s="2">
        <v>125</v>
      </c>
      <c r="AF357" s="21">
        <f t="shared" si="41"/>
        <v>2.38870588235294</v>
      </c>
      <c r="AG357" s="4">
        <f t="shared" si="38"/>
        <v>1.29411764705882</v>
      </c>
      <c r="AH357" s="4">
        <f t="shared" si="42"/>
        <v>0.294117647058824</v>
      </c>
    </row>
    <row r="358" spans="1:34">
      <c r="A358" s="2">
        <v>20260224</v>
      </c>
      <c r="B358" s="2" t="s">
        <v>759</v>
      </c>
      <c r="C358" s="2" t="s">
        <v>760</v>
      </c>
      <c r="D358" s="2">
        <v>1</v>
      </c>
      <c r="E358" s="2">
        <v>2</v>
      </c>
      <c r="F358" s="2">
        <v>1</v>
      </c>
      <c r="G358" s="2">
        <v>5</v>
      </c>
      <c r="H358" s="2">
        <v>9</v>
      </c>
      <c r="I358" s="3">
        <v>16</v>
      </c>
      <c r="J358" s="2">
        <v>3</v>
      </c>
      <c r="K358" s="2">
        <v>0</v>
      </c>
      <c r="L358" s="2">
        <v>0</v>
      </c>
      <c r="M358" s="2">
        <v>7</v>
      </c>
      <c r="N358" s="2">
        <v>17</v>
      </c>
      <c r="O358" s="2">
        <v>2</v>
      </c>
      <c r="P358" s="3">
        <v>4</v>
      </c>
      <c r="Q358" s="2">
        <v>4</v>
      </c>
      <c r="R358" s="2">
        <v>3</v>
      </c>
      <c r="S358" s="2">
        <v>1</v>
      </c>
      <c r="T358" s="2">
        <v>5</v>
      </c>
      <c r="U358" s="2">
        <v>0</v>
      </c>
      <c r="V358" s="2">
        <f t="shared" si="44"/>
        <v>47</v>
      </c>
      <c r="W358" s="2">
        <v>2</v>
      </c>
      <c r="X358" s="2">
        <v>0</v>
      </c>
      <c r="Y358" s="2">
        <v>0</v>
      </c>
      <c r="Z358" s="2">
        <f t="shared" si="39"/>
        <v>2</v>
      </c>
      <c r="AA358" s="2">
        <f t="shared" si="37"/>
        <v>49</v>
      </c>
      <c r="AB358" s="2">
        <v>3600</v>
      </c>
      <c r="AC358" s="20">
        <f t="shared" si="40"/>
        <v>1.36111111111111</v>
      </c>
      <c r="AD358" s="2" t="s">
        <v>49</v>
      </c>
      <c r="AE358" s="2">
        <v>125</v>
      </c>
      <c r="AF358" s="21">
        <f t="shared" si="41"/>
        <v>2.04711111111111</v>
      </c>
      <c r="AG358" s="4">
        <f t="shared" si="38"/>
        <v>1.30555555555556</v>
      </c>
      <c r="AH358" s="4">
        <f t="shared" si="42"/>
        <v>0.0555555555555556</v>
      </c>
    </row>
    <row r="359" spans="1:34">
      <c r="A359" s="2">
        <v>20260224</v>
      </c>
      <c r="B359" s="2" t="s">
        <v>761</v>
      </c>
      <c r="C359" s="2" t="s">
        <v>762</v>
      </c>
      <c r="D359" s="2">
        <v>0</v>
      </c>
      <c r="E359" s="2">
        <v>3</v>
      </c>
      <c r="F359" s="2">
        <v>2</v>
      </c>
      <c r="G359" s="2">
        <v>4</v>
      </c>
      <c r="H359" s="2">
        <v>8</v>
      </c>
      <c r="I359" s="3">
        <v>7</v>
      </c>
      <c r="J359" s="2">
        <v>5</v>
      </c>
      <c r="K359" s="2">
        <v>1</v>
      </c>
      <c r="L359" s="2">
        <v>1</v>
      </c>
      <c r="M359" s="2">
        <v>5</v>
      </c>
      <c r="N359" s="2">
        <v>2</v>
      </c>
      <c r="O359" s="2">
        <v>1</v>
      </c>
      <c r="P359" s="3">
        <v>4</v>
      </c>
      <c r="Q359" s="2">
        <v>0</v>
      </c>
      <c r="R359" s="2">
        <v>61</v>
      </c>
      <c r="S359" s="2">
        <v>1</v>
      </c>
      <c r="T359" s="2">
        <v>2</v>
      </c>
      <c r="U359" s="2">
        <v>2</v>
      </c>
      <c r="V359" s="2">
        <f t="shared" si="44"/>
        <v>37</v>
      </c>
      <c r="W359" s="2">
        <v>0</v>
      </c>
      <c r="X359" s="2">
        <v>0</v>
      </c>
      <c r="Y359" s="2">
        <v>0</v>
      </c>
      <c r="Z359" s="2">
        <f t="shared" si="39"/>
        <v>2</v>
      </c>
      <c r="AA359" s="2">
        <f t="shared" si="37"/>
        <v>39</v>
      </c>
      <c r="AB359" s="2">
        <v>2128</v>
      </c>
      <c r="AC359" s="20">
        <f t="shared" si="40"/>
        <v>1.83270676691729</v>
      </c>
      <c r="AD359" s="2" t="s">
        <v>58</v>
      </c>
      <c r="AE359" s="2">
        <v>125</v>
      </c>
      <c r="AF359" s="21">
        <f t="shared" si="41"/>
        <v>2.75639097744361</v>
      </c>
      <c r="AG359" s="4">
        <f t="shared" si="38"/>
        <v>1.73872180451128</v>
      </c>
      <c r="AH359" s="4">
        <f t="shared" si="42"/>
        <v>0.093984962406015</v>
      </c>
    </row>
    <row r="360" spans="1:34">
      <c r="A360" s="2">
        <v>20260224</v>
      </c>
      <c r="B360" s="2" t="s">
        <v>763</v>
      </c>
      <c r="C360" s="2" t="s">
        <v>764</v>
      </c>
      <c r="D360" s="2">
        <v>1</v>
      </c>
      <c r="E360" s="2">
        <v>1</v>
      </c>
      <c r="F360" s="2">
        <v>0</v>
      </c>
      <c r="G360" s="2">
        <v>1</v>
      </c>
      <c r="H360" s="2">
        <v>1</v>
      </c>
      <c r="I360" s="3">
        <v>9</v>
      </c>
      <c r="J360" s="2">
        <v>8</v>
      </c>
      <c r="K360" s="2">
        <v>4</v>
      </c>
      <c r="L360" s="2">
        <v>1</v>
      </c>
      <c r="M360" s="2">
        <v>2</v>
      </c>
      <c r="N360" s="2">
        <v>19</v>
      </c>
      <c r="O360" s="2">
        <v>0</v>
      </c>
      <c r="P360" s="3">
        <v>4</v>
      </c>
      <c r="Q360" s="2">
        <v>4</v>
      </c>
      <c r="R360" s="2">
        <v>42</v>
      </c>
      <c r="S360" s="2">
        <v>0</v>
      </c>
      <c r="T360" s="2">
        <v>1</v>
      </c>
      <c r="U360" s="2">
        <v>0</v>
      </c>
      <c r="V360" s="2">
        <f t="shared" si="44"/>
        <v>25</v>
      </c>
      <c r="W360" s="2">
        <v>5</v>
      </c>
      <c r="X360" s="2">
        <v>1</v>
      </c>
      <c r="Y360" s="2">
        <v>0</v>
      </c>
      <c r="Z360" s="2">
        <f t="shared" si="39"/>
        <v>6</v>
      </c>
      <c r="AA360" s="2">
        <f t="shared" si="37"/>
        <v>31</v>
      </c>
      <c r="AB360" s="2">
        <v>2103</v>
      </c>
      <c r="AC360" s="20">
        <f t="shared" si="40"/>
        <v>1.47408464098906</v>
      </c>
      <c r="AD360" s="2" t="s">
        <v>58</v>
      </c>
      <c r="AE360" s="2">
        <v>125</v>
      </c>
      <c r="AF360" s="21">
        <f t="shared" si="41"/>
        <v>2.21702330004755</v>
      </c>
      <c r="AG360" s="4">
        <f t="shared" si="38"/>
        <v>1.1887779362815</v>
      </c>
      <c r="AH360" s="4">
        <f t="shared" si="42"/>
        <v>0.285306704707561</v>
      </c>
    </row>
    <row r="361" spans="1:34">
      <c r="A361" s="2">
        <v>20260225</v>
      </c>
      <c r="B361" s="2" t="s">
        <v>765</v>
      </c>
      <c r="C361" s="2" t="s">
        <v>766</v>
      </c>
      <c r="D361" s="2">
        <v>1</v>
      </c>
      <c r="E361" s="2">
        <v>0</v>
      </c>
      <c r="F361" s="2">
        <v>0</v>
      </c>
      <c r="G361" s="2">
        <v>5</v>
      </c>
      <c r="H361" s="2">
        <v>3</v>
      </c>
      <c r="I361" s="3">
        <v>5</v>
      </c>
      <c r="J361" s="2">
        <v>2</v>
      </c>
      <c r="K361" s="2">
        <v>0</v>
      </c>
      <c r="L361" s="2">
        <v>0</v>
      </c>
      <c r="M361" s="2">
        <v>3</v>
      </c>
      <c r="N361" s="2">
        <v>14</v>
      </c>
      <c r="O361" s="2">
        <v>0</v>
      </c>
      <c r="P361" s="3">
        <v>6</v>
      </c>
      <c r="Q361" s="2">
        <v>1</v>
      </c>
      <c r="R361" s="2">
        <v>35</v>
      </c>
      <c r="S361" s="2">
        <v>0</v>
      </c>
      <c r="T361" s="2">
        <v>3</v>
      </c>
      <c r="U361" s="2">
        <v>0</v>
      </c>
      <c r="V361" s="2">
        <f t="shared" si="44"/>
        <v>25</v>
      </c>
      <c r="W361" s="2">
        <v>1</v>
      </c>
      <c r="X361" s="2">
        <v>0</v>
      </c>
      <c r="Y361" s="2">
        <v>1</v>
      </c>
      <c r="Z361" s="2">
        <f t="shared" si="39"/>
        <v>2</v>
      </c>
      <c r="AA361" s="2">
        <f t="shared" si="37"/>
        <v>27</v>
      </c>
      <c r="AB361" s="2">
        <v>2093</v>
      </c>
      <c r="AC361" s="20">
        <f t="shared" si="40"/>
        <v>1.29001433349259</v>
      </c>
      <c r="AD361" s="2" t="s">
        <v>58</v>
      </c>
      <c r="AE361" s="2">
        <v>125</v>
      </c>
      <c r="AF361" s="21">
        <f t="shared" si="41"/>
        <v>1.94018155757286</v>
      </c>
      <c r="AG361" s="4">
        <f t="shared" si="38"/>
        <v>1.19445771619685</v>
      </c>
      <c r="AH361" s="4">
        <f t="shared" si="42"/>
        <v>0.0955566172957477</v>
      </c>
    </row>
    <row r="362" spans="1:34">
      <c r="A362" s="2">
        <v>20260225</v>
      </c>
      <c r="B362" s="2" t="s">
        <v>767</v>
      </c>
      <c r="C362" s="2" t="s">
        <v>768</v>
      </c>
      <c r="D362" s="2">
        <v>0</v>
      </c>
      <c r="E362" s="2">
        <v>0</v>
      </c>
      <c r="F362" s="2">
        <v>1</v>
      </c>
      <c r="G362" s="2">
        <v>1</v>
      </c>
      <c r="H362" s="2">
        <v>0</v>
      </c>
      <c r="I362" s="3">
        <v>5</v>
      </c>
      <c r="J362" s="2">
        <v>2</v>
      </c>
      <c r="K362" s="2">
        <v>0</v>
      </c>
      <c r="L362" s="2">
        <v>0</v>
      </c>
      <c r="M362" s="2">
        <v>3</v>
      </c>
      <c r="N362" s="2">
        <v>8</v>
      </c>
      <c r="O362" s="2">
        <v>0</v>
      </c>
      <c r="P362" s="3">
        <v>3</v>
      </c>
      <c r="Q362" s="2">
        <v>1</v>
      </c>
      <c r="R362" s="2">
        <v>29</v>
      </c>
      <c r="S362" s="2">
        <v>0</v>
      </c>
      <c r="T362" s="2">
        <v>1</v>
      </c>
      <c r="U362" s="2">
        <v>0</v>
      </c>
      <c r="V362" s="2">
        <f t="shared" si="44"/>
        <v>13</v>
      </c>
      <c r="W362" s="2">
        <v>1</v>
      </c>
      <c r="X362" s="2">
        <v>1</v>
      </c>
      <c r="Y362" s="2">
        <v>0</v>
      </c>
      <c r="Z362" s="2">
        <f t="shared" si="39"/>
        <v>2</v>
      </c>
      <c r="AA362" s="2">
        <f t="shared" si="37"/>
        <v>15</v>
      </c>
      <c r="AB362" s="2">
        <v>2093</v>
      </c>
      <c r="AC362" s="20">
        <f t="shared" si="40"/>
        <v>0.716674629718108</v>
      </c>
      <c r="AD362" s="2" t="s">
        <v>58</v>
      </c>
      <c r="AE362" s="2">
        <v>125</v>
      </c>
      <c r="AF362" s="21">
        <f t="shared" si="41"/>
        <v>1.07787864309603</v>
      </c>
      <c r="AG362" s="4">
        <f t="shared" si="38"/>
        <v>0.62111801242236</v>
      </c>
      <c r="AH362" s="4">
        <f t="shared" si="42"/>
        <v>0.0955566172957477</v>
      </c>
    </row>
    <row r="363" spans="1:34">
      <c r="A363" s="2">
        <v>20260225</v>
      </c>
      <c r="B363" s="2" t="s">
        <v>769</v>
      </c>
      <c r="C363" s="2" t="s">
        <v>770</v>
      </c>
      <c r="D363" s="2">
        <v>1</v>
      </c>
      <c r="E363" s="2">
        <v>1</v>
      </c>
      <c r="F363" s="2">
        <v>6</v>
      </c>
      <c r="G363" s="2">
        <v>1</v>
      </c>
      <c r="H363" s="2">
        <v>7</v>
      </c>
      <c r="I363" s="3">
        <v>12</v>
      </c>
      <c r="J363" s="2">
        <v>7</v>
      </c>
      <c r="K363" s="2">
        <v>10</v>
      </c>
      <c r="L363" s="2">
        <v>0</v>
      </c>
      <c r="M363" s="2">
        <v>10</v>
      </c>
      <c r="N363" s="2">
        <v>21</v>
      </c>
      <c r="O363" s="2">
        <v>20</v>
      </c>
      <c r="P363" s="3">
        <v>10</v>
      </c>
      <c r="Q363" s="2">
        <v>5</v>
      </c>
      <c r="R363" s="2">
        <v>8</v>
      </c>
      <c r="S363" s="2">
        <v>1</v>
      </c>
      <c r="T363" s="2">
        <v>11</v>
      </c>
      <c r="U363" s="2">
        <v>0</v>
      </c>
      <c r="V363" s="2">
        <f t="shared" si="44"/>
        <v>66</v>
      </c>
      <c r="W363" s="2">
        <v>2</v>
      </c>
      <c r="X363" s="2">
        <v>0</v>
      </c>
      <c r="Y363" s="2">
        <v>0</v>
      </c>
      <c r="Z363" s="2">
        <f t="shared" si="39"/>
        <v>2</v>
      </c>
      <c r="AA363" s="2">
        <f t="shared" si="37"/>
        <v>68</v>
      </c>
      <c r="AB363" s="2">
        <v>3500</v>
      </c>
      <c r="AC363" s="20">
        <f t="shared" si="40"/>
        <v>1.94285714285714</v>
      </c>
      <c r="AD363" s="2" t="s">
        <v>49</v>
      </c>
      <c r="AE363" s="2">
        <v>125</v>
      </c>
      <c r="AF363" s="21">
        <f t="shared" si="41"/>
        <v>2.92205714285714</v>
      </c>
      <c r="AG363" s="4">
        <f t="shared" si="38"/>
        <v>1.88571428571429</v>
      </c>
      <c r="AH363" s="4">
        <f t="shared" si="42"/>
        <v>0.0571428571428571</v>
      </c>
    </row>
    <row r="364" spans="1:34">
      <c r="A364" s="2">
        <v>20260225</v>
      </c>
      <c r="B364" s="2" t="s">
        <v>771</v>
      </c>
      <c r="C364" s="2" t="s">
        <v>772</v>
      </c>
      <c r="D364" s="2">
        <v>0</v>
      </c>
      <c r="E364" s="2">
        <v>1</v>
      </c>
      <c r="F364" s="2">
        <v>1</v>
      </c>
      <c r="G364" s="2">
        <v>1</v>
      </c>
      <c r="H364" s="2">
        <v>8</v>
      </c>
      <c r="I364" s="3">
        <v>11</v>
      </c>
      <c r="J364" s="2">
        <v>7</v>
      </c>
      <c r="K364" s="2">
        <v>1</v>
      </c>
      <c r="L364" s="2">
        <v>0</v>
      </c>
      <c r="M364" s="2">
        <v>3</v>
      </c>
      <c r="N364" s="2">
        <v>12</v>
      </c>
      <c r="O364" s="2">
        <v>0</v>
      </c>
      <c r="P364" s="3">
        <v>5</v>
      </c>
      <c r="Q364" s="2">
        <v>1</v>
      </c>
      <c r="R364" s="2">
        <v>3</v>
      </c>
      <c r="S364" s="2">
        <v>2</v>
      </c>
      <c r="T364" s="2">
        <v>4</v>
      </c>
      <c r="U364" s="2">
        <v>2</v>
      </c>
      <c r="V364" s="2">
        <f t="shared" si="44"/>
        <v>32</v>
      </c>
      <c r="W364" s="2">
        <v>2</v>
      </c>
      <c r="X364" s="2">
        <v>6</v>
      </c>
      <c r="Y364" s="2">
        <v>0</v>
      </c>
      <c r="Z364" s="2">
        <f t="shared" si="39"/>
        <v>10</v>
      </c>
      <c r="AA364" s="2">
        <f t="shared" si="37"/>
        <v>42</v>
      </c>
      <c r="AB364" s="2">
        <v>3201</v>
      </c>
      <c r="AC364" s="20">
        <f t="shared" si="40"/>
        <v>1.31208997188379</v>
      </c>
      <c r="AD364" s="2" t="s">
        <v>49</v>
      </c>
      <c r="AE364" s="2">
        <v>125</v>
      </c>
      <c r="AF364" s="21">
        <f t="shared" si="41"/>
        <v>1.97338331771321</v>
      </c>
      <c r="AG364" s="4">
        <f t="shared" si="38"/>
        <v>0.999687597625742</v>
      </c>
      <c r="AH364" s="4">
        <f t="shared" si="42"/>
        <v>0.312402374258044</v>
      </c>
    </row>
    <row r="365" spans="1:34">
      <c r="A365" s="2">
        <v>20260225</v>
      </c>
      <c r="B365" s="2" t="s">
        <v>773</v>
      </c>
      <c r="C365" s="2" t="s">
        <v>774</v>
      </c>
      <c r="D365" s="2">
        <v>1</v>
      </c>
      <c r="E365" s="2">
        <v>1</v>
      </c>
      <c r="F365" s="2">
        <v>2</v>
      </c>
      <c r="G365" s="2">
        <v>4</v>
      </c>
      <c r="H365" s="2">
        <v>5</v>
      </c>
      <c r="I365" s="3">
        <v>13</v>
      </c>
      <c r="J365" s="2">
        <v>13</v>
      </c>
      <c r="K365" s="2">
        <v>3</v>
      </c>
      <c r="L365" s="2">
        <v>0</v>
      </c>
      <c r="M365" s="2">
        <v>6</v>
      </c>
      <c r="N365" s="2">
        <v>14</v>
      </c>
      <c r="O365" s="2">
        <v>2</v>
      </c>
      <c r="P365" s="3">
        <v>9</v>
      </c>
      <c r="Q365" s="2">
        <v>3</v>
      </c>
      <c r="R365" s="2">
        <v>1</v>
      </c>
      <c r="S365" s="2">
        <v>3</v>
      </c>
      <c r="T365" s="2">
        <v>4</v>
      </c>
      <c r="U365" s="2">
        <v>0</v>
      </c>
      <c r="V365" s="2">
        <f t="shared" si="44"/>
        <v>49</v>
      </c>
      <c r="W365" s="2">
        <v>5</v>
      </c>
      <c r="X365" s="2">
        <v>3</v>
      </c>
      <c r="Y365" s="2">
        <v>0</v>
      </c>
      <c r="Z365" s="2">
        <f t="shared" si="39"/>
        <v>8</v>
      </c>
      <c r="AA365" s="2">
        <f t="shared" si="37"/>
        <v>57</v>
      </c>
      <c r="AB365" s="2">
        <v>3201</v>
      </c>
      <c r="AC365" s="20">
        <f t="shared" si="40"/>
        <v>1.78069353327085</v>
      </c>
      <c r="AD365" s="2" t="s">
        <v>49</v>
      </c>
      <c r="AE365" s="2">
        <v>125</v>
      </c>
      <c r="AF365" s="21">
        <f t="shared" si="41"/>
        <v>2.67816307403936</v>
      </c>
      <c r="AG365" s="4">
        <f t="shared" si="38"/>
        <v>1.53077163386442</v>
      </c>
      <c r="AH365" s="4">
        <f t="shared" si="42"/>
        <v>0.249921899406435</v>
      </c>
    </row>
    <row r="366" spans="1:34">
      <c r="A366" s="2">
        <v>20260225</v>
      </c>
      <c r="B366" s="8" t="s">
        <v>775</v>
      </c>
      <c r="C366" s="2" t="s">
        <v>776</v>
      </c>
      <c r="D366" s="2">
        <v>1</v>
      </c>
      <c r="E366" s="2">
        <v>1</v>
      </c>
      <c r="F366" s="2">
        <v>7</v>
      </c>
      <c r="G366" s="2">
        <v>8</v>
      </c>
      <c r="H366" s="2">
        <v>7</v>
      </c>
      <c r="I366" s="3">
        <v>6</v>
      </c>
      <c r="J366" s="2">
        <v>14</v>
      </c>
      <c r="K366" s="2">
        <v>5</v>
      </c>
      <c r="L366" s="2">
        <v>0</v>
      </c>
      <c r="M366" s="2">
        <v>7</v>
      </c>
      <c r="N366" s="2">
        <v>23</v>
      </c>
      <c r="O366" s="2">
        <v>1</v>
      </c>
      <c r="P366" s="3">
        <v>8</v>
      </c>
      <c r="Q366" s="2">
        <v>6</v>
      </c>
      <c r="R366" s="2">
        <v>0</v>
      </c>
      <c r="S366" s="2">
        <v>1</v>
      </c>
      <c r="T366" s="2">
        <v>8</v>
      </c>
      <c r="U366" s="2">
        <v>0</v>
      </c>
      <c r="V366" s="2">
        <f t="shared" si="44"/>
        <v>50</v>
      </c>
      <c r="W366" s="2">
        <v>13</v>
      </c>
      <c r="X366" s="2">
        <v>0</v>
      </c>
      <c r="Y366" s="2">
        <v>0</v>
      </c>
      <c r="Z366" s="2">
        <f t="shared" si="39"/>
        <v>13</v>
      </c>
      <c r="AA366" s="2">
        <f t="shared" si="37"/>
        <v>63</v>
      </c>
      <c r="AB366" s="2">
        <v>3201</v>
      </c>
      <c r="AC366" s="20">
        <f t="shared" si="40"/>
        <v>1.96813495782568</v>
      </c>
      <c r="AD366" s="2" t="s">
        <v>49</v>
      </c>
      <c r="AE366" s="2">
        <v>125</v>
      </c>
      <c r="AF366" s="21">
        <f t="shared" si="41"/>
        <v>2.96007497656982</v>
      </c>
      <c r="AG366" s="4">
        <f t="shared" si="38"/>
        <v>1.56201187129022</v>
      </c>
      <c r="AH366" s="4">
        <f t="shared" si="42"/>
        <v>0.406123086535458</v>
      </c>
    </row>
    <row r="367" spans="1:34">
      <c r="A367" s="2">
        <v>20260225</v>
      </c>
      <c r="B367" s="8" t="s">
        <v>777</v>
      </c>
      <c r="C367" s="2" t="s">
        <v>778</v>
      </c>
      <c r="D367" s="2">
        <v>0</v>
      </c>
      <c r="E367" s="2">
        <v>1</v>
      </c>
      <c r="F367" s="2">
        <v>2</v>
      </c>
      <c r="G367" s="2">
        <v>2</v>
      </c>
      <c r="H367" s="2">
        <v>2</v>
      </c>
      <c r="I367" s="3">
        <v>15</v>
      </c>
      <c r="J367" s="2">
        <v>11</v>
      </c>
      <c r="K367" s="2">
        <v>3</v>
      </c>
      <c r="L367" s="2">
        <v>1</v>
      </c>
      <c r="M367" s="2">
        <v>2</v>
      </c>
      <c r="N367" s="2">
        <v>20</v>
      </c>
      <c r="O367" s="2">
        <v>3</v>
      </c>
      <c r="P367" s="3">
        <v>7</v>
      </c>
      <c r="Q367" s="2">
        <v>3</v>
      </c>
      <c r="R367" s="2">
        <v>1</v>
      </c>
      <c r="S367" s="2">
        <v>1</v>
      </c>
      <c r="T367" s="2">
        <v>1</v>
      </c>
      <c r="U367" s="2">
        <v>0</v>
      </c>
      <c r="V367" s="2">
        <f t="shared" si="44"/>
        <v>39</v>
      </c>
      <c r="W367" s="2">
        <v>4</v>
      </c>
      <c r="X367" s="2">
        <v>1</v>
      </c>
      <c r="Y367" s="2">
        <v>0</v>
      </c>
      <c r="Z367" s="2">
        <f t="shared" si="39"/>
        <v>5</v>
      </c>
      <c r="AA367" s="2">
        <f t="shared" si="37"/>
        <v>44</v>
      </c>
      <c r="AB367" s="2">
        <v>3201</v>
      </c>
      <c r="AC367" s="20">
        <f t="shared" si="40"/>
        <v>1.3745704467354</v>
      </c>
      <c r="AD367" s="2" t="s">
        <v>49</v>
      </c>
      <c r="AE367" s="2">
        <v>125</v>
      </c>
      <c r="AF367" s="21">
        <f t="shared" si="41"/>
        <v>2.06735395189003</v>
      </c>
      <c r="AG367" s="4">
        <f t="shared" si="38"/>
        <v>1.21836925960637</v>
      </c>
      <c r="AH367" s="4">
        <f t="shared" si="42"/>
        <v>0.156201187129022</v>
      </c>
    </row>
    <row r="368" spans="1:34">
      <c r="A368" s="2">
        <v>20260225</v>
      </c>
      <c r="B368" s="8" t="s">
        <v>779</v>
      </c>
      <c r="C368" s="2" t="s">
        <v>780</v>
      </c>
      <c r="D368" s="2">
        <v>1</v>
      </c>
      <c r="E368" s="2">
        <v>0</v>
      </c>
      <c r="F368" s="2">
        <v>3</v>
      </c>
      <c r="G368" s="2">
        <v>3</v>
      </c>
      <c r="H368" s="2">
        <v>4</v>
      </c>
      <c r="I368" s="3">
        <v>21</v>
      </c>
      <c r="J368" s="2">
        <v>6</v>
      </c>
      <c r="K368" s="2">
        <v>3</v>
      </c>
      <c r="L368" s="2">
        <v>1</v>
      </c>
      <c r="M368" s="2">
        <v>5</v>
      </c>
      <c r="N368" s="2">
        <v>24</v>
      </c>
      <c r="O368" s="2">
        <v>5</v>
      </c>
      <c r="P368" s="3">
        <v>2</v>
      </c>
      <c r="Q368" s="2">
        <v>6</v>
      </c>
      <c r="R368" s="2">
        <v>3</v>
      </c>
      <c r="S368" s="2">
        <v>2</v>
      </c>
      <c r="T368" s="2">
        <v>1</v>
      </c>
      <c r="U368" s="2">
        <v>0</v>
      </c>
      <c r="V368" s="2">
        <f t="shared" si="44"/>
        <v>34</v>
      </c>
      <c r="W368" s="2">
        <v>4</v>
      </c>
      <c r="X368" s="2">
        <v>8</v>
      </c>
      <c r="Y368" s="2">
        <v>0</v>
      </c>
      <c r="Z368" s="2">
        <f t="shared" si="39"/>
        <v>12</v>
      </c>
      <c r="AA368" s="2">
        <f t="shared" si="37"/>
        <v>46</v>
      </c>
      <c r="AB368" s="2">
        <v>3201</v>
      </c>
      <c r="AC368" s="20">
        <f t="shared" si="40"/>
        <v>1.437050921587</v>
      </c>
      <c r="AD368" s="2" t="s">
        <v>49</v>
      </c>
      <c r="AE368" s="2">
        <v>125</v>
      </c>
      <c r="AF368" s="21">
        <f t="shared" si="41"/>
        <v>2.16132458606685</v>
      </c>
      <c r="AG368" s="4">
        <f t="shared" si="38"/>
        <v>1.06216807247735</v>
      </c>
      <c r="AH368" s="4">
        <f t="shared" si="42"/>
        <v>0.374882849109653</v>
      </c>
    </row>
    <row r="369" spans="1:34">
      <c r="A369" s="2">
        <v>20260225</v>
      </c>
      <c r="B369" s="8" t="s">
        <v>781</v>
      </c>
      <c r="C369" s="2" t="s">
        <v>782</v>
      </c>
      <c r="D369" s="2">
        <v>0</v>
      </c>
      <c r="E369" s="2">
        <v>1</v>
      </c>
      <c r="F369" s="2">
        <v>2</v>
      </c>
      <c r="G369" s="2">
        <v>4</v>
      </c>
      <c r="H369" s="2">
        <v>4</v>
      </c>
      <c r="I369" s="3">
        <v>6</v>
      </c>
      <c r="J369" s="2">
        <v>5</v>
      </c>
      <c r="K369" s="2">
        <v>10</v>
      </c>
      <c r="L369" s="2">
        <v>0</v>
      </c>
      <c r="M369" s="2">
        <v>3</v>
      </c>
      <c r="N369" s="2">
        <v>26</v>
      </c>
      <c r="O369" s="2">
        <v>0</v>
      </c>
      <c r="P369" s="3">
        <v>2</v>
      </c>
      <c r="Q369" s="2">
        <v>6</v>
      </c>
      <c r="R369" s="2">
        <v>0</v>
      </c>
      <c r="S369" s="2">
        <v>3</v>
      </c>
      <c r="T369" s="2">
        <v>4</v>
      </c>
      <c r="U369" s="2">
        <v>0</v>
      </c>
      <c r="V369" s="2">
        <f t="shared" si="44"/>
        <v>29</v>
      </c>
      <c r="W369" s="2">
        <v>1</v>
      </c>
      <c r="X369" s="2">
        <v>8</v>
      </c>
      <c r="Y369" s="2">
        <v>0</v>
      </c>
      <c r="Z369" s="2">
        <f t="shared" si="39"/>
        <v>9</v>
      </c>
      <c r="AA369" s="2">
        <f t="shared" ref="AA369:AA416" si="45">G369+H369+I369+J369+K369+L369+M369+P369+T369+U369</f>
        <v>38</v>
      </c>
      <c r="AB369" s="2">
        <v>3201</v>
      </c>
      <c r="AC369" s="20">
        <f t="shared" si="40"/>
        <v>1.18712902218057</v>
      </c>
      <c r="AD369" s="2" t="s">
        <v>49</v>
      </c>
      <c r="AE369" s="2">
        <v>125</v>
      </c>
      <c r="AF369" s="21">
        <f t="shared" si="41"/>
        <v>1.78544204935958</v>
      </c>
      <c r="AG369" s="4">
        <f t="shared" ref="AG369:AG416" si="46">V369/AB369*100</f>
        <v>0.905966885348329</v>
      </c>
      <c r="AH369" s="4">
        <f t="shared" si="42"/>
        <v>0.28116213683224</v>
      </c>
    </row>
    <row r="370" spans="1:34">
      <c r="A370" s="2">
        <v>20260225</v>
      </c>
      <c r="B370" s="8" t="s">
        <v>783</v>
      </c>
      <c r="C370" s="2" t="s">
        <v>784</v>
      </c>
      <c r="D370" s="2">
        <v>0</v>
      </c>
      <c r="E370" s="2">
        <v>9</v>
      </c>
      <c r="F370" s="2">
        <v>6</v>
      </c>
      <c r="G370" s="2">
        <v>3</v>
      </c>
      <c r="H370" s="2">
        <v>6</v>
      </c>
      <c r="I370" s="3">
        <v>10</v>
      </c>
      <c r="J370" s="2">
        <v>9</v>
      </c>
      <c r="K370" s="2">
        <v>7</v>
      </c>
      <c r="L370" s="2">
        <v>2</v>
      </c>
      <c r="M370" s="2">
        <v>4</v>
      </c>
      <c r="N370" s="2">
        <v>19</v>
      </c>
      <c r="O370" s="2">
        <v>4</v>
      </c>
      <c r="P370" s="3">
        <v>9</v>
      </c>
      <c r="Q370" s="2">
        <v>12</v>
      </c>
      <c r="R370" s="2">
        <v>1</v>
      </c>
      <c r="S370" s="2">
        <v>1</v>
      </c>
      <c r="T370" s="2">
        <v>3</v>
      </c>
      <c r="U370" s="2">
        <v>0</v>
      </c>
      <c r="V370" s="2">
        <f t="shared" si="44"/>
        <v>44</v>
      </c>
      <c r="W370" s="2">
        <v>6</v>
      </c>
      <c r="X370" s="2">
        <v>3</v>
      </c>
      <c r="Y370" s="2">
        <v>0</v>
      </c>
      <c r="Z370" s="2">
        <f t="shared" si="39"/>
        <v>9</v>
      </c>
      <c r="AA370" s="2">
        <f t="shared" si="45"/>
        <v>53</v>
      </c>
      <c r="AB370" s="2">
        <v>3561</v>
      </c>
      <c r="AC370" s="20">
        <f t="shared" si="40"/>
        <v>1.48834597023308</v>
      </c>
      <c r="AD370" s="2" t="s">
        <v>49</v>
      </c>
      <c r="AE370" s="2">
        <v>125</v>
      </c>
      <c r="AF370" s="21">
        <f t="shared" si="41"/>
        <v>2.23847233923055</v>
      </c>
      <c r="AG370" s="4">
        <f t="shared" si="46"/>
        <v>1.23560797528784</v>
      </c>
      <c r="AH370" s="4">
        <f t="shared" si="42"/>
        <v>0.25273799494524</v>
      </c>
    </row>
    <row r="371" spans="1:34">
      <c r="A371" s="2">
        <v>20260225</v>
      </c>
      <c r="B371" s="2" t="s">
        <v>785</v>
      </c>
      <c r="C371" s="2" t="s">
        <v>786</v>
      </c>
      <c r="D371" s="2">
        <v>4</v>
      </c>
      <c r="E371" s="2">
        <v>12</v>
      </c>
      <c r="F371" s="2">
        <v>10</v>
      </c>
      <c r="G371" s="2">
        <v>4</v>
      </c>
      <c r="H371" s="2">
        <v>13</v>
      </c>
      <c r="I371" s="3">
        <v>28</v>
      </c>
      <c r="J371" s="2">
        <v>14</v>
      </c>
      <c r="K371" s="2">
        <v>8</v>
      </c>
      <c r="L371" s="2">
        <v>1</v>
      </c>
      <c r="M371" s="2">
        <v>12</v>
      </c>
      <c r="N371" s="2">
        <v>49</v>
      </c>
      <c r="O371" s="2">
        <v>30</v>
      </c>
      <c r="P371" s="3">
        <v>11</v>
      </c>
      <c r="Q371" s="2">
        <v>22</v>
      </c>
      <c r="R371" s="2">
        <v>106</v>
      </c>
      <c r="S371" s="2">
        <v>1</v>
      </c>
      <c r="T371" s="2">
        <v>5</v>
      </c>
      <c r="U371" s="2">
        <v>2</v>
      </c>
      <c r="V371" s="2">
        <f t="shared" si="44"/>
        <v>74</v>
      </c>
      <c r="W371" s="2">
        <v>14</v>
      </c>
      <c r="X371" s="2">
        <v>7</v>
      </c>
      <c r="Y371" s="2">
        <v>1</v>
      </c>
      <c r="Z371" s="2">
        <f t="shared" si="39"/>
        <v>24</v>
      </c>
      <c r="AA371" s="2">
        <f t="shared" si="45"/>
        <v>98</v>
      </c>
      <c r="AB371" s="2">
        <v>4420</v>
      </c>
      <c r="AC371" s="20">
        <f t="shared" si="40"/>
        <v>2.21719457013575</v>
      </c>
      <c r="AD371" s="2" t="s">
        <v>44</v>
      </c>
      <c r="AE371" s="2">
        <v>125</v>
      </c>
      <c r="AF371" s="21">
        <f t="shared" si="41"/>
        <v>3.33466063348416</v>
      </c>
      <c r="AG371" s="4">
        <f t="shared" si="46"/>
        <v>1.67420814479638</v>
      </c>
      <c r="AH371" s="4">
        <f t="shared" si="42"/>
        <v>0.542986425339366</v>
      </c>
    </row>
    <row r="372" spans="1:34">
      <c r="A372" s="2">
        <v>20260225</v>
      </c>
      <c r="B372" s="2" t="s">
        <v>787</v>
      </c>
      <c r="C372" s="2" t="s">
        <v>788</v>
      </c>
      <c r="D372" s="2">
        <v>0</v>
      </c>
      <c r="E372" s="2">
        <v>1</v>
      </c>
      <c r="F372" s="2">
        <v>2</v>
      </c>
      <c r="G372" s="2">
        <v>2</v>
      </c>
      <c r="H372" s="2">
        <v>2</v>
      </c>
      <c r="I372" s="3">
        <v>8</v>
      </c>
      <c r="J372" s="2">
        <v>2</v>
      </c>
      <c r="K372" s="2">
        <v>0</v>
      </c>
      <c r="L372" s="2">
        <v>0</v>
      </c>
      <c r="M372" s="2">
        <v>6</v>
      </c>
      <c r="N372" s="2">
        <v>33</v>
      </c>
      <c r="O372" s="2">
        <v>0</v>
      </c>
      <c r="P372" s="3">
        <v>2</v>
      </c>
      <c r="Q372" s="2">
        <v>1</v>
      </c>
      <c r="R372" s="2">
        <v>44</v>
      </c>
      <c r="S372" s="2">
        <v>1</v>
      </c>
      <c r="T372" s="2">
        <v>1</v>
      </c>
      <c r="U372" s="2">
        <v>0</v>
      </c>
      <c r="V372" s="2">
        <f t="shared" si="44"/>
        <v>20</v>
      </c>
      <c r="W372" s="2">
        <v>2</v>
      </c>
      <c r="X372" s="2">
        <v>1</v>
      </c>
      <c r="Y372" s="2">
        <v>0</v>
      </c>
      <c r="Z372" s="2">
        <f t="shared" si="39"/>
        <v>3</v>
      </c>
      <c r="AA372" s="2">
        <f t="shared" si="45"/>
        <v>23</v>
      </c>
      <c r="AB372" s="2">
        <v>2118</v>
      </c>
      <c r="AC372" s="20">
        <f t="shared" si="40"/>
        <v>1.08593012275732</v>
      </c>
      <c r="AD372" s="2" t="s">
        <v>44</v>
      </c>
      <c r="AE372" s="2">
        <v>125</v>
      </c>
      <c r="AF372" s="21">
        <f t="shared" si="41"/>
        <v>1.63323890462701</v>
      </c>
      <c r="AG372" s="4">
        <f t="shared" si="46"/>
        <v>0.944287063267233</v>
      </c>
      <c r="AH372" s="4">
        <f t="shared" si="42"/>
        <v>0.141643059490085</v>
      </c>
    </row>
    <row r="373" spans="1:34">
      <c r="A373" s="2">
        <v>20260225</v>
      </c>
      <c r="B373" s="2" t="s">
        <v>789</v>
      </c>
      <c r="C373" s="2" t="s">
        <v>790</v>
      </c>
      <c r="D373" s="2">
        <v>0</v>
      </c>
      <c r="E373" s="2">
        <v>2</v>
      </c>
      <c r="F373" s="2">
        <v>0</v>
      </c>
      <c r="G373" s="2">
        <v>4</v>
      </c>
      <c r="H373" s="2">
        <v>4</v>
      </c>
      <c r="I373" s="3">
        <v>13</v>
      </c>
      <c r="J373" s="2">
        <v>1</v>
      </c>
      <c r="K373" s="2">
        <v>2</v>
      </c>
      <c r="L373" s="2">
        <v>2</v>
      </c>
      <c r="M373" s="2">
        <v>5</v>
      </c>
      <c r="N373" s="2">
        <v>5</v>
      </c>
      <c r="O373" s="2">
        <v>0</v>
      </c>
      <c r="P373" s="3">
        <v>5</v>
      </c>
      <c r="Q373" s="2">
        <v>2</v>
      </c>
      <c r="R373" s="2">
        <v>64</v>
      </c>
      <c r="S373" s="2">
        <v>3</v>
      </c>
      <c r="T373" s="2">
        <v>1</v>
      </c>
      <c r="U373" s="2">
        <v>0</v>
      </c>
      <c r="V373" s="2">
        <f t="shared" si="44"/>
        <v>26</v>
      </c>
      <c r="W373" s="2">
        <v>0</v>
      </c>
      <c r="X373" s="2">
        <v>11</v>
      </c>
      <c r="Y373" s="2">
        <v>0</v>
      </c>
      <c r="Z373" s="2">
        <f t="shared" si="39"/>
        <v>11</v>
      </c>
      <c r="AA373" s="2">
        <f t="shared" si="45"/>
        <v>37</v>
      </c>
      <c r="AB373" s="2">
        <v>2094</v>
      </c>
      <c r="AC373" s="20">
        <f t="shared" si="40"/>
        <v>1.76695319961796</v>
      </c>
      <c r="AD373" s="2" t="s">
        <v>44</v>
      </c>
      <c r="AE373" s="2">
        <v>125</v>
      </c>
      <c r="AF373" s="21">
        <f t="shared" si="41"/>
        <v>2.65749761222541</v>
      </c>
      <c r="AG373" s="4">
        <f t="shared" si="46"/>
        <v>1.24164278892073</v>
      </c>
      <c r="AH373" s="4">
        <f t="shared" si="42"/>
        <v>0.52531041069723</v>
      </c>
    </row>
    <row r="374" spans="1:34">
      <c r="A374" s="2">
        <v>20260225</v>
      </c>
      <c r="B374" s="2" t="s">
        <v>791</v>
      </c>
      <c r="C374" s="2" t="s">
        <v>792</v>
      </c>
      <c r="D374" s="2">
        <v>3</v>
      </c>
      <c r="E374" s="2">
        <v>7</v>
      </c>
      <c r="F374" s="2">
        <v>3</v>
      </c>
      <c r="G374" s="2">
        <v>2</v>
      </c>
      <c r="H374" s="2">
        <v>32</v>
      </c>
      <c r="I374" s="3">
        <v>27</v>
      </c>
      <c r="J374" s="2">
        <v>22</v>
      </c>
      <c r="K374" s="2">
        <v>1</v>
      </c>
      <c r="L374" s="2">
        <v>1</v>
      </c>
      <c r="M374" s="2">
        <v>8</v>
      </c>
      <c r="N374" s="2">
        <v>24</v>
      </c>
      <c r="O374" s="2">
        <v>5</v>
      </c>
      <c r="P374" s="3">
        <v>10</v>
      </c>
      <c r="Q374" s="2">
        <v>7</v>
      </c>
      <c r="R374" s="2">
        <v>324</v>
      </c>
      <c r="S374" s="2">
        <v>1</v>
      </c>
      <c r="T374" s="2">
        <v>8</v>
      </c>
      <c r="U374" s="2">
        <v>0</v>
      </c>
      <c r="V374" s="2">
        <f t="shared" si="44"/>
        <v>99</v>
      </c>
      <c r="W374" s="2">
        <v>1</v>
      </c>
      <c r="X374" s="2">
        <v>11</v>
      </c>
      <c r="Y374" s="2">
        <v>0</v>
      </c>
      <c r="Z374" s="2">
        <f t="shared" si="39"/>
        <v>12</v>
      </c>
      <c r="AA374" s="2">
        <f t="shared" si="45"/>
        <v>111</v>
      </c>
      <c r="AB374" s="2">
        <v>5161</v>
      </c>
      <c r="AC374" s="20">
        <f t="shared" si="40"/>
        <v>2.15074597946134</v>
      </c>
      <c r="AD374" s="2" t="s">
        <v>44</v>
      </c>
      <c r="AE374" s="2">
        <v>125</v>
      </c>
      <c r="AF374" s="21">
        <f t="shared" si="41"/>
        <v>3.23472195310986</v>
      </c>
      <c r="AG374" s="4">
        <f t="shared" si="46"/>
        <v>1.91823290060066</v>
      </c>
      <c r="AH374" s="4">
        <f t="shared" si="42"/>
        <v>0.232513078860686</v>
      </c>
    </row>
    <row r="375" spans="1:34">
      <c r="A375" s="2">
        <v>20260225</v>
      </c>
      <c r="B375" s="2" t="s">
        <v>793</v>
      </c>
      <c r="C375" s="2" t="s">
        <v>794</v>
      </c>
      <c r="D375" s="2">
        <v>13</v>
      </c>
      <c r="E375" s="2">
        <v>121</v>
      </c>
      <c r="F375" s="2">
        <v>41</v>
      </c>
      <c r="G375" s="2">
        <v>22</v>
      </c>
      <c r="H375" s="2">
        <v>46</v>
      </c>
      <c r="I375" s="3">
        <v>17</v>
      </c>
      <c r="J375" s="2">
        <v>16</v>
      </c>
      <c r="K375" s="2">
        <v>57</v>
      </c>
      <c r="L375" s="2">
        <v>3</v>
      </c>
      <c r="M375" s="2">
        <v>3</v>
      </c>
      <c r="N375" s="2">
        <v>33</v>
      </c>
      <c r="O375" s="2">
        <v>126</v>
      </c>
      <c r="P375" s="3">
        <v>25</v>
      </c>
      <c r="Q375" s="2">
        <v>24</v>
      </c>
      <c r="R375" s="2">
        <v>259</v>
      </c>
      <c r="S375" s="2">
        <v>0</v>
      </c>
      <c r="T375" s="2">
        <v>32</v>
      </c>
      <c r="U375" s="2">
        <v>3</v>
      </c>
      <c r="V375" s="2">
        <f t="shared" si="44"/>
        <v>213</v>
      </c>
      <c r="W375" s="2">
        <v>2</v>
      </c>
      <c r="X375" s="2">
        <v>6</v>
      </c>
      <c r="Y375" s="2">
        <v>0</v>
      </c>
      <c r="Z375" s="2">
        <f t="shared" ref="Z375:Z386" si="47">Y375+X375+W375+U375</f>
        <v>11</v>
      </c>
      <c r="AA375" s="2">
        <f t="shared" si="45"/>
        <v>224</v>
      </c>
      <c r="AB375" s="2">
        <v>3461</v>
      </c>
      <c r="AC375" s="20">
        <f t="shared" si="40"/>
        <v>6.47211788500433</v>
      </c>
      <c r="AD375" s="2" t="s">
        <v>58</v>
      </c>
      <c r="AE375" s="2">
        <v>125</v>
      </c>
      <c r="AF375" s="21">
        <f t="shared" si="41"/>
        <v>9.73406529904652</v>
      </c>
      <c r="AG375" s="4">
        <f t="shared" si="46"/>
        <v>6.15429066743716</v>
      </c>
      <c r="AH375" s="4">
        <f t="shared" si="42"/>
        <v>0.317827217567177</v>
      </c>
    </row>
    <row r="376" spans="1:34">
      <c r="A376" s="2">
        <v>20260225</v>
      </c>
      <c r="B376" s="2" t="s">
        <v>795</v>
      </c>
      <c r="C376" s="2" t="s">
        <v>796</v>
      </c>
      <c r="D376" s="2">
        <v>2</v>
      </c>
      <c r="E376" s="2">
        <v>5</v>
      </c>
      <c r="F376" s="2">
        <v>2</v>
      </c>
      <c r="G376" s="2">
        <v>2</v>
      </c>
      <c r="H376" s="2">
        <v>1</v>
      </c>
      <c r="I376" s="3">
        <v>19</v>
      </c>
      <c r="J376" s="2">
        <v>2</v>
      </c>
      <c r="K376" s="2">
        <v>6</v>
      </c>
      <c r="L376" s="2">
        <v>0</v>
      </c>
      <c r="M376" s="2">
        <v>5</v>
      </c>
      <c r="N376" s="2">
        <v>22</v>
      </c>
      <c r="O376" s="2">
        <v>0</v>
      </c>
      <c r="P376" s="3">
        <v>4</v>
      </c>
      <c r="Q376" s="2">
        <v>4</v>
      </c>
      <c r="R376" s="2">
        <v>27</v>
      </c>
      <c r="S376" s="2">
        <v>1</v>
      </c>
      <c r="T376" s="2">
        <v>4</v>
      </c>
      <c r="U376" s="2">
        <v>0</v>
      </c>
      <c r="V376" s="2">
        <f t="shared" si="44"/>
        <v>35</v>
      </c>
      <c r="W376" s="2">
        <v>1</v>
      </c>
      <c r="X376" s="2">
        <v>7</v>
      </c>
      <c r="Y376" s="2">
        <v>0</v>
      </c>
      <c r="Z376" s="2">
        <f t="shared" si="47"/>
        <v>8</v>
      </c>
      <c r="AA376" s="2">
        <f t="shared" si="45"/>
        <v>43</v>
      </c>
      <c r="AB376" s="2">
        <v>2594</v>
      </c>
      <c r="AC376" s="20">
        <f t="shared" si="40"/>
        <v>1.65767154973015</v>
      </c>
      <c r="AD376" s="2" t="s">
        <v>58</v>
      </c>
      <c r="AE376" s="2">
        <v>125</v>
      </c>
      <c r="AF376" s="21">
        <f t="shared" si="41"/>
        <v>2.49313801079414</v>
      </c>
      <c r="AG376" s="4">
        <f t="shared" si="46"/>
        <v>1.34926754047803</v>
      </c>
      <c r="AH376" s="4">
        <f t="shared" si="42"/>
        <v>0.30840400925212</v>
      </c>
    </row>
    <row r="377" spans="1:34">
      <c r="A377" s="2">
        <v>20260225</v>
      </c>
      <c r="B377" s="2" t="s">
        <v>797</v>
      </c>
      <c r="C377" s="2" t="s">
        <v>798</v>
      </c>
      <c r="D377" s="2">
        <v>24</v>
      </c>
      <c r="E377" s="2">
        <v>8</v>
      </c>
      <c r="F377" s="2">
        <v>25</v>
      </c>
      <c r="G377" s="2">
        <v>8</v>
      </c>
      <c r="H377" s="2">
        <v>20</v>
      </c>
      <c r="I377" s="3">
        <v>42</v>
      </c>
      <c r="J377" s="2">
        <v>10</v>
      </c>
      <c r="K377" s="2">
        <v>18</v>
      </c>
      <c r="L377" s="2">
        <v>2</v>
      </c>
      <c r="M377" s="2">
        <v>9</v>
      </c>
      <c r="N377" s="2">
        <v>50</v>
      </c>
      <c r="O377" s="2">
        <v>103</v>
      </c>
      <c r="P377" s="3">
        <v>13</v>
      </c>
      <c r="Q377" s="2">
        <v>27</v>
      </c>
      <c r="R377" s="2">
        <v>38</v>
      </c>
      <c r="S377" s="2">
        <v>2</v>
      </c>
      <c r="T377" s="2">
        <v>5</v>
      </c>
      <c r="U377" s="2">
        <v>1</v>
      </c>
      <c r="V377" s="2">
        <f t="shared" si="44"/>
        <v>116</v>
      </c>
      <c r="W377" s="2">
        <v>0</v>
      </c>
      <c r="X377" s="2">
        <v>11</v>
      </c>
      <c r="Y377" s="2">
        <v>0</v>
      </c>
      <c r="Z377" s="2">
        <f t="shared" si="47"/>
        <v>12</v>
      </c>
      <c r="AA377" s="2">
        <f t="shared" si="45"/>
        <v>128</v>
      </c>
      <c r="AB377" s="2">
        <v>2964</v>
      </c>
      <c r="AC377" s="20">
        <f t="shared" si="40"/>
        <v>4.31848852901484</v>
      </c>
      <c r="AD377" s="2" t="s">
        <v>58</v>
      </c>
      <c r="AE377" s="2">
        <v>125</v>
      </c>
      <c r="AF377" s="21">
        <f t="shared" si="41"/>
        <v>6.49500674763833</v>
      </c>
      <c r="AG377" s="4">
        <f t="shared" si="46"/>
        <v>3.9136302294197</v>
      </c>
      <c r="AH377" s="4">
        <f t="shared" si="42"/>
        <v>0.404858299595142</v>
      </c>
    </row>
    <row r="378" spans="1:34">
      <c r="A378" s="2">
        <v>20260225</v>
      </c>
      <c r="B378" s="2" t="s">
        <v>799</v>
      </c>
      <c r="C378" s="2" t="s">
        <v>800</v>
      </c>
      <c r="D378" s="2">
        <v>26</v>
      </c>
      <c r="E378" s="2">
        <v>5</v>
      </c>
      <c r="F378" s="2">
        <v>16</v>
      </c>
      <c r="G378" s="2">
        <v>6</v>
      </c>
      <c r="H378" s="2">
        <v>20</v>
      </c>
      <c r="I378" s="3">
        <v>26</v>
      </c>
      <c r="J378" s="2">
        <v>4</v>
      </c>
      <c r="K378" s="2">
        <v>22</v>
      </c>
      <c r="L378" s="2">
        <v>1</v>
      </c>
      <c r="M378" s="2">
        <v>1</v>
      </c>
      <c r="N378" s="2">
        <v>44</v>
      </c>
      <c r="O378" s="2">
        <v>85</v>
      </c>
      <c r="P378" s="3">
        <v>24</v>
      </c>
      <c r="Q378" s="2">
        <v>19</v>
      </c>
      <c r="R378" s="2">
        <v>26</v>
      </c>
      <c r="S378" s="2">
        <v>0</v>
      </c>
      <c r="T378" s="2">
        <v>17</v>
      </c>
      <c r="U378" s="2">
        <v>0</v>
      </c>
      <c r="V378" s="2">
        <f t="shared" si="44"/>
        <v>114</v>
      </c>
      <c r="W378" s="2">
        <v>0</v>
      </c>
      <c r="X378" s="2">
        <v>7</v>
      </c>
      <c r="Y378" s="2">
        <v>0</v>
      </c>
      <c r="Z378" s="2">
        <f t="shared" si="47"/>
        <v>7</v>
      </c>
      <c r="AA378" s="2">
        <f t="shared" si="45"/>
        <v>121</v>
      </c>
      <c r="AB378" s="2">
        <v>3083</v>
      </c>
      <c r="AC378" s="20">
        <f t="shared" si="40"/>
        <v>3.92474862147259</v>
      </c>
      <c r="AD378" s="2" t="s">
        <v>58</v>
      </c>
      <c r="AE378" s="2">
        <v>125</v>
      </c>
      <c r="AF378" s="21">
        <f t="shared" si="41"/>
        <v>5.90282192669478</v>
      </c>
      <c r="AG378" s="4">
        <f t="shared" si="46"/>
        <v>3.69769704832955</v>
      </c>
      <c r="AH378" s="4">
        <f t="shared" si="42"/>
        <v>0.227051573143042</v>
      </c>
    </row>
    <row r="379" spans="1:34">
      <c r="A379" s="2">
        <v>20260226</v>
      </c>
      <c r="B379" s="2" t="s">
        <v>801</v>
      </c>
      <c r="C379" s="2" t="s">
        <v>802</v>
      </c>
      <c r="D379" s="2">
        <v>0</v>
      </c>
      <c r="E379" s="2">
        <v>3</v>
      </c>
      <c r="F379" s="2">
        <v>4</v>
      </c>
      <c r="G379" s="2">
        <v>2</v>
      </c>
      <c r="H379" s="2">
        <v>1</v>
      </c>
      <c r="I379" s="3">
        <v>35</v>
      </c>
      <c r="J379" s="2">
        <v>7</v>
      </c>
      <c r="K379" s="2">
        <v>5</v>
      </c>
      <c r="L379" s="2">
        <v>0</v>
      </c>
      <c r="M379" s="2">
        <v>7</v>
      </c>
      <c r="N379" s="2">
        <v>17</v>
      </c>
      <c r="O379" s="2">
        <v>11</v>
      </c>
      <c r="P379" s="3">
        <v>6</v>
      </c>
      <c r="Q379" s="2">
        <v>12</v>
      </c>
      <c r="R379" s="2">
        <v>46</v>
      </c>
      <c r="S379" s="2">
        <v>0</v>
      </c>
      <c r="T379" s="2">
        <v>5</v>
      </c>
      <c r="U379" s="2">
        <v>0</v>
      </c>
      <c r="V379" s="2">
        <f t="shared" si="44"/>
        <v>36</v>
      </c>
      <c r="W379" s="2">
        <v>3</v>
      </c>
      <c r="X379" s="2">
        <v>28</v>
      </c>
      <c r="Y379" s="2">
        <v>1</v>
      </c>
      <c r="Z379" s="2">
        <f t="shared" si="47"/>
        <v>32</v>
      </c>
      <c r="AA379" s="2">
        <f t="shared" si="45"/>
        <v>68</v>
      </c>
      <c r="AB379" s="2">
        <v>5162</v>
      </c>
      <c r="AC379" s="20">
        <f t="shared" si="40"/>
        <v>1.31731886865556</v>
      </c>
      <c r="AD379" s="2" t="s">
        <v>58</v>
      </c>
      <c r="AE379" s="2">
        <v>125</v>
      </c>
      <c r="AF379" s="21">
        <f t="shared" si="41"/>
        <v>1.98124757845796</v>
      </c>
      <c r="AG379" s="4">
        <f t="shared" si="46"/>
        <v>0.697404106935296</v>
      </c>
      <c r="AH379" s="4">
        <f t="shared" si="42"/>
        <v>0.619914761720263</v>
      </c>
    </row>
    <row r="380" spans="1:34">
      <c r="A380" s="2">
        <v>20260226</v>
      </c>
      <c r="B380" s="2" t="s">
        <v>803</v>
      </c>
      <c r="C380" s="2" t="s">
        <v>804</v>
      </c>
      <c r="D380" s="2">
        <v>12</v>
      </c>
      <c r="E380" s="2">
        <v>4</v>
      </c>
      <c r="F380" s="2">
        <v>15</v>
      </c>
      <c r="G380" s="2">
        <v>7</v>
      </c>
      <c r="H380" s="2">
        <v>30</v>
      </c>
      <c r="I380" s="3">
        <v>35</v>
      </c>
      <c r="J380" s="2">
        <v>5</v>
      </c>
      <c r="K380" s="2">
        <v>48</v>
      </c>
      <c r="L380" s="2">
        <v>0</v>
      </c>
      <c r="M380" s="2">
        <v>9</v>
      </c>
      <c r="N380" s="2">
        <v>28</v>
      </c>
      <c r="O380" s="2">
        <v>66</v>
      </c>
      <c r="P380" s="3">
        <v>23</v>
      </c>
      <c r="Q380" s="2">
        <v>16</v>
      </c>
      <c r="R380" s="2">
        <v>61</v>
      </c>
      <c r="S380" s="2">
        <v>3</v>
      </c>
      <c r="T380" s="2">
        <v>16</v>
      </c>
      <c r="U380" s="2">
        <v>0</v>
      </c>
      <c r="V380" s="2">
        <f t="shared" si="44"/>
        <v>160</v>
      </c>
      <c r="W380" s="2">
        <v>2</v>
      </c>
      <c r="X380" s="2">
        <v>11</v>
      </c>
      <c r="Y380" s="2">
        <v>0</v>
      </c>
      <c r="Z380" s="2">
        <f t="shared" si="47"/>
        <v>13</v>
      </c>
      <c r="AA380" s="2">
        <f t="shared" si="45"/>
        <v>173</v>
      </c>
      <c r="AB380" s="2">
        <v>5483</v>
      </c>
      <c r="AC380" s="20">
        <f t="shared" si="40"/>
        <v>3.15520700346526</v>
      </c>
      <c r="AD380" s="2" t="s">
        <v>58</v>
      </c>
      <c r="AE380" s="2">
        <v>125</v>
      </c>
      <c r="AF380" s="21">
        <f t="shared" si="41"/>
        <v>4.74543133321175</v>
      </c>
      <c r="AG380" s="4">
        <f t="shared" si="46"/>
        <v>2.91811052343608</v>
      </c>
      <c r="AH380" s="4">
        <f t="shared" si="42"/>
        <v>0.237096480029181</v>
      </c>
    </row>
    <row r="381" spans="1:34">
      <c r="A381" s="2">
        <v>20260226</v>
      </c>
      <c r="B381" s="2" t="s">
        <v>805</v>
      </c>
      <c r="C381" s="2" t="s">
        <v>806</v>
      </c>
      <c r="D381" s="2">
        <v>0</v>
      </c>
      <c r="E381" s="2">
        <v>2</v>
      </c>
      <c r="F381" s="2">
        <v>7</v>
      </c>
      <c r="G381" s="2">
        <v>10</v>
      </c>
      <c r="H381" s="2">
        <v>8</v>
      </c>
      <c r="I381" s="3">
        <v>15</v>
      </c>
      <c r="J381" s="2">
        <v>9</v>
      </c>
      <c r="K381" s="2">
        <v>0</v>
      </c>
      <c r="L381" s="2">
        <v>1</v>
      </c>
      <c r="M381" s="2">
        <v>8</v>
      </c>
      <c r="N381" s="2">
        <v>6</v>
      </c>
      <c r="O381" s="2">
        <v>5</v>
      </c>
      <c r="P381" s="3">
        <v>12</v>
      </c>
      <c r="Q381" s="2">
        <v>3</v>
      </c>
      <c r="R381" s="2">
        <v>21</v>
      </c>
      <c r="S381" s="2">
        <v>1</v>
      </c>
      <c r="T381" s="2">
        <v>13</v>
      </c>
      <c r="U381" s="2">
        <v>1</v>
      </c>
      <c r="V381" s="2">
        <f t="shared" si="44"/>
        <v>74</v>
      </c>
      <c r="W381" s="2">
        <v>1</v>
      </c>
      <c r="X381" s="2">
        <v>1</v>
      </c>
      <c r="Y381" s="2">
        <v>0</v>
      </c>
      <c r="Z381" s="2">
        <f t="shared" si="47"/>
        <v>3</v>
      </c>
      <c r="AA381" s="2">
        <f t="shared" si="45"/>
        <v>77</v>
      </c>
      <c r="AB381" s="2">
        <v>2603</v>
      </c>
      <c r="AC381" s="20">
        <f t="shared" si="40"/>
        <v>2.95812524010757</v>
      </c>
      <c r="AD381" s="2" t="s">
        <v>58</v>
      </c>
      <c r="AE381" s="2">
        <v>125</v>
      </c>
      <c r="AF381" s="21">
        <f t="shared" si="41"/>
        <v>4.44902036112178</v>
      </c>
      <c r="AG381" s="4">
        <f t="shared" si="46"/>
        <v>2.8428736073761</v>
      </c>
      <c r="AH381" s="4">
        <f t="shared" si="42"/>
        <v>0.115251632731464</v>
      </c>
    </row>
    <row r="382" spans="1:34">
      <c r="A382" s="2">
        <v>20260226</v>
      </c>
      <c r="B382" s="2" t="s">
        <v>807</v>
      </c>
      <c r="C382" s="2" t="s">
        <v>808</v>
      </c>
      <c r="D382" s="2">
        <v>3</v>
      </c>
      <c r="E382" s="2">
        <v>1</v>
      </c>
      <c r="F382" s="2">
        <v>6</v>
      </c>
      <c r="G382" s="2">
        <v>1</v>
      </c>
      <c r="H382" s="2">
        <v>7</v>
      </c>
      <c r="I382" s="3">
        <v>4</v>
      </c>
      <c r="J382" s="2">
        <v>7</v>
      </c>
      <c r="K382" s="2">
        <v>2</v>
      </c>
      <c r="L382" s="2">
        <v>0</v>
      </c>
      <c r="M382" s="2">
        <v>5</v>
      </c>
      <c r="N382" s="2">
        <v>9</v>
      </c>
      <c r="O382" s="2">
        <v>5</v>
      </c>
      <c r="P382" s="3">
        <v>11</v>
      </c>
      <c r="Q382" s="2">
        <v>4</v>
      </c>
      <c r="R382" s="2">
        <v>23</v>
      </c>
      <c r="S382" s="2">
        <v>0</v>
      </c>
      <c r="T382" s="2">
        <v>5</v>
      </c>
      <c r="U382" s="2">
        <v>0</v>
      </c>
      <c r="V382" s="2">
        <f t="shared" si="44"/>
        <v>39</v>
      </c>
      <c r="W382" s="2">
        <v>2</v>
      </c>
      <c r="X382" s="2">
        <v>1</v>
      </c>
      <c r="Y382" s="2">
        <v>0</v>
      </c>
      <c r="Z382" s="2">
        <f t="shared" si="47"/>
        <v>3</v>
      </c>
      <c r="AA382" s="2">
        <f t="shared" si="45"/>
        <v>42</v>
      </c>
      <c r="AB382" s="2">
        <v>2603</v>
      </c>
      <c r="AC382" s="20">
        <f t="shared" si="40"/>
        <v>1.61352285824049</v>
      </c>
      <c r="AD382" s="2" t="s">
        <v>58</v>
      </c>
      <c r="AE382" s="2">
        <v>125</v>
      </c>
      <c r="AF382" s="21">
        <f t="shared" si="41"/>
        <v>2.4267383787937</v>
      </c>
      <c r="AG382" s="4">
        <f t="shared" si="46"/>
        <v>1.49827122550903</v>
      </c>
      <c r="AH382" s="4">
        <f t="shared" si="42"/>
        <v>0.115251632731464</v>
      </c>
    </row>
    <row r="383" spans="1:34">
      <c r="A383" s="2">
        <v>20260226</v>
      </c>
      <c r="B383" s="2" t="s">
        <v>809</v>
      </c>
      <c r="C383" s="2" t="s">
        <v>810</v>
      </c>
      <c r="D383" s="2">
        <v>2</v>
      </c>
      <c r="E383" s="2">
        <v>2</v>
      </c>
      <c r="F383" s="2">
        <v>0</v>
      </c>
      <c r="G383" s="2">
        <v>6</v>
      </c>
      <c r="H383" s="2">
        <v>3</v>
      </c>
      <c r="I383" s="3">
        <v>8</v>
      </c>
      <c r="J383" s="2">
        <v>7</v>
      </c>
      <c r="K383" s="2">
        <v>4</v>
      </c>
      <c r="L383" s="2">
        <v>1</v>
      </c>
      <c r="M383" s="2">
        <v>8</v>
      </c>
      <c r="N383" s="2">
        <v>27</v>
      </c>
      <c r="O383" s="2">
        <v>3</v>
      </c>
      <c r="P383" s="3">
        <v>5</v>
      </c>
      <c r="Q383" s="2">
        <v>8</v>
      </c>
      <c r="R383" s="2">
        <v>10</v>
      </c>
      <c r="S383" s="2">
        <v>1</v>
      </c>
      <c r="T383" s="2">
        <v>4</v>
      </c>
      <c r="U383" s="2">
        <v>2</v>
      </c>
      <c r="V383" s="2">
        <f t="shared" si="44"/>
        <v>44</v>
      </c>
      <c r="W383" s="2">
        <v>2</v>
      </c>
      <c r="X383" s="2">
        <v>0</v>
      </c>
      <c r="Y383" s="2">
        <v>0</v>
      </c>
      <c r="Z383" s="2">
        <f t="shared" si="47"/>
        <v>4</v>
      </c>
      <c r="AA383" s="2">
        <f t="shared" si="45"/>
        <v>48</v>
      </c>
      <c r="AB383" s="2">
        <v>2603</v>
      </c>
      <c r="AC383" s="20">
        <f t="shared" si="40"/>
        <v>1.84402612370342</v>
      </c>
      <c r="AD383" s="2" t="s">
        <v>58</v>
      </c>
      <c r="AE383" s="2">
        <v>125</v>
      </c>
      <c r="AF383" s="21">
        <f t="shared" si="41"/>
        <v>2.77341529004994</v>
      </c>
      <c r="AG383" s="4">
        <f t="shared" si="46"/>
        <v>1.69035728006147</v>
      </c>
      <c r="AH383" s="4">
        <f t="shared" si="42"/>
        <v>0.153668843641952</v>
      </c>
    </row>
    <row r="384" spans="1:34">
      <c r="A384" s="2">
        <v>20260226</v>
      </c>
      <c r="B384" s="2" t="s">
        <v>811</v>
      </c>
      <c r="C384" s="2" t="s">
        <v>812</v>
      </c>
      <c r="D384" s="2">
        <v>0</v>
      </c>
      <c r="E384" s="2">
        <v>0</v>
      </c>
      <c r="F384" s="2">
        <v>0</v>
      </c>
      <c r="G384" s="2">
        <v>3</v>
      </c>
      <c r="H384" s="2">
        <v>13</v>
      </c>
      <c r="I384" s="3">
        <v>13</v>
      </c>
      <c r="J384" s="2">
        <v>7</v>
      </c>
      <c r="K384" s="2">
        <v>1</v>
      </c>
      <c r="L384" s="2">
        <v>2</v>
      </c>
      <c r="M384" s="2">
        <v>4</v>
      </c>
      <c r="N384" s="2">
        <v>9</v>
      </c>
      <c r="O384" s="2">
        <v>0</v>
      </c>
      <c r="P384" s="3">
        <v>5</v>
      </c>
      <c r="Q384" s="2">
        <v>2</v>
      </c>
      <c r="R384" s="2">
        <v>20</v>
      </c>
      <c r="S384" s="2">
        <v>0</v>
      </c>
      <c r="T384" s="2">
        <v>2</v>
      </c>
      <c r="U384" s="2">
        <v>1</v>
      </c>
      <c r="V384" s="2">
        <f t="shared" si="44"/>
        <v>47</v>
      </c>
      <c r="W384" s="2">
        <v>0</v>
      </c>
      <c r="X384" s="2">
        <v>3</v>
      </c>
      <c r="Y384" s="2">
        <v>0</v>
      </c>
      <c r="Z384" s="2">
        <f t="shared" si="47"/>
        <v>4</v>
      </c>
      <c r="AA384" s="2">
        <f t="shared" si="45"/>
        <v>51</v>
      </c>
      <c r="AB384" s="2">
        <v>2603</v>
      </c>
      <c r="AC384" s="20">
        <f t="shared" si="40"/>
        <v>1.95927775643488</v>
      </c>
      <c r="AD384" s="2" t="s">
        <v>58</v>
      </c>
      <c r="AE384" s="2">
        <v>125</v>
      </c>
      <c r="AF384" s="21">
        <f t="shared" si="41"/>
        <v>2.94675374567806</v>
      </c>
      <c r="AG384" s="4">
        <f t="shared" si="46"/>
        <v>1.80560891279293</v>
      </c>
      <c r="AH384" s="4">
        <f t="shared" si="42"/>
        <v>0.153668843641952</v>
      </c>
    </row>
    <row r="385" spans="1:34">
      <c r="A385" s="2">
        <v>20260226</v>
      </c>
      <c r="B385" s="2" t="s">
        <v>813</v>
      </c>
      <c r="C385" s="2" t="s">
        <v>814</v>
      </c>
      <c r="D385" s="2">
        <v>2</v>
      </c>
      <c r="E385" s="2">
        <v>2</v>
      </c>
      <c r="F385" s="2">
        <v>1</v>
      </c>
      <c r="G385" s="2">
        <v>2</v>
      </c>
      <c r="H385" s="2">
        <v>3</v>
      </c>
      <c r="I385" s="3">
        <v>13</v>
      </c>
      <c r="J385" s="2">
        <v>17</v>
      </c>
      <c r="K385" s="2">
        <v>4</v>
      </c>
      <c r="L385" s="2">
        <v>3</v>
      </c>
      <c r="M385" s="2">
        <v>3</v>
      </c>
      <c r="N385" s="2">
        <v>11</v>
      </c>
      <c r="O385" s="2">
        <v>0</v>
      </c>
      <c r="P385" s="3">
        <v>11</v>
      </c>
      <c r="Q385" s="2">
        <v>2</v>
      </c>
      <c r="R385" s="2">
        <v>0</v>
      </c>
      <c r="S385" s="2">
        <v>2</v>
      </c>
      <c r="T385" s="2">
        <v>2</v>
      </c>
      <c r="U385" s="2">
        <v>5</v>
      </c>
      <c r="V385" s="2">
        <f t="shared" si="44"/>
        <v>56</v>
      </c>
      <c r="W385" s="2">
        <v>2</v>
      </c>
      <c r="X385" s="2">
        <v>0</v>
      </c>
      <c r="Y385" s="2">
        <v>0</v>
      </c>
      <c r="Z385" s="2">
        <f t="shared" si="47"/>
        <v>7</v>
      </c>
      <c r="AA385" s="2">
        <f t="shared" si="45"/>
        <v>63</v>
      </c>
      <c r="AB385" s="2">
        <v>3103</v>
      </c>
      <c r="AC385" s="20">
        <f t="shared" si="40"/>
        <v>2.03029326458266</v>
      </c>
      <c r="AD385" s="2" t="s">
        <v>58</v>
      </c>
      <c r="AE385" s="2">
        <v>125</v>
      </c>
      <c r="AF385" s="21">
        <f t="shared" si="41"/>
        <v>3.05356106993232</v>
      </c>
      <c r="AG385" s="4">
        <f t="shared" si="46"/>
        <v>1.80470512407348</v>
      </c>
      <c r="AH385" s="4">
        <f t="shared" si="42"/>
        <v>0.225588140509185</v>
      </c>
    </row>
    <row r="386" spans="1:34">
      <c r="A386" s="2">
        <v>20260226</v>
      </c>
      <c r="B386" s="2" t="s">
        <v>815</v>
      </c>
      <c r="C386" s="2" t="s">
        <v>816</v>
      </c>
      <c r="D386" s="2">
        <v>0</v>
      </c>
      <c r="E386" s="2">
        <v>1</v>
      </c>
      <c r="F386" s="2">
        <v>0</v>
      </c>
      <c r="G386" s="2">
        <v>5</v>
      </c>
      <c r="H386" s="2">
        <v>7</v>
      </c>
      <c r="I386" s="3">
        <v>25</v>
      </c>
      <c r="J386" s="2">
        <v>4</v>
      </c>
      <c r="K386" s="2">
        <v>6</v>
      </c>
      <c r="L386" s="2">
        <v>0</v>
      </c>
      <c r="M386" s="2">
        <v>3</v>
      </c>
      <c r="N386" s="2">
        <v>21</v>
      </c>
      <c r="O386" s="2">
        <v>2</v>
      </c>
      <c r="P386" s="3">
        <v>8</v>
      </c>
      <c r="Q386" s="2">
        <v>10</v>
      </c>
      <c r="R386" s="2">
        <v>29</v>
      </c>
      <c r="S386" s="2">
        <v>0</v>
      </c>
      <c r="T386" s="2">
        <v>3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f t="shared" si="47"/>
        <v>0</v>
      </c>
      <c r="AA386" s="2">
        <f t="shared" si="45"/>
        <v>61</v>
      </c>
      <c r="AB386" s="2">
        <v>3003</v>
      </c>
      <c r="AC386" s="20">
        <f t="shared" ref="AC386:AC416" si="48">AA386/AB386*100</f>
        <v>2.03130203130203</v>
      </c>
      <c r="AD386" s="2" t="s">
        <v>58</v>
      </c>
      <c r="AE386" s="2">
        <v>125</v>
      </c>
      <c r="AF386" s="21">
        <f t="shared" ref="AF386:AF416" si="49">188/AE386*AC386</f>
        <v>3.05507825507826</v>
      </c>
      <c r="AG386" s="4">
        <f t="shared" si="46"/>
        <v>0</v>
      </c>
      <c r="AH386" s="4">
        <f t="shared" ref="AH386:AH416" si="50">Z386/AB386*100</f>
        <v>0</v>
      </c>
    </row>
    <row r="387" spans="1:34">
      <c r="A387" s="2">
        <v>20260226</v>
      </c>
      <c r="B387" s="2" t="s">
        <v>817</v>
      </c>
      <c r="C387" s="2" t="s">
        <v>818</v>
      </c>
      <c r="D387" s="2">
        <v>0</v>
      </c>
      <c r="E387" s="2">
        <v>6</v>
      </c>
      <c r="F387" s="2">
        <v>2</v>
      </c>
      <c r="G387" s="2">
        <v>2</v>
      </c>
      <c r="H387" s="2">
        <v>17</v>
      </c>
      <c r="I387" s="3">
        <v>1</v>
      </c>
      <c r="J387" s="2">
        <v>3</v>
      </c>
      <c r="K387" s="2">
        <v>0</v>
      </c>
      <c r="L387" s="2">
        <v>5</v>
      </c>
      <c r="M387" s="2">
        <v>19</v>
      </c>
      <c r="N387" s="2">
        <v>1</v>
      </c>
      <c r="O387" s="2">
        <v>3</v>
      </c>
      <c r="P387" s="3">
        <v>12</v>
      </c>
      <c r="Q387" s="2">
        <v>21</v>
      </c>
      <c r="R387" s="2">
        <v>2</v>
      </c>
      <c r="S387" s="2">
        <v>4</v>
      </c>
      <c r="T387" s="2">
        <v>0</v>
      </c>
      <c r="U387" s="2">
        <v>0</v>
      </c>
      <c r="V387" s="2">
        <f t="shared" ref="V387:V416" si="51">AA387-Y387-X387-W387-U387</f>
        <v>59</v>
      </c>
      <c r="W387" s="2">
        <v>0</v>
      </c>
      <c r="X387" s="2">
        <v>0</v>
      </c>
      <c r="Y387" s="2">
        <v>0</v>
      </c>
      <c r="Z387" s="2">
        <v>0</v>
      </c>
      <c r="AA387" s="2">
        <f t="shared" si="45"/>
        <v>59</v>
      </c>
      <c r="AB387" s="2">
        <v>2106</v>
      </c>
      <c r="AC387" s="20">
        <f t="shared" si="48"/>
        <v>2.80151946818613</v>
      </c>
      <c r="AD387" s="2" t="s">
        <v>58</v>
      </c>
      <c r="AE387" s="2">
        <v>125</v>
      </c>
      <c r="AF387" s="21">
        <f t="shared" si="49"/>
        <v>4.21348528015195</v>
      </c>
      <c r="AG387" s="4">
        <f t="shared" si="46"/>
        <v>2.80151946818613</v>
      </c>
      <c r="AH387" s="4">
        <f t="shared" si="50"/>
        <v>0</v>
      </c>
    </row>
    <row r="388" spans="1:34">
      <c r="A388" s="2">
        <v>20260226</v>
      </c>
      <c r="B388" s="2" t="s">
        <v>819</v>
      </c>
      <c r="C388" s="2" t="s">
        <v>820</v>
      </c>
      <c r="D388" s="2">
        <v>1</v>
      </c>
      <c r="E388" s="2">
        <v>0</v>
      </c>
      <c r="F388" s="2">
        <v>3</v>
      </c>
      <c r="G388" s="2">
        <v>1</v>
      </c>
      <c r="H388" s="2">
        <v>4</v>
      </c>
      <c r="I388" s="3">
        <v>19</v>
      </c>
      <c r="J388" s="2">
        <v>5</v>
      </c>
      <c r="K388" s="2">
        <v>6</v>
      </c>
      <c r="L388" s="2">
        <v>0</v>
      </c>
      <c r="M388" s="2">
        <v>2</v>
      </c>
      <c r="N388" s="2">
        <v>24</v>
      </c>
      <c r="O388" s="2">
        <v>1</v>
      </c>
      <c r="P388" s="3">
        <v>4</v>
      </c>
      <c r="Q388" s="2">
        <v>19</v>
      </c>
      <c r="R388" s="2">
        <v>49</v>
      </c>
      <c r="S388" s="2">
        <v>0</v>
      </c>
      <c r="T388" s="2">
        <v>3</v>
      </c>
      <c r="U388" s="2">
        <v>0</v>
      </c>
      <c r="V388" s="2">
        <f t="shared" si="51"/>
        <v>41</v>
      </c>
      <c r="W388" s="2">
        <v>1</v>
      </c>
      <c r="X388" s="2">
        <v>2</v>
      </c>
      <c r="Y388" s="2">
        <v>0</v>
      </c>
      <c r="Z388" s="2">
        <f t="shared" ref="Z388:Z416" si="52">Y388+X388+W388+U388</f>
        <v>3</v>
      </c>
      <c r="AA388" s="2">
        <f t="shared" si="45"/>
        <v>44</v>
      </c>
      <c r="AB388" s="2">
        <v>2106</v>
      </c>
      <c r="AC388" s="20">
        <f t="shared" si="48"/>
        <v>2.08926875593542</v>
      </c>
      <c r="AD388" s="2" t="s">
        <v>44</v>
      </c>
      <c r="AE388" s="2">
        <v>125</v>
      </c>
      <c r="AF388" s="21">
        <f t="shared" si="49"/>
        <v>3.14226020892688</v>
      </c>
      <c r="AG388" s="4">
        <f t="shared" si="46"/>
        <v>1.94681861348528</v>
      </c>
      <c r="AH388" s="4">
        <f t="shared" si="50"/>
        <v>0.142450142450142</v>
      </c>
    </row>
    <row r="389" spans="1:34">
      <c r="A389" s="2">
        <v>20260226</v>
      </c>
      <c r="B389" s="2" t="s">
        <v>821</v>
      </c>
      <c r="C389" s="2" t="s">
        <v>822</v>
      </c>
      <c r="D389" s="2">
        <v>2</v>
      </c>
      <c r="E389" s="2">
        <v>0</v>
      </c>
      <c r="F389" s="2">
        <v>3</v>
      </c>
      <c r="G389" s="2">
        <v>3</v>
      </c>
      <c r="H389" s="2">
        <v>3</v>
      </c>
      <c r="I389" s="3">
        <v>16</v>
      </c>
      <c r="J389" s="2">
        <v>19</v>
      </c>
      <c r="K389" s="2">
        <v>4</v>
      </c>
      <c r="L389" s="2">
        <v>0</v>
      </c>
      <c r="M389" s="2">
        <v>8</v>
      </c>
      <c r="N389" s="2">
        <v>22</v>
      </c>
      <c r="O389" s="2">
        <v>2</v>
      </c>
      <c r="P389" s="3">
        <v>7</v>
      </c>
      <c r="Q389" s="2">
        <v>4</v>
      </c>
      <c r="R389" s="2">
        <v>114</v>
      </c>
      <c r="S389" s="2">
        <v>2</v>
      </c>
      <c r="T389" s="2">
        <v>5</v>
      </c>
      <c r="U389" s="2">
        <v>0</v>
      </c>
      <c r="V389" s="2">
        <f t="shared" si="51"/>
        <v>59</v>
      </c>
      <c r="W389" s="2">
        <v>5</v>
      </c>
      <c r="X389" s="2">
        <v>1</v>
      </c>
      <c r="Y389" s="2">
        <v>0</v>
      </c>
      <c r="Z389" s="2">
        <f t="shared" si="52"/>
        <v>6</v>
      </c>
      <c r="AA389" s="2">
        <f t="shared" si="45"/>
        <v>65</v>
      </c>
      <c r="AB389" s="2">
        <v>4162</v>
      </c>
      <c r="AC389" s="20">
        <f t="shared" si="48"/>
        <v>1.56174915905815</v>
      </c>
      <c r="AD389" s="2" t="s">
        <v>44</v>
      </c>
      <c r="AE389" s="2">
        <v>125</v>
      </c>
      <c r="AF389" s="21">
        <f t="shared" si="49"/>
        <v>2.34887073522345</v>
      </c>
      <c r="AG389" s="4">
        <f t="shared" si="46"/>
        <v>1.41758769822201</v>
      </c>
      <c r="AH389" s="4">
        <f t="shared" si="50"/>
        <v>0.144161460836136</v>
      </c>
    </row>
    <row r="390" spans="1:34">
      <c r="A390" s="2">
        <v>20260226</v>
      </c>
      <c r="B390" s="2" t="s">
        <v>823</v>
      </c>
      <c r="C390" s="2" t="s">
        <v>824</v>
      </c>
      <c r="D390" s="2">
        <v>2</v>
      </c>
      <c r="E390" s="2">
        <v>1</v>
      </c>
      <c r="F390" s="2">
        <v>0</v>
      </c>
      <c r="G390" s="2">
        <v>3</v>
      </c>
      <c r="H390" s="2">
        <v>1</v>
      </c>
      <c r="I390" s="3">
        <v>4</v>
      </c>
      <c r="J390" s="2">
        <v>8</v>
      </c>
      <c r="K390" s="2">
        <v>6</v>
      </c>
      <c r="L390" s="2">
        <v>0</v>
      </c>
      <c r="M390" s="2">
        <v>3</v>
      </c>
      <c r="N390" s="2">
        <v>25</v>
      </c>
      <c r="O390" s="2">
        <v>0</v>
      </c>
      <c r="P390" s="3">
        <v>5</v>
      </c>
      <c r="Q390" s="2">
        <v>17</v>
      </c>
      <c r="R390" s="2">
        <v>56</v>
      </c>
      <c r="S390" s="2">
        <v>1</v>
      </c>
      <c r="T390" s="2">
        <v>0</v>
      </c>
      <c r="U390" s="2">
        <v>0</v>
      </c>
      <c r="V390" s="2">
        <f t="shared" si="51"/>
        <v>30</v>
      </c>
      <c r="W390" s="2">
        <v>0</v>
      </c>
      <c r="X390" s="2">
        <v>0</v>
      </c>
      <c r="Y390" s="2">
        <v>0</v>
      </c>
      <c r="Z390" s="2">
        <f t="shared" si="52"/>
        <v>0</v>
      </c>
      <c r="AA390" s="2">
        <f t="shared" si="45"/>
        <v>30</v>
      </c>
      <c r="AB390" s="2">
        <v>2106</v>
      </c>
      <c r="AC390" s="20">
        <f t="shared" si="48"/>
        <v>1.42450142450142</v>
      </c>
      <c r="AD390" s="2" t="s">
        <v>44</v>
      </c>
      <c r="AE390" s="2">
        <v>125</v>
      </c>
      <c r="AF390" s="21">
        <f t="shared" si="49"/>
        <v>2.14245014245014</v>
      </c>
      <c r="AG390" s="4">
        <f t="shared" si="46"/>
        <v>1.42450142450142</v>
      </c>
      <c r="AH390" s="4">
        <f t="shared" si="50"/>
        <v>0</v>
      </c>
    </row>
    <row r="391" spans="1:34">
      <c r="A391" s="2">
        <v>20260226</v>
      </c>
      <c r="B391" s="2" t="s">
        <v>825</v>
      </c>
      <c r="C391" s="2" t="s">
        <v>826</v>
      </c>
      <c r="D391" s="2">
        <v>7</v>
      </c>
      <c r="E391" s="2">
        <v>1</v>
      </c>
      <c r="F391" s="2">
        <v>13</v>
      </c>
      <c r="G391" s="2">
        <v>5</v>
      </c>
      <c r="H391" s="2">
        <v>9</v>
      </c>
      <c r="I391" s="3">
        <v>10</v>
      </c>
      <c r="J391" s="2">
        <v>12</v>
      </c>
      <c r="K391" s="2">
        <v>5</v>
      </c>
      <c r="L391" s="2">
        <v>0</v>
      </c>
      <c r="M391" s="2">
        <v>28</v>
      </c>
      <c r="N391" s="2">
        <v>19</v>
      </c>
      <c r="O391" s="2">
        <v>12</v>
      </c>
      <c r="P391" s="3">
        <v>4</v>
      </c>
      <c r="Q391" s="2">
        <v>16</v>
      </c>
      <c r="R391" s="2">
        <v>3</v>
      </c>
      <c r="S391" s="2">
        <v>0</v>
      </c>
      <c r="T391" s="2">
        <v>2</v>
      </c>
      <c r="U391" s="2">
        <v>1</v>
      </c>
      <c r="V391" s="2">
        <f t="shared" si="51"/>
        <v>64</v>
      </c>
      <c r="W391" s="2">
        <v>10</v>
      </c>
      <c r="X391" s="2">
        <v>1</v>
      </c>
      <c r="Y391" s="2">
        <v>0</v>
      </c>
      <c r="Z391" s="2">
        <f t="shared" si="52"/>
        <v>12</v>
      </c>
      <c r="AA391" s="2">
        <f t="shared" si="45"/>
        <v>76</v>
      </c>
      <c r="AB391" s="2">
        <v>2085</v>
      </c>
      <c r="AC391" s="20">
        <f t="shared" si="48"/>
        <v>3.64508393285372</v>
      </c>
      <c r="AD391" s="2" t="s">
        <v>58</v>
      </c>
      <c r="AE391" s="2">
        <v>188</v>
      </c>
      <c r="AF391" s="21">
        <f t="shared" si="49"/>
        <v>3.64508393285372</v>
      </c>
      <c r="AG391" s="4">
        <f t="shared" si="46"/>
        <v>3.06954436450839</v>
      </c>
      <c r="AH391" s="4">
        <f t="shared" si="50"/>
        <v>0.575539568345324</v>
      </c>
    </row>
    <row r="392" spans="1:34">
      <c r="A392" s="2">
        <v>20260226</v>
      </c>
      <c r="B392" s="2" t="s">
        <v>827</v>
      </c>
      <c r="C392" s="2" t="s">
        <v>828</v>
      </c>
      <c r="D392" s="2">
        <v>2</v>
      </c>
      <c r="E392" s="2">
        <v>389</v>
      </c>
      <c r="F392" s="2">
        <v>8</v>
      </c>
      <c r="G392" s="2">
        <v>2</v>
      </c>
      <c r="H392" s="2">
        <v>41</v>
      </c>
      <c r="I392" s="3">
        <v>21</v>
      </c>
      <c r="J392" s="2">
        <v>12</v>
      </c>
      <c r="K392" s="2">
        <v>4</v>
      </c>
      <c r="L392" s="2">
        <v>1</v>
      </c>
      <c r="M392" s="2">
        <v>17</v>
      </c>
      <c r="N392" s="2">
        <v>10</v>
      </c>
      <c r="O392" s="2">
        <v>3</v>
      </c>
      <c r="P392" s="3">
        <v>3</v>
      </c>
      <c r="Q392" s="2">
        <v>15</v>
      </c>
      <c r="R392" s="2">
        <v>31</v>
      </c>
      <c r="S392" s="2">
        <v>2</v>
      </c>
      <c r="T392" s="2">
        <v>1</v>
      </c>
      <c r="U392" s="2">
        <v>2</v>
      </c>
      <c r="V392" s="2">
        <f t="shared" si="51"/>
        <v>95</v>
      </c>
      <c r="W392" s="2">
        <v>6</v>
      </c>
      <c r="X392" s="2">
        <v>1</v>
      </c>
      <c r="Y392" s="2">
        <v>0</v>
      </c>
      <c r="Z392" s="2">
        <f t="shared" si="52"/>
        <v>9</v>
      </c>
      <c r="AA392" s="2">
        <f t="shared" si="45"/>
        <v>104</v>
      </c>
      <c r="AB392" s="2">
        <v>2785</v>
      </c>
      <c r="AC392" s="20">
        <f t="shared" si="48"/>
        <v>3.7342908438061</v>
      </c>
      <c r="AD392" s="2" t="s">
        <v>58</v>
      </c>
      <c r="AE392" s="2">
        <v>188</v>
      </c>
      <c r="AF392" s="21">
        <f t="shared" si="49"/>
        <v>3.7342908438061</v>
      </c>
      <c r="AG392" s="4">
        <f t="shared" si="46"/>
        <v>3.41113105924596</v>
      </c>
      <c r="AH392" s="4">
        <f t="shared" si="50"/>
        <v>0.323159784560144</v>
      </c>
    </row>
    <row r="393" spans="1:34">
      <c r="A393" s="2">
        <v>20260226</v>
      </c>
      <c r="B393" s="2" t="s">
        <v>829</v>
      </c>
      <c r="C393" s="2" t="s">
        <v>830</v>
      </c>
      <c r="D393" s="2">
        <v>2</v>
      </c>
      <c r="E393" s="2">
        <v>10</v>
      </c>
      <c r="F393" s="2">
        <v>9</v>
      </c>
      <c r="G393" s="2">
        <v>3</v>
      </c>
      <c r="H393" s="2">
        <v>15</v>
      </c>
      <c r="I393" s="3">
        <v>43</v>
      </c>
      <c r="J393" s="2">
        <v>15</v>
      </c>
      <c r="K393" s="2">
        <v>1</v>
      </c>
      <c r="L393" s="2">
        <v>0</v>
      </c>
      <c r="M393" s="2">
        <v>9</v>
      </c>
      <c r="N393" s="2">
        <v>21</v>
      </c>
      <c r="O393" s="2">
        <v>14</v>
      </c>
      <c r="P393" s="3">
        <v>1</v>
      </c>
      <c r="Q393" s="2">
        <v>21</v>
      </c>
      <c r="R393" s="2">
        <v>127</v>
      </c>
      <c r="S393" s="2">
        <v>4</v>
      </c>
      <c r="T393" s="2">
        <v>1</v>
      </c>
      <c r="U393" s="2">
        <v>1</v>
      </c>
      <c r="V393" s="2">
        <f t="shared" si="51"/>
        <v>82</v>
      </c>
      <c r="W393" s="2">
        <v>1</v>
      </c>
      <c r="X393" s="2">
        <v>4</v>
      </c>
      <c r="Y393" s="2">
        <v>1</v>
      </c>
      <c r="Z393" s="2">
        <f t="shared" si="52"/>
        <v>7</v>
      </c>
      <c r="AA393" s="2">
        <f t="shared" si="45"/>
        <v>89</v>
      </c>
      <c r="AB393" s="2">
        <v>3015</v>
      </c>
      <c r="AC393" s="20">
        <f t="shared" si="48"/>
        <v>2.95190713101161</v>
      </c>
      <c r="AD393" s="2" t="s">
        <v>58</v>
      </c>
      <c r="AE393" s="2">
        <v>188</v>
      </c>
      <c r="AF393" s="21">
        <f t="shared" si="49"/>
        <v>2.95190713101161</v>
      </c>
      <c r="AG393" s="4">
        <f t="shared" si="46"/>
        <v>2.71973466003317</v>
      </c>
      <c r="AH393" s="4">
        <f t="shared" si="50"/>
        <v>0.232172470978441</v>
      </c>
    </row>
    <row r="394" spans="1:34">
      <c r="A394" s="2">
        <v>20260226</v>
      </c>
      <c r="B394" s="2" t="s">
        <v>831</v>
      </c>
      <c r="C394" s="2" t="s">
        <v>832</v>
      </c>
      <c r="D394" s="2">
        <v>5</v>
      </c>
      <c r="E394" s="2">
        <v>28</v>
      </c>
      <c r="F394" s="2">
        <v>24</v>
      </c>
      <c r="G394" s="2">
        <v>6</v>
      </c>
      <c r="H394" s="2">
        <v>14</v>
      </c>
      <c r="I394" s="3">
        <v>14</v>
      </c>
      <c r="J394" s="2">
        <v>13</v>
      </c>
      <c r="K394" s="2">
        <v>17</v>
      </c>
      <c r="L394" s="2">
        <v>2</v>
      </c>
      <c r="M394" s="2">
        <v>8</v>
      </c>
      <c r="N394" s="2">
        <v>28</v>
      </c>
      <c r="O394" s="2">
        <v>55</v>
      </c>
      <c r="P394" s="3">
        <v>10</v>
      </c>
      <c r="Q394" s="2">
        <v>13</v>
      </c>
      <c r="R394" s="2">
        <v>43</v>
      </c>
      <c r="S394" s="2">
        <v>2</v>
      </c>
      <c r="T394" s="2">
        <v>20</v>
      </c>
      <c r="U394" s="2">
        <v>0</v>
      </c>
      <c r="V394" s="2">
        <f t="shared" si="51"/>
        <v>97</v>
      </c>
      <c r="W394" s="2">
        <v>1</v>
      </c>
      <c r="X394" s="2">
        <v>6</v>
      </c>
      <c r="Y394" s="2">
        <v>0</v>
      </c>
      <c r="Z394" s="2">
        <f t="shared" si="52"/>
        <v>7</v>
      </c>
      <c r="AA394" s="2">
        <f t="shared" si="45"/>
        <v>104</v>
      </c>
      <c r="AB394" s="2">
        <v>2945</v>
      </c>
      <c r="AC394" s="20">
        <f t="shared" si="48"/>
        <v>3.53140916808149</v>
      </c>
      <c r="AD394" s="2" t="s">
        <v>58</v>
      </c>
      <c r="AE394" s="2">
        <v>188</v>
      </c>
      <c r="AF394" s="21">
        <f t="shared" si="49"/>
        <v>3.53140916808149</v>
      </c>
      <c r="AG394" s="4">
        <f t="shared" si="46"/>
        <v>3.2937181663837</v>
      </c>
      <c r="AH394" s="4">
        <f t="shared" si="50"/>
        <v>0.237691001697793</v>
      </c>
    </row>
    <row r="395" spans="1:34">
      <c r="A395" s="2">
        <v>20260226</v>
      </c>
      <c r="B395" s="2" t="s">
        <v>833</v>
      </c>
      <c r="C395" s="2" t="s">
        <v>834</v>
      </c>
      <c r="D395" s="2">
        <v>6</v>
      </c>
      <c r="E395" s="2">
        <v>26</v>
      </c>
      <c r="F395" s="2">
        <v>18</v>
      </c>
      <c r="G395" s="2">
        <v>2</v>
      </c>
      <c r="H395" s="2">
        <v>11</v>
      </c>
      <c r="I395" s="3">
        <v>13</v>
      </c>
      <c r="J395" s="2">
        <v>9</v>
      </c>
      <c r="K395" s="2">
        <v>1</v>
      </c>
      <c r="L395" s="2">
        <v>1</v>
      </c>
      <c r="M395" s="2">
        <v>21</v>
      </c>
      <c r="N395" s="2">
        <v>26</v>
      </c>
      <c r="O395" s="2">
        <v>23</v>
      </c>
      <c r="P395" s="3">
        <v>4</v>
      </c>
      <c r="Q395" s="2">
        <v>29</v>
      </c>
      <c r="R395" s="2">
        <v>18</v>
      </c>
      <c r="S395" s="2">
        <v>1</v>
      </c>
      <c r="T395" s="2">
        <v>1</v>
      </c>
      <c r="U395" s="2">
        <v>1</v>
      </c>
      <c r="V395" s="2">
        <f t="shared" si="51"/>
        <v>58</v>
      </c>
      <c r="W395" s="2">
        <v>0</v>
      </c>
      <c r="X395" s="2">
        <v>5</v>
      </c>
      <c r="Y395" s="2">
        <v>0</v>
      </c>
      <c r="Z395" s="2">
        <f t="shared" si="52"/>
        <v>6</v>
      </c>
      <c r="AA395" s="2">
        <f t="shared" si="45"/>
        <v>64</v>
      </c>
      <c r="AB395" s="2">
        <v>2705</v>
      </c>
      <c r="AC395" s="20">
        <f t="shared" si="48"/>
        <v>2.36598890942699</v>
      </c>
      <c r="AD395" s="2" t="s">
        <v>58</v>
      </c>
      <c r="AE395" s="2">
        <v>188</v>
      </c>
      <c r="AF395" s="21">
        <f t="shared" si="49"/>
        <v>2.36598890942699</v>
      </c>
      <c r="AG395" s="4">
        <f t="shared" si="46"/>
        <v>2.14417744916821</v>
      </c>
      <c r="AH395" s="4">
        <f t="shared" si="50"/>
        <v>0.22181146025878</v>
      </c>
    </row>
    <row r="396" spans="1:34">
      <c r="A396" s="2">
        <v>20260227</v>
      </c>
      <c r="B396" s="8" t="s">
        <v>835</v>
      </c>
      <c r="C396" s="2" t="s">
        <v>836</v>
      </c>
      <c r="D396" s="2">
        <v>2</v>
      </c>
      <c r="E396" s="2">
        <v>1766</v>
      </c>
      <c r="F396" s="2">
        <v>12</v>
      </c>
      <c r="G396" s="2">
        <v>5</v>
      </c>
      <c r="H396" s="2">
        <v>4</v>
      </c>
      <c r="I396" s="3">
        <v>8</v>
      </c>
      <c r="J396" s="2">
        <v>11</v>
      </c>
      <c r="K396" s="2">
        <v>4</v>
      </c>
      <c r="L396" s="2">
        <v>2</v>
      </c>
      <c r="M396" s="2">
        <v>7</v>
      </c>
      <c r="N396" s="2">
        <v>2</v>
      </c>
      <c r="O396" s="2">
        <v>30</v>
      </c>
      <c r="P396" s="3">
        <v>2</v>
      </c>
      <c r="Q396" s="2">
        <v>8</v>
      </c>
      <c r="R396" s="2">
        <v>5</v>
      </c>
      <c r="S396" s="2">
        <v>0</v>
      </c>
      <c r="T396" s="2">
        <v>4</v>
      </c>
      <c r="U396" s="2">
        <v>0</v>
      </c>
      <c r="V396" s="2">
        <f t="shared" si="51"/>
        <v>43</v>
      </c>
      <c r="W396" s="2">
        <v>1</v>
      </c>
      <c r="X396" s="2">
        <v>3</v>
      </c>
      <c r="Y396" s="2">
        <v>0</v>
      </c>
      <c r="Z396" s="2">
        <f t="shared" si="52"/>
        <v>4</v>
      </c>
      <c r="AA396" s="2">
        <f t="shared" si="45"/>
        <v>47</v>
      </c>
      <c r="AB396" s="2">
        <v>2076</v>
      </c>
      <c r="AC396" s="20">
        <f t="shared" si="48"/>
        <v>2.26396917148362</v>
      </c>
      <c r="AD396" s="2" t="s">
        <v>58</v>
      </c>
      <c r="AE396" s="2">
        <v>188</v>
      </c>
      <c r="AF396" s="21">
        <f t="shared" si="49"/>
        <v>2.26396917148362</v>
      </c>
      <c r="AG396" s="4">
        <f t="shared" si="46"/>
        <v>2.07129094412331</v>
      </c>
      <c r="AH396" s="4">
        <f t="shared" si="50"/>
        <v>0.192678227360308</v>
      </c>
    </row>
    <row r="397" spans="1:34">
      <c r="A397" s="2">
        <v>20260227</v>
      </c>
      <c r="B397" s="2" t="s">
        <v>837</v>
      </c>
      <c r="C397" s="2" t="s">
        <v>838</v>
      </c>
      <c r="D397" s="2">
        <v>2</v>
      </c>
      <c r="E397" s="2">
        <v>0</v>
      </c>
      <c r="F397" s="2">
        <v>11</v>
      </c>
      <c r="G397" s="2">
        <v>5</v>
      </c>
      <c r="H397" s="2">
        <v>1</v>
      </c>
      <c r="I397" s="3">
        <v>7</v>
      </c>
      <c r="J397" s="2">
        <v>11</v>
      </c>
      <c r="K397" s="2">
        <v>0</v>
      </c>
      <c r="L397" s="2">
        <v>2</v>
      </c>
      <c r="M397" s="2">
        <v>6</v>
      </c>
      <c r="N397" s="2">
        <v>15</v>
      </c>
      <c r="O397" s="2">
        <v>10</v>
      </c>
      <c r="P397" s="3">
        <v>2</v>
      </c>
      <c r="Q397" s="2">
        <v>19</v>
      </c>
      <c r="R397" s="2">
        <v>8</v>
      </c>
      <c r="S397" s="2">
        <v>2</v>
      </c>
      <c r="T397" s="2">
        <v>0</v>
      </c>
      <c r="U397" s="2">
        <v>1</v>
      </c>
      <c r="V397" s="2">
        <f t="shared" si="51"/>
        <v>31</v>
      </c>
      <c r="W397" s="2">
        <v>0</v>
      </c>
      <c r="X397" s="2">
        <v>3</v>
      </c>
      <c r="Y397" s="2">
        <v>0</v>
      </c>
      <c r="Z397" s="2">
        <f t="shared" si="52"/>
        <v>4</v>
      </c>
      <c r="AA397" s="2">
        <f t="shared" si="45"/>
        <v>35</v>
      </c>
      <c r="AB397" s="2">
        <v>2076</v>
      </c>
      <c r="AC397" s="20">
        <f t="shared" si="48"/>
        <v>1.6859344894027</v>
      </c>
      <c r="AD397" s="2" t="s">
        <v>58</v>
      </c>
      <c r="AE397" s="2">
        <v>188</v>
      </c>
      <c r="AF397" s="21">
        <f t="shared" si="49"/>
        <v>1.6859344894027</v>
      </c>
      <c r="AG397" s="4">
        <f t="shared" si="46"/>
        <v>1.49325626204239</v>
      </c>
      <c r="AH397" s="4">
        <f t="shared" si="50"/>
        <v>0.192678227360308</v>
      </c>
    </row>
    <row r="398" spans="1:34">
      <c r="A398" s="2">
        <v>20260227</v>
      </c>
      <c r="B398" s="2" t="s">
        <v>839</v>
      </c>
      <c r="C398" s="2" t="s">
        <v>840</v>
      </c>
      <c r="D398" s="2">
        <v>3</v>
      </c>
      <c r="E398" s="2">
        <v>1</v>
      </c>
      <c r="F398" s="2">
        <v>14</v>
      </c>
      <c r="G398" s="2">
        <v>2</v>
      </c>
      <c r="H398" s="2">
        <v>4</v>
      </c>
      <c r="I398" s="3">
        <v>16</v>
      </c>
      <c r="J398" s="2">
        <v>1</v>
      </c>
      <c r="K398" s="2">
        <v>2</v>
      </c>
      <c r="L398" s="2">
        <v>4</v>
      </c>
      <c r="M398" s="2">
        <v>2</v>
      </c>
      <c r="N398" s="2">
        <v>14</v>
      </c>
      <c r="O398" s="2">
        <v>26</v>
      </c>
      <c r="P398" s="3">
        <v>3</v>
      </c>
      <c r="Q398" s="2">
        <v>19</v>
      </c>
      <c r="R398" s="2">
        <v>2</v>
      </c>
      <c r="S398" s="2">
        <v>0</v>
      </c>
      <c r="T398" s="2">
        <v>3</v>
      </c>
      <c r="U398" s="2">
        <v>2</v>
      </c>
      <c r="V398" s="2">
        <f t="shared" si="51"/>
        <v>29</v>
      </c>
      <c r="W398" s="2">
        <v>0</v>
      </c>
      <c r="X398" s="2">
        <v>8</v>
      </c>
      <c r="Y398" s="2">
        <v>0</v>
      </c>
      <c r="Z398" s="2">
        <f t="shared" si="52"/>
        <v>10</v>
      </c>
      <c r="AA398" s="2">
        <f t="shared" si="45"/>
        <v>39</v>
      </c>
      <c r="AB398" s="2">
        <v>2076</v>
      </c>
      <c r="AC398" s="20">
        <f t="shared" si="48"/>
        <v>1.87861271676301</v>
      </c>
      <c r="AD398" s="2" t="s">
        <v>58</v>
      </c>
      <c r="AE398" s="2">
        <v>188</v>
      </c>
      <c r="AF398" s="21">
        <f t="shared" si="49"/>
        <v>1.87861271676301</v>
      </c>
      <c r="AG398" s="4">
        <f t="shared" si="46"/>
        <v>1.39691714836224</v>
      </c>
      <c r="AH398" s="4">
        <f t="shared" si="50"/>
        <v>0.481695568400771</v>
      </c>
    </row>
    <row r="399" spans="1:34">
      <c r="A399" s="2">
        <v>20260227</v>
      </c>
      <c r="B399" s="2" t="s">
        <v>841</v>
      </c>
      <c r="C399" s="2" t="s">
        <v>842</v>
      </c>
      <c r="D399" s="2">
        <v>5</v>
      </c>
      <c r="E399" s="2">
        <v>3</v>
      </c>
      <c r="F399" s="2">
        <v>9</v>
      </c>
      <c r="G399" s="2">
        <v>5</v>
      </c>
      <c r="H399" s="2">
        <v>3</v>
      </c>
      <c r="I399" s="3">
        <v>15</v>
      </c>
      <c r="J399" s="2">
        <v>4</v>
      </c>
      <c r="K399" s="2">
        <v>3</v>
      </c>
      <c r="L399" s="2">
        <v>1</v>
      </c>
      <c r="M399" s="2">
        <v>10</v>
      </c>
      <c r="N399" s="2">
        <v>11</v>
      </c>
      <c r="O399" s="2">
        <v>8</v>
      </c>
      <c r="P399" s="3">
        <v>2</v>
      </c>
      <c r="Q399" s="2">
        <v>15</v>
      </c>
      <c r="R399" s="2">
        <v>9</v>
      </c>
      <c r="S399" s="2">
        <v>1</v>
      </c>
      <c r="T399" s="2">
        <v>4</v>
      </c>
      <c r="U399" s="2">
        <v>1</v>
      </c>
      <c r="V399" s="2">
        <f t="shared" si="51"/>
        <v>39</v>
      </c>
      <c r="W399" s="2">
        <v>2</v>
      </c>
      <c r="X399" s="2">
        <v>6</v>
      </c>
      <c r="Y399" s="2">
        <v>0</v>
      </c>
      <c r="Z399" s="2">
        <f t="shared" si="52"/>
        <v>9</v>
      </c>
      <c r="AA399" s="2">
        <f t="shared" si="45"/>
        <v>48</v>
      </c>
      <c r="AB399" s="2">
        <v>2186</v>
      </c>
      <c r="AC399" s="20">
        <f t="shared" si="48"/>
        <v>2.19579139981702</v>
      </c>
      <c r="AD399" s="2" t="s">
        <v>58</v>
      </c>
      <c r="AE399" s="2">
        <v>188</v>
      </c>
      <c r="AF399" s="21">
        <f t="shared" si="49"/>
        <v>2.19579139981702</v>
      </c>
      <c r="AG399" s="4">
        <f t="shared" si="46"/>
        <v>1.78408051235133</v>
      </c>
      <c r="AH399" s="4">
        <f t="shared" si="50"/>
        <v>0.411710887465691</v>
      </c>
    </row>
    <row r="400" spans="1:34">
      <c r="A400" s="2">
        <v>20260227</v>
      </c>
      <c r="B400" s="2" t="s">
        <v>843</v>
      </c>
      <c r="C400" s="2" t="s">
        <v>844</v>
      </c>
      <c r="D400" s="2">
        <v>7</v>
      </c>
      <c r="E400" s="2">
        <v>6689</v>
      </c>
      <c r="F400" s="2">
        <v>25</v>
      </c>
      <c r="G400" s="2">
        <v>5</v>
      </c>
      <c r="H400" s="2">
        <v>5</v>
      </c>
      <c r="I400" s="3">
        <v>9</v>
      </c>
      <c r="J400" s="2">
        <v>13</v>
      </c>
      <c r="K400" s="2">
        <v>3</v>
      </c>
      <c r="L400" s="2">
        <v>0</v>
      </c>
      <c r="M400" s="2">
        <v>11</v>
      </c>
      <c r="N400" s="2">
        <v>22</v>
      </c>
      <c r="O400" s="2">
        <v>80</v>
      </c>
      <c r="P400" s="3">
        <v>4</v>
      </c>
      <c r="Q400" s="2">
        <v>18</v>
      </c>
      <c r="R400" s="2">
        <v>34</v>
      </c>
      <c r="S400" s="2">
        <v>0</v>
      </c>
      <c r="T400" s="2">
        <v>4</v>
      </c>
      <c r="U400" s="2">
        <v>0</v>
      </c>
      <c r="V400" s="2">
        <f t="shared" si="51"/>
        <v>53</v>
      </c>
      <c r="W400" s="2">
        <v>1</v>
      </c>
      <c r="X400" s="2">
        <v>0</v>
      </c>
      <c r="Y400" s="2">
        <v>0</v>
      </c>
      <c r="Z400" s="2">
        <f t="shared" si="52"/>
        <v>1</v>
      </c>
      <c r="AA400" s="2">
        <f t="shared" si="45"/>
        <v>54</v>
      </c>
      <c r="AB400" s="2">
        <v>2485</v>
      </c>
      <c r="AC400" s="20">
        <f t="shared" si="48"/>
        <v>2.17303822937626</v>
      </c>
      <c r="AD400" s="2" t="s">
        <v>58</v>
      </c>
      <c r="AE400" s="2">
        <v>188</v>
      </c>
      <c r="AF400" s="21">
        <f t="shared" si="49"/>
        <v>2.17303822937626</v>
      </c>
      <c r="AG400" s="4">
        <f t="shared" si="46"/>
        <v>2.1327967806841</v>
      </c>
      <c r="AH400" s="4">
        <f t="shared" si="50"/>
        <v>0.0402414486921529</v>
      </c>
    </row>
    <row r="401" spans="1:34">
      <c r="A401" s="2">
        <v>20260227</v>
      </c>
      <c r="B401" s="2" t="s">
        <v>845</v>
      </c>
      <c r="C401" s="2" t="s">
        <v>846</v>
      </c>
      <c r="D401" s="2">
        <v>3</v>
      </c>
      <c r="E401" s="2">
        <v>1</v>
      </c>
      <c r="F401" s="2">
        <v>4</v>
      </c>
      <c r="G401" s="2">
        <v>1</v>
      </c>
      <c r="H401" s="2">
        <v>5</v>
      </c>
      <c r="I401" s="3">
        <v>11</v>
      </c>
      <c r="J401" s="2">
        <v>3</v>
      </c>
      <c r="K401" s="2">
        <v>1</v>
      </c>
      <c r="L401" s="2">
        <v>0</v>
      </c>
      <c r="M401" s="2">
        <v>5</v>
      </c>
      <c r="N401" s="2">
        <v>5</v>
      </c>
      <c r="O401" s="2">
        <v>9</v>
      </c>
      <c r="P401" s="3">
        <v>3</v>
      </c>
      <c r="Q401" s="2">
        <v>5</v>
      </c>
      <c r="R401" s="2">
        <v>3</v>
      </c>
      <c r="S401" s="2">
        <v>2</v>
      </c>
      <c r="T401" s="2">
        <v>3</v>
      </c>
      <c r="U401" s="2">
        <v>0</v>
      </c>
      <c r="V401" s="2">
        <f t="shared" si="51"/>
        <v>24</v>
      </c>
      <c r="W401" s="2">
        <v>1</v>
      </c>
      <c r="X401" s="2">
        <v>7</v>
      </c>
      <c r="Y401" s="2">
        <v>0</v>
      </c>
      <c r="Z401" s="2">
        <f t="shared" si="52"/>
        <v>8</v>
      </c>
      <c r="AA401" s="2">
        <f t="shared" si="45"/>
        <v>32</v>
      </c>
      <c r="AB401" s="2">
        <v>2013</v>
      </c>
      <c r="AC401" s="20">
        <f t="shared" si="48"/>
        <v>1.58966716343766</v>
      </c>
      <c r="AD401" s="2" t="s">
        <v>58</v>
      </c>
      <c r="AE401" s="2">
        <v>188</v>
      </c>
      <c r="AF401" s="21">
        <f t="shared" si="49"/>
        <v>1.58966716343766</v>
      </c>
      <c r="AG401" s="4">
        <f t="shared" si="46"/>
        <v>1.19225037257824</v>
      </c>
      <c r="AH401" s="4">
        <f t="shared" si="50"/>
        <v>0.397416790859414</v>
      </c>
    </row>
    <row r="402" spans="1:34">
      <c r="A402" s="2">
        <v>20260227</v>
      </c>
      <c r="B402" s="2" t="s">
        <v>847</v>
      </c>
      <c r="C402" s="2" t="s">
        <v>848</v>
      </c>
      <c r="D402" s="2">
        <v>2</v>
      </c>
      <c r="E402" s="2">
        <v>0</v>
      </c>
      <c r="F402" s="2">
        <v>17</v>
      </c>
      <c r="G402" s="2">
        <v>2</v>
      </c>
      <c r="H402" s="2">
        <v>1</v>
      </c>
      <c r="I402" s="3">
        <v>9</v>
      </c>
      <c r="J402" s="2">
        <v>1</v>
      </c>
      <c r="K402" s="2">
        <v>1</v>
      </c>
      <c r="L402" s="2">
        <v>0</v>
      </c>
      <c r="M402" s="2">
        <v>0</v>
      </c>
      <c r="N402" s="2">
        <v>9</v>
      </c>
      <c r="O402" s="2">
        <v>31</v>
      </c>
      <c r="P402" s="3">
        <v>5</v>
      </c>
      <c r="Q402" s="2">
        <v>25</v>
      </c>
      <c r="R402" s="2">
        <v>3</v>
      </c>
      <c r="S402" s="2">
        <v>2</v>
      </c>
      <c r="T402" s="2">
        <v>1</v>
      </c>
      <c r="U402" s="2">
        <v>0</v>
      </c>
      <c r="V402" s="2">
        <f t="shared" si="51"/>
        <v>13</v>
      </c>
      <c r="W402" s="2">
        <v>2</v>
      </c>
      <c r="X402" s="2">
        <v>5</v>
      </c>
      <c r="Y402" s="2">
        <v>0</v>
      </c>
      <c r="Z402" s="2">
        <f t="shared" si="52"/>
        <v>7</v>
      </c>
      <c r="AA402" s="2">
        <f t="shared" si="45"/>
        <v>20</v>
      </c>
      <c r="AB402" s="2">
        <v>2162</v>
      </c>
      <c r="AC402" s="20">
        <f t="shared" si="48"/>
        <v>0.925069380203515</v>
      </c>
      <c r="AD402" s="2" t="s">
        <v>58</v>
      </c>
      <c r="AE402" s="2">
        <v>188</v>
      </c>
      <c r="AF402" s="21">
        <f t="shared" si="49"/>
        <v>0.925069380203515</v>
      </c>
      <c r="AG402" s="4">
        <f t="shared" si="46"/>
        <v>0.601295097132285</v>
      </c>
      <c r="AH402" s="4">
        <f t="shared" si="50"/>
        <v>0.32377428307123</v>
      </c>
    </row>
    <row r="403" spans="1:34">
      <c r="A403" s="2">
        <v>20260227</v>
      </c>
      <c r="B403" s="2" t="s">
        <v>849</v>
      </c>
      <c r="C403" s="2" t="s">
        <v>850</v>
      </c>
      <c r="D403" s="2">
        <v>18</v>
      </c>
      <c r="E403" s="2">
        <v>10</v>
      </c>
      <c r="F403" s="2">
        <v>42</v>
      </c>
      <c r="G403" s="2">
        <v>10</v>
      </c>
      <c r="H403" s="2">
        <v>15</v>
      </c>
      <c r="I403" s="3">
        <v>22</v>
      </c>
      <c r="J403" s="2">
        <v>17</v>
      </c>
      <c r="K403" s="2">
        <v>23</v>
      </c>
      <c r="L403" s="2">
        <v>0</v>
      </c>
      <c r="M403" s="2">
        <v>22</v>
      </c>
      <c r="N403" s="2">
        <v>32</v>
      </c>
      <c r="O403" s="2">
        <v>68</v>
      </c>
      <c r="P403" s="3">
        <v>20</v>
      </c>
      <c r="Q403" s="2">
        <v>25</v>
      </c>
      <c r="R403" s="2">
        <v>8</v>
      </c>
      <c r="S403" s="2">
        <v>1</v>
      </c>
      <c r="T403" s="2">
        <v>18</v>
      </c>
      <c r="U403" s="2">
        <v>5</v>
      </c>
      <c r="V403" s="2">
        <f t="shared" si="51"/>
        <v>138</v>
      </c>
      <c r="W403" s="2">
        <v>1</v>
      </c>
      <c r="X403" s="2">
        <v>8</v>
      </c>
      <c r="Y403" s="2">
        <v>0</v>
      </c>
      <c r="Z403" s="2">
        <f t="shared" si="52"/>
        <v>14</v>
      </c>
      <c r="AA403" s="2">
        <f t="shared" si="45"/>
        <v>152</v>
      </c>
      <c r="AB403" s="2">
        <v>2775</v>
      </c>
      <c r="AC403" s="20">
        <f t="shared" si="48"/>
        <v>5.47747747747748</v>
      </c>
      <c r="AD403" s="2" t="s">
        <v>58</v>
      </c>
      <c r="AE403" s="2">
        <v>188</v>
      </c>
      <c r="AF403" s="21">
        <f t="shared" si="49"/>
        <v>5.47747747747748</v>
      </c>
      <c r="AG403" s="4">
        <f t="shared" si="46"/>
        <v>4.97297297297297</v>
      </c>
      <c r="AH403" s="4">
        <f t="shared" si="50"/>
        <v>0.504504504504504</v>
      </c>
    </row>
    <row r="404" spans="1:34">
      <c r="A404" s="2">
        <v>20260227</v>
      </c>
      <c r="B404" s="2" t="s">
        <v>851</v>
      </c>
      <c r="C404" s="2" t="s">
        <v>852</v>
      </c>
      <c r="D404" s="2">
        <v>2</v>
      </c>
      <c r="E404" s="2">
        <v>2</v>
      </c>
      <c r="F404" s="2">
        <v>3</v>
      </c>
      <c r="G404" s="2">
        <v>2</v>
      </c>
      <c r="H404" s="2">
        <v>0</v>
      </c>
      <c r="I404" s="3">
        <v>4</v>
      </c>
      <c r="J404" s="2">
        <v>6</v>
      </c>
      <c r="K404" s="2">
        <v>2</v>
      </c>
      <c r="L404" s="2">
        <v>0</v>
      </c>
      <c r="M404" s="2">
        <v>4</v>
      </c>
      <c r="N404" s="2">
        <v>3</v>
      </c>
      <c r="O404" s="2">
        <v>3</v>
      </c>
      <c r="P404" s="3">
        <v>9</v>
      </c>
      <c r="Q404" s="2">
        <v>8</v>
      </c>
      <c r="R404" s="2">
        <v>5</v>
      </c>
      <c r="S404" s="2">
        <v>0</v>
      </c>
      <c r="T404" s="2">
        <v>2</v>
      </c>
      <c r="U404" s="2">
        <v>0</v>
      </c>
      <c r="V404" s="2">
        <f t="shared" si="51"/>
        <v>24</v>
      </c>
      <c r="W404" s="2">
        <v>2</v>
      </c>
      <c r="X404" s="2">
        <v>3</v>
      </c>
      <c r="Y404" s="2">
        <v>0</v>
      </c>
      <c r="Z404" s="2">
        <f t="shared" si="52"/>
        <v>5</v>
      </c>
      <c r="AA404" s="2">
        <f t="shared" si="45"/>
        <v>29</v>
      </c>
      <c r="AB404" s="2">
        <v>1278</v>
      </c>
      <c r="AC404" s="20">
        <f t="shared" si="48"/>
        <v>2.26917057902973</v>
      </c>
      <c r="AD404" s="2" t="s">
        <v>58</v>
      </c>
      <c r="AE404" s="2">
        <v>188</v>
      </c>
      <c r="AF404" s="21">
        <f t="shared" si="49"/>
        <v>2.26917057902973</v>
      </c>
      <c r="AG404" s="4">
        <f t="shared" si="46"/>
        <v>1.87793427230047</v>
      </c>
      <c r="AH404" s="4">
        <f t="shared" si="50"/>
        <v>0.391236306729264</v>
      </c>
    </row>
    <row r="405" spans="1:34">
      <c r="A405" s="2">
        <v>20260227</v>
      </c>
      <c r="B405" s="2" t="s">
        <v>853</v>
      </c>
      <c r="C405" s="2" t="s">
        <v>854</v>
      </c>
      <c r="D405" s="2">
        <v>0</v>
      </c>
      <c r="E405" s="2">
        <v>0</v>
      </c>
      <c r="F405" s="2">
        <v>8</v>
      </c>
      <c r="G405" s="2">
        <v>3</v>
      </c>
      <c r="H405" s="2">
        <v>0</v>
      </c>
      <c r="I405" s="3">
        <v>12</v>
      </c>
      <c r="J405" s="2">
        <v>4</v>
      </c>
      <c r="K405" s="2">
        <v>0</v>
      </c>
      <c r="L405" s="2">
        <v>0</v>
      </c>
      <c r="M405" s="2">
        <v>8</v>
      </c>
      <c r="N405" s="2">
        <v>2</v>
      </c>
      <c r="O405" s="2">
        <v>19</v>
      </c>
      <c r="P405" s="3">
        <v>6</v>
      </c>
      <c r="Q405" s="2">
        <v>1</v>
      </c>
      <c r="R405" s="2">
        <v>14</v>
      </c>
      <c r="S405" s="2">
        <v>1</v>
      </c>
      <c r="T405" s="2">
        <v>3</v>
      </c>
      <c r="U405" s="2">
        <v>1</v>
      </c>
      <c r="V405" s="2">
        <f t="shared" si="51"/>
        <v>20</v>
      </c>
      <c r="W405" s="2">
        <v>8</v>
      </c>
      <c r="X405" s="2">
        <v>8</v>
      </c>
      <c r="Y405" s="2">
        <v>0</v>
      </c>
      <c r="Z405" s="2">
        <f t="shared" si="52"/>
        <v>17</v>
      </c>
      <c r="AA405" s="2">
        <f t="shared" si="45"/>
        <v>37</v>
      </c>
      <c r="AB405" s="2">
        <v>1278</v>
      </c>
      <c r="AC405" s="20">
        <f t="shared" si="48"/>
        <v>2.89514866979656</v>
      </c>
      <c r="AD405" s="2" t="s">
        <v>58</v>
      </c>
      <c r="AE405" s="2">
        <v>188</v>
      </c>
      <c r="AF405" s="21">
        <f t="shared" si="49"/>
        <v>2.89514866979656</v>
      </c>
      <c r="AG405" s="4">
        <f t="shared" si="46"/>
        <v>1.56494522691706</v>
      </c>
      <c r="AH405" s="4">
        <f t="shared" si="50"/>
        <v>1.3302034428795</v>
      </c>
    </row>
    <row r="406" spans="1:34">
      <c r="A406" s="2">
        <v>20260227</v>
      </c>
      <c r="B406" s="2" t="s">
        <v>855</v>
      </c>
      <c r="C406" s="2" t="s">
        <v>856</v>
      </c>
      <c r="D406" s="2">
        <v>6</v>
      </c>
      <c r="E406" s="2">
        <v>9</v>
      </c>
      <c r="F406" s="2">
        <v>7</v>
      </c>
      <c r="G406" s="2">
        <v>3</v>
      </c>
      <c r="H406" s="2">
        <v>0</v>
      </c>
      <c r="I406" s="3">
        <v>11</v>
      </c>
      <c r="J406" s="2">
        <v>4</v>
      </c>
      <c r="K406" s="2">
        <v>1</v>
      </c>
      <c r="L406" s="2">
        <v>1</v>
      </c>
      <c r="M406" s="2">
        <v>2</v>
      </c>
      <c r="N406" s="2">
        <v>4</v>
      </c>
      <c r="O406" s="2">
        <v>25</v>
      </c>
      <c r="P406" s="3">
        <v>2</v>
      </c>
      <c r="Q406" s="2">
        <v>7</v>
      </c>
      <c r="R406" s="2">
        <v>47</v>
      </c>
      <c r="S406" s="2">
        <v>3</v>
      </c>
      <c r="T406" s="2">
        <v>2</v>
      </c>
      <c r="U406" s="2">
        <v>0</v>
      </c>
      <c r="V406" s="2">
        <f t="shared" si="51"/>
        <v>23</v>
      </c>
      <c r="W406" s="2">
        <v>0</v>
      </c>
      <c r="X406" s="2">
        <v>3</v>
      </c>
      <c r="Y406" s="2">
        <v>0</v>
      </c>
      <c r="Z406" s="2">
        <f t="shared" si="52"/>
        <v>3</v>
      </c>
      <c r="AA406" s="2">
        <f t="shared" si="45"/>
        <v>26</v>
      </c>
      <c r="AB406" s="2">
        <v>1578</v>
      </c>
      <c r="AC406" s="20">
        <f t="shared" si="48"/>
        <v>1.64765525982256</v>
      </c>
      <c r="AD406" s="2" t="s">
        <v>58</v>
      </c>
      <c r="AE406" s="2">
        <v>188</v>
      </c>
      <c r="AF406" s="21">
        <f t="shared" si="49"/>
        <v>1.64765525982256</v>
      </c>
      <c r="AG406" s="4">
        <f t="shared" si="46"/>
        <v>1.4575411913815</v>
      </c>
      <c r="AH406" s="4">
        <f t="shared" si="50"/>
        <v>0.190114068441065</v>
      </c>
    </row>
    <row r="407" spans="1:34">
      <c r="A407" s="2">
        <v>20260227</v>
      </c>
      <c r="B407" s="2" t="s">
        <v>857</v>
      </c>
      <c r="C407" s="2" t="s">
        <v>858</v>
      </c>
      <c r="D407" s="2">
        <v>0</v>
      </c>
      <c r="E407" s="2">
        <v>1</v>
      </c>
      <c r="F407" s="2">
        <v>4</v>
      </c>
      <c r="G407" s="2">
        <v>2</v>
      </c>
      <c r="H407" s="2">
        <v>3</v>
      </c>
      <c r="I407" s="3">
        <v>8</v>
      </c>
      <c r="J407" s="2">
        <v>9</v>
      </c>
      <c r="K407" s="2">
        <v>3</v>
      </c>
      <c r="L407" s="2">
        <v>0</v>
      </c>
      <c r="M407" s="2">
        <v>5</v>
      </c>
      <c r="N407" s="2">
        <v>6</v>
      </c>
      <c r="O407" s="2">
        <v>16</v>
      </c>
      <c r="P407" s="3">
        <v>16</v>
      </c>
      <c r="Q407" s="2">
        <v>5</v>
      </c>
      <c r="R407" s="2">
        <v>11</v>
      </c>
      <c r="S407" s="2">
        <v>2</v>
      </c>
      <c r="T407" s="2">
        <v>1</v>
      </c>
      <c r="U407" s="2">
        <v>0</v>
      </c>
      <c r="V407" s="2">
        <f t="shared" si="51"/>
        <v>40</v>
      </c>
      <c r="W407" s="2">
        <v>0</v>
      </c>
      <c r="X407" s="2">
        <v>7</v>
      </c>
      <c r="Y407" s="2">
        <v>0</v>
      </c>
      <c r="Z407" s="2">
        <f t="shared" si="52"/>
        <v>7</v>
      </c>
      <c r="AA407" s="2">
        <f t="shared" si="45"/>
        <v>47</v>
      </c>
      <c r="AB407" s="2">
        <v>1477</v>
      </c>
      <c r="AC407" s="20">
        <f t="shared" si="48"/>
        <v>3.1821259309411</v>
      </c>
      <c r="AD407" s="2" t="s">
        <v>58</v>
      </c>
      <c r="AE407" s="2">
        <v>188</v>
      </c>
      <c r="AF407" s="21">
        <f t="shared" si="49"/>
        <v>3.1821259309411</v>
      </c>
      <c r="AG407" s="4">
        <f t="shared" si="46"/>
        <v>2.708192281652</v>
      </c>
      <c r="AH407" s="4">
        <f t="shared" si="50"/>
        <v>0.4739336492891</v>
      </c>
    </row>
    <row r="408" spans="1:34">
      <c r="A408" s="2">
        <v>20260227</v>
      </c>
      <c r="B408" s="2" t="s">
        <v>859</v>
      </c>
      <c r="C408" s="2" t="s">
        <v>860</v>
      </c>
      <c r="D408" s="2">
        <v>4</v>
      </c>
      <c r="E408" s="2">
        <v>1108</v>
      </c>
      <c r="F408" s="2">
        <v>30</v>
      </c>
      <c r="G408" s="2">
        <v>10</v>
      </c>
      <c r="H408" s="2">
        <v>11</v>
      </c>
      <c r="I408" s="3">
        <v>21</v>
      </c>
      <c r="J408" s="2">
        <v>29</v>
      </c>
      <c r="K408" s="2">
        <v>7</v>
      </c>
      <c r="L408" s="2">
        <v>0</v>
      </c>
      <c r="M408" s="2">
        <v>3</v>
      </c>
      <c r="N408" s="2">
        <v>26</v>
      </c>
      <c r="O408" s="2">
        <v>47</v>
      </c>
      <c r="P408" s="3">
        <v>8</v>
      </c>
      <c r="Q408" s="2">
        <v>20</v>
      </c>
      <c r="R408" s="2">
        <v>14</v>
      </c>
      <c r="S408" s="2">
        <v>3</v>
      </c>
      <c r="T408" s="2">
        <v>4</v>
      </c>
      <c r="U408" s="2">
        <v>0</v>
      </c>
      <c r="V408" s="2">
        <f t="shared" si="51"/>
        <v>81</v>
      </c>
      <c r="W408" s="2">
        <v>0</v>
      </c>
      <c r="X408" s="2">
        <v>12</v>
      </c>
      <c r="Y408" s="2">
        <v>0</v>
      </c>
      <c r="Z408" s="2">
        <f t="shared" si="52"/>
        <v>12</v>
      </c>
      <c r="AA408" s="2">
        <f t="shared" si="45"/>
        <v>93</v>
      </c>
      <c r="AB408" s="2">
        <v>2676</v>
      </c>
      <c r="AC408" s="20">
        <f t="shared" si="48"/>
        <v>3.47533632286996</v>
      </c>
      <c r="AD408" s="2" t="s">
        <v>58</v>
      </c>
      <c r="AE408" s="2">
        <v>188</v>
      </c>
      <c r="AF408" s="21">
        <f t="shared" si="49"/>
        <v>3.47533632286996</v>
      </c>
      <c r="AG408" s="4">
        <f t="shared" si="46"/>
        <v>3.02690582959641</v>
      </c>
      <c r="AH408" s="4">
        <f t="shared" si="50"/>
        <v>0.448430493273543</v>
      </c>
    </row>
    <row r="409" spans="1:34">
      <c r="A409" s="2">
        <v>20260227</v>
      </c>
      <c r="B409" s="2" t="s">
        <v>861</v>
      </c>
      <c r="C409" s="2" t="s">
        <v>862</v>
      </c>
      <c r="D409" s="2">
        <v>9</v>
      </c>
      <c r="E409" s="2">
        <v>1</v>
      </c>
      <c r="F409" s="2">
        <v>12</v>
      </c>
      <c r="G409" s="2">
        <v>3</v>
      </c>
      <c r="H409" s="2">
        <v>6</v>
      </c>
      <c r="I409" s="3">
        <v>11</v>
      </c>
      <c r="J409" s="2">
        <v>5</v>
      </c>
      <c r="K409" s="2">
        <v>1</v>
      </c>
      <c r="L409" s="2">
        <v>0</v>
      </c>
      <c r="M409" s="2">
        <v>3</v>
      </c>
      <c r="N409" s="2">
        <v>13</v>
      </c>
      <c r="O409" s="2">
        <v>20</v>
      </c>
      <c r="P409" s="3">
        <v>10</v>
      </c>
      <c r="Q409" s="2">
        <v>18</v>
      </c>
      <c r="R409" s="2">
        <v>6</v>
      </c>
      <c r="S409" s="2">
        <v>3</v>
      </c>
      <c r="T409" s="2">
        <v>6</v>
      </c>
      <c r="U409" s="2">
        <v>1</v>
      </c>
      <c r="V409" s="2">
        <f t="shared" si="51"/>
        <v>35</v>
      </c>
      <c r="W409" s="2">
        <v>1</v>
      </c>
      <c r="X409" s="2">
        <v>9</v>
      </c>
      <c r="Y409" s="2">
        <v>0</v>
      </c>
      <c r="Z409" s="2">
        <f t="shared" si="52"/>
        <v>11</v>
      </c>
      <c r="AA409" s="2">
        <f t="shared" si="45"/>
        <v>46</v>
      </c>
      <c r="AB409" s="2">
        <v>2177</v>
      </c>
      <c r="AC409" s="20">
        <f t="shared" si="48"/>
        <v>2.11299954065227</v>
      </c>
      <c r="AD409" s="2" t="s">
        <v>44</v>
      </c>
      <c r="AE409" s="2">
        <v>188</v>
      </c>
      <c r="AF409" s="21">
        <f t="shared" si="49"/>
        <v>2.11299954065227</v>
      </c>
      <c r="AG409" s="4">
        <f t="shared" si="46"/>
        <v>1.60771704180064</v>
      </c>
      <c r="AH409" s="4">
        <f t="shared" si="50"/>
        <v>0.505282498851631</v>
      </c>
    </row>
    <row r="410" spans="1:34">
      <c r="A410" s="2">
        <v>20260227</v>
      </c>
      <c r="B410" s="2" t="s">
        <v>863</v>
      </c>
      <c r="C410" s="2" t="s">
        <v>864</v>
      </c>
      <c r="D410" s="2">
        <v>4</v>
      </c>
      <c r="E410" s="2">
        <v>0</v>
      </c>
      <c r="F410" s="2">
        <v>12</v>
      </c>
      <c r="G410" s="2">
        <v>2</v>
      </c>
      <c r="H410" s="2">
        <v>4</v>
      </c>
      <c r="I410" s="3">
        <v>14</v>
      </c>
      <c r="J410" s="2">
        <v>4</v>
      </c>
      <c r="K410" s="2">
        <v>1</v>
      </c>
      <c r="L410" s="2">
        <v>0</v>
      </c>
      <c r="M410" s="2">
        <v>0</v>
      </c>
      <c r="N410" s="2">
        <v>1</v>
      </c>
      <c r="O410" s="2">
        <v>23</v>
      </c>
      <c r="P410" s="3">
        <v>4</v>
      </c>
      <c r="Q410" s="2">
        <v>8</v>
      </c>
      <c r="R410" s="2">
        <v>1</v>
      </c>
      <c r="S410" s="2">
        <v>0</v>
      </c>
      <c r="T410" s="2">
        <v>2</v>
      </c>
      <c r="U410" s="2">
        <v>0</v>
      </c>
      <c r="V410" s="2">
        <f t="shared" si="51"/>
        <v>23</v>
      </c>
      <c r="W410" s="2">
        <v>0</v>
      </c>
      <c r="X410" s="2">
        <v>8</v>
      </c>
      <c r="Y410" s="2">
        <v>0</v>
      </c>
      <c r="Z410" s="2">
        <f t="shared" si="52"/>
        <v>8</v>
      </c>
      <c r="AA410" s="2">
        <f t="shared" si="45"/>
        <v>31</v>
      </c>
      <c r="AB410" s="2">
        <v>2177</v>
      </c>
      <c r="AC410" s="20">
        <f t="shared" si="48"/>
        <v>1.42397795130914</v>
      </c>
      <c r="AD410" s="2" t="s">
        <v>44</v>
      </c>
      <c r="AE410" s="2">
        <v>188</v>
      </c>
      <c r="AF410" s="21">
        <f t="shared" si="49"/>
        <v>1.42397795130914</v>
      </c>
      <c r="AG410" s="4">
        <f t="shared" si="46"/>
        <v>1.05649977032614</v>
      </c>
      <c r="AH410" s="4">
        <f t="shared" si="50"/>
        <v>0.367478180983004</v>
      </c>
    </row>
    <row r="411" spans="1:34">
      <c r="A411" s="2">
        <v>20260227</v>
      </c>
      <c r="B411" s="2" t="s">
        <v>865</v>
      </c>
      <c r="C411" s="2" t="s">
        <v>866</v>
      </c>
      <c r="D411" s="2">
        <v>7</v>
      </c>
      <c r="E411" s="2">
        <v>1</v>
      </c>
      <c r="F411" s="2">
        <v>11</v>
      </c>
      <c r="G411" s="2">
        <v>5</v>
      </c>
      <c r="H411" s="2">
        <v>3</v>
      </c>
      <c r="I411" s="3">
        <v>21</v>
      </c>
      <c r="J411" s="2">
        <v>8</v>
      </c>
      <c r="K411" s="2">
        <v>2</v>
      </c>
      <c r="L411" s="2">
        <v>0</v>
      </c>
      <c r="M411" s="2">
        <v>3</v>
      </c>
      <c r="N411" s="2">
        <v>16</v>
      </c>
      <c r="O411" s="2">
        <v>39</v>
      </c>
      <c r="P411" s="2">
        <v>4</v>
      </c>
      <c r="Q411" s="3">
        <v>24</v>
      </c>
      <c r="R411" s="2">
        <v>3</v>
      </c>
      <c r="S411" s="2">
        <v>0</v>
      </c>
      <c r="T411" s="2">
        <v>0</v>
      </c>
      <c r="U411" s="2">
        <v>0</v>
      </c>
      <c r="V411" s="2">
        <f t="shared" si="51"/>
        <v>36</v>
      </c>
      <c r="W411" s="2">
        <v>0</v>
      </c>
      <c r="X411" s="2">
        <v>10</v>
      </c>
      <c r="Y411" s="2">
        <v>0</v>
      </c>
      <c r="Z411" s="2">
        <f t="shared" si="52"/>
        <v>10</v>
      </c>
      <c r="AA411" s="2">
        <f t="shared" si="45"/>
        <v>46</v>
      </c>
      <c r="AB411" s="2">
        <v>2177</v>
      </c>
      <c r="AC411" s="20">
        <f t="shared" si="48"/>
        <v>2.11299954065227</v>
      </c>
      <c r="AD411" s="2" t="s">
        <v>44</v>
      </c>
      <c r="AE411" s="2">
        <v>188</v>
      </c>
      <c r="AF411" s="21">
        <f t="shared" si="49"/>
        <v>2.11299954065227</v>
      </c>
      <c r="AG411" s="4">
        <f t="shared" si="46"/>
        <v>1.65365181442352</v>
      </c>
      <c r="AH411" s="4">
        <f t="shared" si="50"/>
        <v>0.459347726228755</v>
      </c>
    </row>
    <row r="412" spans="1:34">
      <c r="A412" s="2">
        <v>20260227</v>
      </c>
      <c r="B412" s="2" t="s">
        <v>867</v>
      </c>
      <c r="C412" s="2" t="s">
        <v>868</v>
      </c>
      <c r="D412" s="2">
        <v>10</v>
      </c>
      <c r="E412" s="2">
        <v>1</v>
      </c>
      <c r="F412" s="2">
        <v>22</v>
      </c>
      <c r="G412" s="2">
        <v>1</v>
      </c>
      <c r="H412" s="2">
        <v>5</v>
      </c>
      <c r="I412" s="3">
        <v>22</v>
      </c>
      <c r="J412" s="2">
        <v>8</v>
      </c>
      <c r="K412" s="2">
        <v>3</v>
      </c>
      <c r="L412" s="2">
        <v>0</v>
      </c>
      <c r="M412" s="2">
        <v>2</v>
      </c>
      <c r="N412" s="2">
        <v>11</v>
      </c>
      <c r="O412" s="2">
        <v>37</v>
      </c>
      <c r="P412" s="3">
        <v>3</v>
      </c>
      <c r="Q412" s="2">
        <v>20</v>
      </c>
      <c r="R412" s="2">
        <v>5</v>
      </c>
      <c r="S412" s="2">
        <v>1</v>
      </c>
      <c r="T412" s="2">
        <v>4</v>
      </c>
      <c r="U412" s="2">
        <v>0</v>
      </c>
      <c r="V412" s="2">
        <f t="shared" si="51"/>
        <v>34</v>
      </c>
      <c r="W412" s="2">
        <v>0</v>
      </c>
      <c r="X412" s="2">
        <v>14</v>
      </c>
      <c r="Y412" s="2">
        <v>0</v>
      </c>
      <c r="Z412" s="2">
        <f t="shared" si="52"/>
        <v>14</v>
      </c>
      <c r="AA412" s="2">
        <f t="shared" si="45"/>
        <v>48</v>
      </c>
      <c r="AB412" s="2">
        <v>2427</v>
      </c>
      <c r="AC412" s="20">
        <f t="shared" si="48"/>
        <v>1.97775030902349</v>
      </c>
      <c r="AD412" s="2" t="s">
        <v>44</v>
      </c>
      <c r="AE412" s="2">
        <v>188</v>
      </c>
      <c r="AF412" s="21">
        <f t="shared" si="49"/>
        <v>1.97775030902349</v>
      </c>
      <c r="AG412" s="4">
        <f t="shared" si="46"/>
        <v>1.40090646889164</v>
      </c>
      <c r="AH412" s="4">
        <f t="shared" si="50"/>
        <v>0.57684384013185</v>
      </c>
    </row>
    <row r="413" spans="1:34">
      <c r="A413" s="2">
        <v>20260227</v>
      </c>
      <c r="B413" s="2" t="s">
        <v>869</v>
      </c>
      <c r="C413" s="2" t="s">
        <v>870</v>
      </c>
      <c r="D413" s="2">
        <v>5</v>
      </c>
      <c r="E413" s="2">
        <v>2</v>
      </c>
      <c r="F413" s="2">
        <v>6</v>
      </c>
      <c r="G413" s="2">
        <v>1</v>
      </c>
      <c r="H413" s="2">
        <v>1</v>
      </c>
      <c r="I413" s="3">
        <v>12</v>
      </c>
      <c r="J413" s="2">
        <v>3</v>
      </c>
      <c r="K413" s="2">
        <v>3</v>
      </c>
      <c r="L413" s="2">
        <v>0</v>
      </c>
      <c r="M413" s="2">
        <v>13</v>
      </c>
      <c r="N413" s="2">
        <v>6</v>
      </c>
      <c r="O413" s="2">
        <v>6</v>
      </c>
      <c r="P413" s="3">
        <v>8</v>
      </c>
      <c r="Q413" s="2">
        <v>3</v>
      </c>
      <c r="R413" s="2">
        <v>1</v>
      </c>
      <c r="S413" s="2">
        <v>0</v>
      </c>
      <c r="T413" s="2">
        <v>0</v>
      </c>
      <c r="U413" s="2">
        <v>0</v>
      </c>
      <c r="V413" s="2">
        <f t="shared" si="51"/>
        <v>36</v>
      </c>
      <c r="W413" s="2">
        <v>0</v>
      </c>
      <c r="X413" s="2">
        <v>5</v>
      </c>
      <c r="Y413" s="2">
        <v>0</v>
      </c>
      <c r="Z413" s="2">
        <f t="shared" si="52"/>
        <v>5</v>
      </c>
      <c r="AA413" s="2">
        <f t="shared" si="45"/>
        <v>41</v>
      </c>
      <c r="AB413" s="2">
        <v>2176</v>
      </c>
      <c r="AC413" s="20">
        <f t="shared" si="48"/>
        <v>1.88419117647059</v>
      </c>
      <c r="AD413" s="2" t="s">
        <v>49</v>
      </c>
      <c r="AE413" s="2">
        <v>188</v>
      </c>
      <c r="AF413" s="21">
        <f t="shared" si="49"/>
        <v>1.88419117647059</v>
      </c>
      <c r="AG413" s="4">
        <f t="shared" si="46"/>
        <v>1.65441176470588</v>
      </c>
      <c r="AH413" s="4">
        <f t="shared" si="50"/>
        <v>0.229779411764706</v>
      </c>
    </row>
    <row r="414" spans="1:34">
      <c r="A414" s="2">
        <v>20260227</v>
      </c>
      <c r="B414" s="2" t="s">
        <v>871</v>
      </c>
      <c r="C414" s="2" t="s">
        <v>872</v>
      </c>
      <c r="D414" s="2">
        <v>8</v>
      </c>
      <c r="E414" s="2">
        <v>11</v>
      </c>
      <c r="F414" s="2">
        <v>36</v>
      </c>
      <c r="G414" s="2">
        <v>3</v>
      </c>
      <c r="H414" s="2">
        <v>14</v>
      </c>
      <c r="I414" s="3">
        <v>20</v>
      </c>
      <c r="J414" s="2">
        <v>13</v>
      </c>
      <c r="K414" s="2">
        <v>3</v>
      </c>
      <c r="L414" s="2">
        <v>2</v>
      </c>
      <c r="M414" s="2">
        <v>7</v>
      </c>
      <c r="N414" s="2">
        <v>18</v>
      </c>
      <c r="O414" s="2">
        <v>79</v>
      </c>
      <c r="P414" s="3">
        <v>10</v>
      </c>
      <c r="Q414" s="2">
        <v>21</v>
      </c>
      <c r="R414" s="2">
        <v>244</v>
      </c>
      <c r="S414" s="2">
        <v>1</v>
      </c>
      <c r="T414" s="2">
        <v>14</v>
      </c>
      <c r="U414" s="2">
        <v>1</v>
      </c>
      <c r="V414" s="2">
        <f t="shared" si="51"/>
        <v>85</v>
      </c>
      <c r="W414" s="2">
        <v>0</v>
      </c>
      <c r="X414" s="2">
        <v>1</v>
      </c>
      <c r="Y414" s="2">
        <v>0</v>
      </c>
      <c r="Z414" s="2">
        <f t="shared" si="52"/>
        <v>2</v>
      </c>
      <c r="AA414" s="2">
        <f t="shared" si="45"/>
        <v>87</v>
      </c>
      <c r="AB414" s="2">
        <v>2526</v>
      </c>
      <c r="AC414" s="20">
        <f t="shared" si="48"/>
        <v>3.44418052256532</v>
      </c>
      <c r="AD414" s="2" t="s">
        <v>44</v>
      </c>
      <c r="AE414" s="2">
        <v>188</v>
      </c>
      <c r="AF414" s="21">
        <f t="shared" si="49"/>
        <v>3.44418052256532</v>
      </c>
      <c r="AG414" s="4">
        <f t="shared" si="46"/>
        <v>3.36500395882819</v>
      </c>
      <c r="AH414" s="4">
        <f t="shared" si="50"/>
        <v>0.0791765637371338</v>
      </c>
    </row>
    <row r="415" spans="1:34">
      <c r="A415" s="2">
        <v>20260228</v>
      </c>
      <c r="B415" s="2" t="s">
        <v>873</v>
      </c>
      <c r="C415" s="2" t="s">
        <v>874</v>
      </c>
      <c r="D415" s="2">
        <v>6</v>
      </c>
      <c r="E415" s="2">
        <v>4</v>
      </c>
      <c r="F415" s="2">
        <v>7</v>
      </c>
      <c r="G415" s="2">
        <v>1</v>
      </c>
      <c r="H415" s="2">
        <v>2</v>
      </c>
      <c r="I415" s="3">
        <v>35</v>
      </c>
      <c r="J415" s="2">
        <v>7</v>
      </c>
      <c r="K415" s="2">
        <v>3</v>
      </c>
      <c r="L415" s="2">
        <v>0</v>
      </c>
      <c r="M415" s="2">
        <v>17</v>
      </c>
      <c r="N415" s="2">
        <v>8</v>
      </c>
      <c r="O415" s="2">
        <v>19</v>
      </c>
      <c r="P415" s="3">
        <v>6</v>
      </c>
      <c r="Q415" s="2">
        <v>0</v>
      </c>
      <c r="R415" s="2">
        <v>435</v>
      </c>
      <c r="S415" s="2">
        <v>0</v>
      </c>
      <c r="T415" s="2">
        <v>1</v>
      </c>
      <c r="U415" s="2">
        <v>0</v>
      </c>
      <c r="V415" s="2">
        <f t="shared" si="51"/>
        <v>53</v>
      </c>
      <c r="W415" s="2">
        <v>6</v>
      </c>
      <c r="X415" s="2">
        <v>13</v>
      </c>
      <c r="Y415" s="2">
        <v>0</v>
      </c>
      <c r="Z415" s="2">
        <f t="shared" si="52"/>
        <v>19</v>
      </c>
      <c r="AA415" s="2">
        <f t="shared" si="45"/>
        <v>72</v>
      </c>
      <c r="AB415" s="2">
        <v>2755</v>
      </c>
      <c r="AC415" s="20">
        <f t="shared" ref="AC415:AC431" si="53">AA415/AB415*100</f>
        <v>2.61343012704174</v>
      </c>
      <c r="AD415" s="2" t="s">
        <v>44</v>
      </c>
      <c r="AE415" s="2">
        <v>188</v>
      </c>
      <c r="AF415" s="21">
        <f t="shared" ref="AF415:AF435" si="54">188/AE415*AC415</f>
        <v>2.61343012704174</v>
      </c>
      <c r="AG415" s="4">
        <f t="shared" ref="AG415:AG435" si="55">V415/AB415*100</f>
        <v>1.92377495462795</v>
      </c>
      <c r="AH415" s="4">
        <f t="shared" ref="AH415:AH435" si="56">Z415/AB415*100</f>
        <v>0.689655172413793</v>
      </c>
    </row>
    <row r="416" spans="1:34">
      <c r="A416" s="2">
        <v>20260228</v>
      </c>
      <c r="B416" s="2" t="s">
        <v>875</v>
      </c>
      <c r="C416" s="2" t="s">
        <v>876</v>
      </c>
      <c r="D416" s="2">
        <v>6</v>
      </c>
      <c r="E416" s="2">
        <v>5</v>
      </c>
      <c r="F416" s="2">
        <v>11</v>
      </c>
      <c r="G416" s="2">
        <v>2</v>
      </c>
      <c r="H416" s="2">
        <v>6</v>
      </c>
      <c r="I416" s="3">
        <v>13</v>
      </c>
      <c r="J416" s="2">
        <v>11</v>
      </c>
      <c r="K416" s="2">
        <v>1</v>
      </c>
      <c r="L416" s="2">
        <v>0</v>
      </c>
      <c r="M416" s="2">
        <v>4</v>
      </c>
      <c r="N416" s="2">
        <v>7</v>
      </c>
      <c r="O416" s="2">
        <v>14</v>
      </c>
      <c r="P416" s="3">
        <v>5</v>
      </c>
      <c r="Q416" s="2">
        <v>8</v>
      </c>
      <c r="R416" s="2">
        <v>37</v>
      </c>
      <c r="S416" s="2">
        <v>1</v>
      </c>
      <c r="T416" s="2">
        <v>1</v>
      </c>
      <c r="U416" s="2">
        <v>0</v>
      </c>
      <c r="V416" s="2">
        <f t="shared" ref="V416:V428" si="57">AA416-Y416-X416-W416-U416</f>
        <v>40</v>
      </c>
      <c r="W416" s="2">
        <v>0</v>
      </c>
      <c r="X416" s="2">
        <v>3</v>
      </c>
      <c r="Y416" s="2">
        <v>0</v>
      </c>
      <c r="Z416" s="2">
        <f t="shared" ref="Z416:Z425" si="58">Y416+X416+W416+U416</f>
        <v>3</v>
      </c>
      <c r="AA416" s="2">
        <f t="shared" ref="AA416:AA428" si="59">G416+H416+I416+J416+K416+L416+M416+P416+T416+U416</f>
        <v>43</v>
      </c>
      <c r="AB416" s="2">
        <v>2516</v>
      </c>
      <c r="AC416" s="20">
        <f t="shared" si="53"/>
        <v>1.70906200317965</v>
      </c>
      <c r="AD416" s="2" t="s">
        <v>58</v>
      </c>
      <c r="AE416" s="2">
        <v>188</v>
      </c>
      <c r="AF416" s="21">
        <f t="shared" si="54"/>
        <v>1.70906200317965</v>
      </c>
      <c r="AG416" s="4">
        <f t="shared" si="55"/>
        <v>1.58982511923688</v>
      </c>
      <c r="AH416" s="4">
        <f t="shared" si="56"/>
        <v>0.119236883942766</v>
      </c>
    </row>
    <row r="417" spans="1:34">
      <c r="A417" s="2">
        <v>20260228</v>
      </c>
      <c r="B417" s="2" t="s">
        <v>877</v>
      </c>
      <c r="C417" s="2" t="s">
        <v>878</v>
      </c>
      <c r="D417" s="2">
        <v>1</v>
      </c>
      <c r="E417" s="2">
        <v>4</v>
      </c>
      <c r="F417" s="2">
        <v>8</v>
      </c>
      <c r="G417" s="2">
        <v>3</v>
      </c>
      <c r="H417" s="2">
        <v>4</v>
      </c>
      <c r="I417" s="3">
        <v>12</v>
      </c>
      <c r="J417" s="2">
        <v>7</v>
      </c>
      <c r="K417" s="2">
        <v>0</v>
      </c>
      <c r="L417" s="2">
        <v>0</v>
      </c>
      <c r="M417" s="2">
        <v>2</v>
      </c>
      <c r="N417" s="2">
        <v>7</v>
      </c>
      <c r="O417" s="2">
        <v>14</v>
      </c>
      <c r="P417" s="3">
        <v>7</v>
      </c>
      <c r="Q417" s="2">
        <v>7</v>
      </c>
      <c r="R417" s="2">
        <v>206</v>
      </c>
      <c r="S417" s="2">
        <v>2</v>
      </c>
      <c r="T417" s="2">
        <v>0</v>
      </c>
      <c r="U417" s="2">
        <v>0</v>
      </c>
      <c r="V417" s="2">
        <f t="shared" si="57"/>
        <v>29</v>
      </c>
      <c r="W417" s="2">
        <v>2</v>
      </c>
      <c r="X417" s="2">
        <v>4</v>
      </c>
      <c r="Y417" s="2">
        <v>0</v>
      </c>
      <c r="Z417" s="2">
        <f t="shared" si="58"/>
        <v>6</v>
      </c>
      <c r="AA417" s="2">
        <f t="shared" si="59"/>
        <v>35</v>
      </c>
      <c r="AB417" s="2">
        <v>2516</v>
      </c>
      <c r="AC417" s="20">
        <f t="shared" si="53"/>
        <v>1.39109697933227</v>
      </c>
      <c r="AD417" s="2" t="s">
        <v>58</v>
      </c>
      <c r="AE417" s="2">
        <v>188</v>
      </c>
      <c r="AF417" s="21">
        <f t="shared" si="54"/>
        <v>1.39109697933227</v>
      </c>
      <c r="AG417" s="4">
        <f t="shared" si="55"/>
        <v>1.15262321144674</v>
      </c>
      <c r="AH417" s="4">
        <f t="shared" si="56"/>
        <v>0.238473767885533</v>
      </c>
    </row>
    <row r="418" spans="1:34">
      <c r="A418" s="2">
        <v>20260228</v>
      </c>
      <c r="B418" s="2" t="s">
        <v>879</v>
      </c>
      <c r="C418" s="2" t="s">
        <v>880</v>
      </c>
      <c r="D418" s="2">
        <v>4</v>
      </c>
      <c r="E418" s="2">
        <v>1</v>
      </c>
      <c r="F418" s="2">
        <v>6</v>
      </c>
      <c r="G418" s="2">
        <v>0</v>
      </c>
      <c r="H418" s="2">
        <v>0</v>
      </c>
      <c r="I418" s="3">
        <v>11</v>
      </c>
      <c r="J418" s="2">
        <v>3</v>
      </c>
      <c r="K418" s="2">
        <v>0</v>
      </c>
      <c r="L418" s="2">
        <v>0</v>
      </c>
      <c r="M418" s="2">
        <v>1</v>
      </c>
      <c r="N418" s="2">
        <v>13</v>
      </c>
      <c r="O418" s="2">
        <v>24</v>
      </c>
      <c r="P418" s="3">
        <v>2</v>
      </c>
      <c r="Q418" s="2">
        <v>15</v>
      </c>
      <c r="R418" s="2">
        <v>8</v>
      </c>
      <c r="S418" s="2">
        <v>0</v>
      </c>
      <c r="T418" s="2">
        <v>0</v>
      </c>
      <c r="U418" s="2">
        <v>1</v>
      </c>
      <c r="V418" s="2">
        <f t="shared" si="57"/>
        <v>13</v>
      </c>
      <c r="W418" s="2">
        <v>4</v>
      </c>
      <c r="X418" s="2">
        <v>0</v>
      </c>
      <c r="Y418" s="2">
        <v>0</v>
      </c>
      <c r="Z418" s="2">
        <f t="shared" si="58"/>
        <v>5</v>
      </c>
      <c r="AA418" s="2">
        <f t="shared" si="59"/>
        <v>18</v>
      </c>
      <c r="AB418" s="2">
        <v>1278</v>
      </c>
      <c r="AC418" s="20">
        <f t="shared" si="53"/>
        <v>1.40845070422535</v>
      </c>
      <c r="AD418" s="2" t="s">
        <v>58</v>
      </c>
      <c r="AE418" s="2">
        <v>188</v>
      </c>
      <c r="AF418" s="21">
        <f t="shared" si="54"/>
        <v>1.40845070422535</v>
      </c>
      <c r="AG418" s="4">
        <f t="shared" si="55"/>
        <v>1.01721439749609</v>
      </c>
      <c r="AH418" s="4">
        <f t="shared" si="56"/>
        <v>0.391236306729264</v>
      </c>
    </row>
    <row r="419" spans="1:34">
      <c r="A419" s="2">
        <v>20260228</v>
      </c>
      <c r="B419" s="2" t="s">
        <v>881</v>
      </c>
      <c r="C419" s="2" t="s">
        <v>882</v>
      </c>
      <c r="D419" s="2">
        <v>6</v>
      </c>
      <c r="E419" s="2">
        <v>2</v>
      </c>
      <c r="F419" s="2">
        <v>218</v>
      </c>
      <c r="G419" s="2">
        <v>3</v>
      </c>
      <c r="H419" s="2">
        <v>1</v>
      </c>
      <c r="I419" s="3">
        <v>11</v>
      </c>
      <c r="J419" s="2">
        <v>8</v>
      </c>
      <c r="K419" s="2">
        <v>1</v>
      </c>
      <c r="L419" s="2">
        <v>0</v>
      </c>
      <c r="M419" s="2">
        <v>5</v>
      </c>
      <c r="N419" s="2">
        <v>25</v>
      </c>
      <c r="O419" s="2">
        <v>26</v>
      </c>
      <c r="P419" s="3">
        <v>4</v>
      </c>
      <c r="Q419" s="2">
        <v>27</v>
      </c>
      <c r="R419" s="2">
        <v>68</v>
      </c>
      <c r="S419" s="2">
        <v>0</v>
      </c>
      <c r="T419" s="2">
        <v>1</v>
      </c>
      <c r="U419" s="2">
        <v>1</v>
      </c>
      <c r="V419" s="2">
        <f t="shared" si="57"/>
        <v>33</v>
      </c>
      <c r="W419" s="2">
        <v>0</v>
      </c>
      <c r="X419" s="2">
        <v>1</v>
      </c>
      <c r="Y419" s="2">
        <v>0</v>
      </c>
      <c r="Z419" s="2">
        <f t="shared" si="58"/>
        <v>2</v>
      </c>
      <c r="AA419" s="2">
        <f t="shared" si="59"/>
        <v>35</v>
      </c>
      <c r="AB419" s="2">
        <v>2516</v>
      </c>
      <c r="AC419" s="20">
        <f t="shared" si="53"/>
        <v>1.39109697933227</v>
      </c>
      <c r="AD419" s="2" t="s">
        <v>58</v>
      </c>
      <c r="AE419" s="2">
        <v>188</v>
      </c>
      <c r="AF419" s="21">
        <f t="shared" si="54"/>
        <v>1.39109697933227</v>
      </c>
      <c r="AG419" s="4">
        <f t="shared" si="55"/>
        <v>1.31160572337043</v>
      </c>
      <c r="AH419" s="4">
        <f t="shared" si="56"/>
        <v>0.0794912559618442</v>
      </c>
    </row>
    <row r="420" spans="1:34">
      <c r="A420" s="2">
        <v>20260228</v>
      </c>
      <c r="B420" s="2" t="s">
        <v>883</v>
      </c>
      <c r="C420" s="2" t="s">
        <v>884</v>
      </c>
      <c r="D420" s="2">
        <v>3</v>
      </c>
      <c r="E420" s="2">
        <v>1</v>
      </c>
      <c r="F420" s="2">
        <v>23</v>
      </c>
      <c r="G420" s="2">
        <v>2</v>
      </c>
      <c r="H420" s="2">
        <v>9</v>
      </c>
      <c r="I420" s="3">
        <v>15</v>
      </c>
      <c r="J420" s="2">
        <v>4</v>
      </c>
      <c r="K420" s="2">
        <v>5</v>
      </c>
      <c r="L420" s="2">
        <v>1</v>
      </c>
      <c r="M420" s="2">
        <v>6</v>
      </c>
      <c r="N420" s="2">
        <v>10</v>
      </c>
      <c r="O420" s="2">
        <v>21</v>
      </c>
      <c r="P420" s="3">
        <v>4</v>
      </c>
      <c r="Q420" s="2">
        <v>13</v>
      </c>
      <c r="R420" s="2">
        <v>110</v>
      </c>
      <c r="S420" s="2">
        <v>2</v>
      </c>
      <c r="T420" s="2">
        <v>4</v>
      </c>
      <c r="U420" s="2">
        <v>0</v>
      </c>
      <c r="V420" s="2">
        <f t="shared" si="57"/>
        <v>36</v>
      </c>
      <c r="W420" s="2">
        <v>4</v>
      </c>
      <c r="X420" s="2">
        <v>10</v>
      </c>
      <c r="Y420" s="2">
        <v>0</v>
      </c>
      <c r="Z420" s="2">
        <f t="shared" si="58"/>
        <v>14</v>
      </c>
      <c r="AA420" s="2">
        <f t="shared" si="59"/>
        <v>50</v>
      </c>
      <c r="AB420" s="2">
        <v>2516</v>
      </c>
      <c r="AC420" s="20">
        <f t="shared" si="53"/>
        <v>1.9872813990461</v>
      </c>
      <c r="AD420" s="2" t="s">
        <v>58</v>
      </c>
      <c r="AE420" s="2">
        <v>188</v>
      </c>
      <c r="AF420" s="21">
        <f t="shared" si="54"/>
        <v>1.9872813990461</v>
      </c>
      <c r="AG420" s="4">
        <f t="shared" si="55"/>
        <v>1.4308426073132</v>
      </c>
      <c r="AH420" s="4">
        <f t="shared" si="56"/>
        <v>0.556438791732909</v>
      </c>
    </row>
    <row r="421" spans="1:34">
      <c r="A421" s="2">
        <v>20260228</v>
      </c>
      <c r="B421" s="2" t="s">
        <v>885</v>
      </c>
      <c r="C421" s="2" t="s">
        <v>886</v>
      </c>
      <c r="D421" s="2">
        <v>2</v>
      </c>
      <c r="E421" s="2">
        <v>1</v>
      </c>
      <c r="F421" s="2">
        <v>21</v>
      </c>
      <c r="G421" s="2">
        <v>2</v>
      </c>
      <c r="H421" s="2">
        <v>2</v>
      </c>
      <c r="I421" s="3">
        <v>22</v>
      </c>
      <c r="J421" s="2">
        <v>17</v>
      </c>
      <c r="K421" s="2">
        <v>2</v>
      </c>
      <c r="L421" s="2">
        <v>0</v>
      </c>
      <c r="M421" s="2">
        <v>5</v>
      </c>
      <c r="N421" s="2">
        <v>23</v>
      </c>
      <c r="O421" s="2">
        <v>14</v>
      </c>
      <c r="P421" s="3">
        <v>4</v>
      </c>
      <c r="Q421" s="2">
        <v>13</v>
      </c>
      <c r="R421" s="2">
        <v>49</v>
      </c>
      <c r="S421" s="2">
        <v>2</v>
      </c>
      <c r="T421" s="2">
        <v>2</v>
      </c>
      <c r="U421" s="2">
        <v>1</v>
      </c>
      <c r="V421" s="2">
        <f t="shared" si="57"/>
        <v>43</v>
      </c>
      <c r="W421" s="2">
        <v>4</v>
      </c>
      <c r="X421" s="2">
        <v>9</v>
      </c>
      <c r="Y421" s="2">
        <v>0</v>
      </c>
      <c r="Z421" s="2">
        <f t="shared" si="58"/>
        <v>14</v>
      </c>
      <c r="AA421" s="2">
        <f t="shared" si="59"/>
        <v>57</v>
      </c>
      <c r="AB421" s="2">
        <v>2516</v>
      </c>
      <c r="AC421" s="20">
        <f t="shared" si="53"/>
        <v>2.26550079491256</v>
      </c>
      <c r="AD421" s="2" t="s">
        <v>58</v>
      </c>
      <c r="AE421" s="2">
        <v>188</v>
      </c>
      <c r="AF421" s="21">
        <f t="shared" si="54"/>
        <v>2.26550079491256</v>
      </c>
      <c r="AG421" s="4">
        <f t="shared" si="55"/>
        <v>1.70906200317965</v>
      </c>
      <c r="AH421" s="4">
        <f t="shared" si="56"/>
        <v>0.556438791732909</v>
      </c>
    </row>
    <row r="422" spans="1:34">
      <c r="A422" s="2">
        <v>20260228</v>
      </c>
      <c r="B422" s="2" t="s">
        <v>887</v>
      </c>
      <c r="C422" s="2" t="s">
        <v>888</v>
      </c>
      <c r="V422" s="2">
        <f t="shared" si="57"/>
        <v>0</v>
      </c>
      <c r="Z422" s="2">
        <f t="shared" si="58"/>
        <v>0</v>
      </c>
      <c r="AA422" s="2">
        <f t="shared" si="59"/>
        <v>0</v>
      </c>
      <c r="AC422" s="20" t="e">
        <f t="shared" si="53"/>
        <v>#DIV/0!</v>
      </c>
      <c r="AD422" s="2" t="s">
        <v>58</v>
      </c>
      <c r="AE422" s="2">
        <v>188</v>
      </c>
      <c r="AF422" s="21" t="e">
        <f t="shared" si="54"/>
        <v>#DIV/0!</v>
      </c>
      <c r="AG422" s="4" t="e">
        <f t="shared" si="55"/>
        <v>#DIV/0!</v>
      </c>
      <c r="AH422" s="4" t="e">
        <f t="shared" si="56"/>
        <v>#DIV/0!</v>
      </c>
    </row>
    <row r="423" spans="1:34">
      <c r="A423" s="2">
        <v>20260228</v>
      </c>
      <c r="B423" s="2" t="s">
        <v>887</v>
      </c>
      <c r="C423" s="2" t="s">
        <v>889</v>
      </c>
      <c r="D423" s="2">
        <v>3</v>
      </c>
      <c r="E423" s="2">
        <v>0</v>
      </c>
      <c r="F423" s="2">
        <v>17</v>
      </c>
      <c r="G423" s="2">
        <v>3</v>
      </c>
      <c r="H423" s="2">
        <v>2</v>
      </c>
      <c r="I423" s="3">
        <v>5</v>
      </c>
      <c r="J423" s="2">
        <v>5</v>
      </c>
      <c r="K423" s="2">
        <v>3</v>
      </c>
      <c r="L423" s="2">
        <v>0</v>
      </c>
      <c r="M423" s="2">
        <v>3</v>
      </c>
      <c r="N423" s="2">
        <v>24</v>
      </c>
      <c r="O423" s="2">
        <v>19</v>
      </c>
      <c r="P423" s="3">
        <v>4</v>
      </c>
      <c r="Q423" s="2">
        <v>6</v>
      </c>
      <c r="R423" s="2">
        <v>8</v>
      </c>
      <c r="S423" s="2">
        <v>3</v>
      </c>
      <c r="T423" s="2">
        <v>1</v>
      </c>
      <c r="U423" s="2">
        <v>0</v>
      </c>
      <c r="V423" s="2">
        <f t="shared" ref="V423:V430" si="60">AA423-Y423-X423-W423-U423</f>
        <v>22</v>
      </c>
      <c r="W423" s="2">
        <v>1</v>
      </c>
      <c r="X423" s="2">
        <v>3</v>
      </c>
      <c r="Y423" s="2">
        <v>0</v>
      </c>
      <c r="Z423" s="2">
        <f t="shared" si="58"/>
        <v>4</v>
      </c>
      <c r="AA423" s="2">
        <f t="shared" si="59"/>
        <v>26</v>
      </c>
      <c r="AB423" s="2">
        <v>2186</v>
      </c>
      <c r="AC423" s="20">
        <f t="shared" si="53"/>
        <v>1.18938700823422</v>
      </c>
      <c r="AD423" s="2" t="s">
        <v>58</v>
      </c>
      <c r="AE423" s="2">
        <v>188</v>
      </c>
      <c r="AF423" s="21">
        <f t="shared" si="54"/>
        <v>1.18938700823422</v>
      </c>
      <c r="AG423" s="4">
        <f t="shared" si="55"/>
        <v>1.0064043915828</v>
      </c>
      <c r="AH423" s="4">
        <f t="shared" si="56"/>
        <v>0.182982616651418</v>
      </c>
    </row>
    <row r="424" spans="1:34">
      <c r="A424" s="2">
        <v>20260228</v>
      </c>
      <c r="B424" s="2" t="s">
        <v>890</v>
      </c>
      <c r="C424" s="2" t="s">
        <v>891</v>
      </c>
      <c r="D424" s="2">
        <v>0</v>
      </c>
      <c r="E424" s="2">
        <v>8</v>
      </c>
      <c r="F424" s="2">
        <v>5</v>
      </c>
      <c r="G424" s="2">
        <v>1</v>
      </c>
      <c r="H424" s="2">
        <v>3</v>
      </c>
      <c r="I424" s="3">
        <v>27</v>
      </c>
      <c r="J424" s="2">
        <v>10</v>
      </c>
      <c r="K424" s="2">
        <v>3</v>
      </c>
      <c r="L424" s="2">
        <v>0</v>
      </c>
      <c r="M424" s="2">
        <v>5</v>
      </c>
      <c r="N424" s="2">
        <v>14</v>
      </c>
      <c r="O424" s="2">
        <v>12</v>
      </c>
      <c r="P424" s="3">
        <v>6</v>
      </c>
      <c r="Q424" s="2">
        <v>10</v>
      </c>
      <c r="R424" s="2">
        <v>22</v>
      </c>
      <c r="S424" s="2">
        <v>0</v>
      </c>
      <c r="T424" s="2">
        <v>0</v>
      </c>
      <c r="U424" s="2">
        <v>0</v>
      </c>
      <c r="V424" s="2">
        <f t="shared" si="60"/>
        <v>40</v>
      </c>
      <c r="W424" s="2">
        <v>0</v>
      </c>
      <c r="X424" s="2">
        <v>15</v>
      </c>
      <c r="Y424" s="2">
        <v>0</v>
      </c>
      <c r="Z424" s="2">
        <f t="shared" si="58"/>
        <v>15</v>
      </c>
      <c r="AA424" s="2">
        <f t="shared" si="59"/>
        <v>55</v>
      </c>
      <c r="AB424" s="2">
        <v>2615</v>
      </c>
      <c r="AC424" s="20">
        <f t="shared" si="53"/>
        <v>2.10325047801147</v>
      </c>
      <c r="AD424" s="2" t="s">
        <v>58</v>
      </c>
      <c r="AE424" s="2">
        <v>188</v>
      </c>
      <c r="AF424" s="21">
        <f t="shared" si="54"/>
        <v>2.10325047801147</v>
      </c>
      <c r="AG424" s="4">
        <f t="shared" si="55"/>
        <v>1.52963671128107</v>
      </c>
      <c r="AH424" s="4">
        <f t="shared" si="56"/>
        <v>0.573613766730402</v>
      </c>
    </row>
    <row r="425" spans="1:34">
      <c r="A425" s="2">
        <v>20260228</v>
      </c>
      <c r="B425" s="2" t="s">
        <v>892</v>
      </c>
      <c r="C425" s="2" t="s">
        <v>893</v>
      </c>
      <c r="D425" s="2">
        <v>9</v>
      </c>
      <c r="E425" s="2">
        <v>17</v>
      </c>
      <c r="F425" s="2">
        <v>32</v>
      </c>
      <c r="G425" s="2">
        <v>9</v>
      </c>
      <c r="H425" s="2">
        <v>15</v>
      </c>
      <c r="I425" s="2">
        <v>35</v>
      </c>
      <c r="J425" s="3">
        <v>24</v>
      </c>
      <c r="K425" s="2">
        <v>16</v>
      </c>
      <c r="L425" s="2">
        <v>1</v>
      </c>
      <c r="M425" s="2">
        <v>9</v>
      </c>
      <c r="N425" s="2">
        <v>77</v>
      </c>
      <c r="O425" s="2">
        <v>70</v>
      </c>
      <c r="P425" s="2">
        <v>19</v>
      </c>
      <c r="Q425" s="3">
        <v>29</v>
      </c>
      <c r="R425" s="2">
        <v>14</v>
      </c>
      <c r="S425" s="2">
        <v>1</v>
      </c>
      <c r="T425" s="2">
        <v>20</v>
      </c>
      <c r="U425" s="2">
        <v>1</v>
      </c>
      <c r="V425" s="2">
        <f t="shared" si="60"/>
        <v>144</v>
      </c>
      <c r="W425" s="2">
        <v>0</v>
      </c>
      <c r="X425" s="2">
        <v>4</v>
      </c>
      <c r="Y425" s="2">
        <v>0</v>
      </c>
      <c r="Z425" s="2">
        <f t="shared" si="58"/>
        <v>5</v>
      </c>
      <c r="AA425" s="2">
        <f t="shared" si="59"/>
        <v>149</v>
      </c>
      <c r="AB425" s="2">
        <v>2715</v>
      </c>
      <c r="AC425" s="20">
        <f t="shared" si="53"/>
        <v>5.48802946593002</v>
      </c>
      <c r="AD425" s="2" t="s">
        <v>58</v>
      </c>
      <c r="AE425" s="2">
        <v>188</v>
      </c>
      <c r="AF425" s="21">
        <f t="shared" si="54"/>
        <v>5.48802946593002</v>
      </c>
      <c r="AG425" s="4">
        <f t="shared" si="55"/>
        <v>5.30386740331492</v>
      </c>
      <c r="AH425" s="4">
        <f t="shared" si="56"/>
        <v>0.184162062615101</v>
      </c>
    </row>
    <row r="426" spans="1:34">
      <c r="A426" s="2">
        <v>20260228</v>
      </c>
      <c r="B426" s="2" t="s">
        <v>894</v>
      </c>
      <c r="C426" s="2" t="s">
        <v>895</v>
      </c>
      <c r="D426" s="2">
        <v>3</v>
      </c>
      <c r="E426" s="2">
        <v>0</v>
      </c>
      <c r="F426" s="2">
        <v>6</v>
      </c>
      <c r="G426" s="2">
        <v>0</v>
      </c>
      <c r="H426" s="2">
        <v>3</v>
      </c>
      <c r="I426" s="3">
        <v>24</v>
      </c>
      <c r="J426" s="2">
        <v>3</v>
      </c>
      <c r="K426" s="2">
        <v>1</v>
      </c>
      <c r="L426" s="2">
        <v>1</v>
      </c>
      <c r="M426" s="2">
        <v>3</v>
      </c>
      <c r="N426" s="2">
        <v>56</v>
      </c>
      <c r="O426" s="2">
        <v>14</v>
      </c>
      <c r="P426" s="3">
        <v>9</v>
      </c>
      <c r="Q426" s="2">
        <v>14</v>
      </c>
      <c r="R426" s="2">
        <v>8</v>
      </c>
      <c r="S426" s="2">
        <v>2</v>
      </c>
      <c r="T426" s="2">
        <v>1</v>
      </c>
      <c r="U426" s="2">
        <v>0</v>
      </c>
      <c r="V426" s="2">
        <f t="shared" si="60"/>
        <v>39</v>
      </c>
      <c r="W426" s="2">
        <v>0</v>
      </c>
      <c r="X426" s="2">
        <v>6</v>
      </c>
      <c r="Y426" s="2">
        <v>0</v>
      </c>
      <c r="Z426" s="2">
        <f t="shared" ref="Z426:Z432" si="61">Y426+X426+W426+U426</f>
        <v>6</v>
      </c>
      <c r="AA426" s="2">
        <f t="shared" si="59"/>
        <v>45</v>
      </c>
      <c r="AB426" s="2">
        <v>2186</v>
      </c>
      <c r="AC426" s="20">
        <f t="shared" si="53"/>
        <v>2.05855443732845</v>
      </c>
      <c r="AD426" s="2" t="s">
        <v>58</v>
      </c>
      <c r="AE426" s="2">
        <v>188</v>
      </c>
      <c r="AF426" s="21">
        <f t="shared" si="54"/>
        <v>2.05855443732845</v>
      </c>
      <c r="AG426" s="4">
        <f t="shared" si="55"/>
        <v>1.78408051235133</v>
      </c>
      <c r="AH426" s="4">
        <f t="shared" si="56"/>
        <v>0.274473924977127</v>
      </c>
    </row>
    <row r="427" spans="1:34">
      <c r="A427" s="2">
        <v>20260228</v>
      </c>
      <c r="B427" s="2" t="s">
        <v>896</v>
      </c>
      <c r="C427" s="2" t="s">
        <v>897</v>
      </c>
      <c r="D427" s="2">
        <v>4</v>
      </c>
      <c r="E427" s="2">
        <v>2</v>
      </c>
      <c r="F427" s="2">
        <v>8</v>
      </c>
      <c r="G427" s="2">
        <v>2</v>
      </c>
      <c r="H427" s="2">
        <v>1</v>
      </c>
      <c r="I427" s="3">
        <v>10</v>
      </c>
      <c r="J427" s="2">
        <v>6</v>
      </c>
      <c r="K427" s="2">
        <v>3</v>
      </c>
      <c r="L427" s="2">
        <v>0</v>
      </c>
      <c r="M427" s="2">
        <v>5</v>
      </c>
      <c r="N427" s="2">
        <v>1</v>
      </c>
      <c r="O427" s="2">
        <v>23</v>
      </c>
      <c r="P427" s="3">
        <v>4</v>
      </c>
      <c r="Q427" s="2">
        <v>1</v>
      </c>
      <c r="R427" s="2">
        <v>1</v>
      </c>
      <c r="S427" s="2">
        <v>1</v>
      </c>
      <c r="T427" s="2">
        <v>2</v>
      </c>
      <c r="U427" s="2">
        <v>1</v>
      </c>
      <c r="V427" s="2">
        <f t="shared" si="60"/>
        <v>28</v>
      </c>
      <c r="W427" s="2">
        <v>1</v>
      </c>
      <c r="X427" s="2">
        <v>4</v>
      </c>
      <c r="Y427" s="2">
        <v>0</v>
      </c>
      <c r="Z427" s="2">
        <f t="shared" si="61"/>
        <v>6</v>
      </c>
      <c r="AA427" s="2">
        <f t="shared" si="59"/>
        <v>34</v>
      </c>
      <c r="AB427" s="2">
        <v>2323</v>
      </c>
      <c r="AC427" s="20">
        <f t="shared" si="53"/>
        <v>1.4636246233319</v>
      </c>
      <c r="AD427" s="2" t="s">
        <v>49</v>
      </c>
      <c r="AE427" s="2">
        <v>188</v>
      </c>
      <c r="AF427" s="21">
        <f t="shared" si="54"/>
        <v>1.4636246233319</v>
      </c>
      <c r="AG427" s="4">
        <f t="shared" si="55"/>
        <v>1.20533792509686</v>
      </c>
      <c r="AH427" s="4">
        <f t="shared" si="56"/>
        <v>0.258286698235041</v>
      </c>
    </row>
    <row r="428" spans="1:34">
      <c r="A428" s="2">
        <v>20260228</v>
      </c>
      <c r="B428" s="2" t="s">
        <v>898</v>
      </c>
      <c r="C428" s="2" t="s">
        <v>899</v>
      </c>
      <c r="D428" s="2">
        <v>4</v>
      </c>
      <c r="E428" s="2">
        <v>0</v>
      </c>
      <c r="F428" s="2">
        <v>10</v>
      </c>
      <c r="G428" s="2">
        <v>1</v>
      </c>
      <c r="H428" s="2">
        <v>3</v>
      </c>
      <c r="I428" s="3">
        <v>11</v>
      </c>
      <c r="J428" s="2">
        <v>10</v>
      </c>
      <c r="K428" s="2">
        <v>1</v>
      </c>
      <c r="L428" s="2">
        <v>0</v>
      </c>
      <c r="M428" s="2">
        <v>4</v>
      </c>
      <c r="N428" s="2">
        <v>30</v>
      </c>
      <c r="O428" s="2">
        <v>28</v>
      </c>
      <c r="P428" s="3">
        <v>6</v>
      </c>
      <c r="Q428" s="2">
        <v>6</v>
      </c>
      <c r="R428" s="2">
        <v>4</v>
      </c>
      <c r="S428" s="2">
        <v>3</v>
      </c>
      <c r="T428" s="2">
        <v>1</v>
      </c>
      <c r="U428" s="2">
        <v>1</v>
      </c>
      <c r="V428" s="2">
        <f t="shared" ref="V428:V439" si="62">AA428-Y428-X428-W428-U428</f>
        <v>31</v>
      </c>
      <c r="W428" s="2">
        <v>2</v>
      </c>
      <c r="X428" s="2">
        <v>4</v>
      </c>
      <c r="Y428" s="2">
        <v>0</v>
      </c>
      <c r="Z428" s="2">
        <f t="shared" si="61"/>
        <v>7</v>
      </c>
      <c r="AA428" s="2">
        <f t="shared" si="59"/>
        <v>38</v>
      </c>
      <c r="AB428" s="2">
        <v>2186</v>
      </c>
      <c r="AC428" s="20">
        <f t="shared" si="53"/>
        <v>1.73833485818847</v>
      </c>
      <c r="AD428" s="2" t="s">
        <v>49</v>
      </c>
      <c r="AE428" s="2">
        <v>188</v>
      </c>
      <c r="AF428" s="21">
        <f t="shared" si="54"/>
        <v>1.73833485818847</v>
      </c>
      <c r="AG428" s="4">
        <f t="shared" si="55"/>
        <v>1.41811527904849</v>
      </c>
      <c r="AH428" s="4">
        <f t="shared" si="56"/>
        <v>0.320219579139982</v>
      </c>
    </row>
    <row r="429" spans="1:34">
      <c r="A429" s="2">
        <v>20260228</v>
      </c>
      <c r="B429" s="2" t="s">
        <v>900</v>
      </c>
      <c r="C429" s="2" t="s">
        <v>901</v>
      </c>
      <c r="D429" s="2">
        <v>4</v>
      </c>
      <c r="E429" s="2">
        <v>2</v>
      </c>
      <c r="F429" s="2">
        <v>4</v>
      </c>
      <c r="G429" s="2">
        <v>2</v>
      </c>
      <c r="H429" s="2">
        <v>5</v>
      </c>
      <c r="I429" s="3">
        <v>11</v>
      </c>
      <c r="J429" s="2">
        <v>9</v>
      </c>
      <c r="K429" s="2">
        <v>1</v>
      </c>
      <c r="L429" s="2">
        <v>1</v>
      </c>
      <c r="M429" s="2">
        <v>4</v>
      </c>
      <c r="N429" s="2">
        <v>7</v>
      </c>
      <c r="O429" s="2">
        <v>22</v>
      </c>
      <c r="P429" s="3">
        <v>3</v>
      </c>
      <c r="Q429" s="2">
        <v>4</v>
      </c>
      <c r="R429" s="2">
        <v>15</v>
      </c>
      <c r="S429" s="2">
        <v>0</v>
      </c>
      <c r="T429" s="2">
        <v>2</v>
      </c>
      <c r="U429" s="2">
        <v>0</v>
      </c>
      <c r="V429" s="2">
        <f t="shared" si="62"/>
        <v>30</v>
      </c>
      <c r="W429" s="2">
        <v>5</v>
      </c>
      <c r="X429" s="2">
        <v>3</v>
      </c>
      <c r="Y429" s="2">
        <v>0</v>
      </c>
      <c r="Z429" s="2">
        <f t="shared" si="61"/>
        <v>8</v>
      </c>
      <c r="AA429" s="2">
        <f t="shared" ref="AA429:AA440" si="63">G429+H429+I429+J429+K429+L429+M429+P429+T429+U429</f>
        <v>38</v>
      </c>
      <c r="AB429" s="2">
        <v>2415</v>
      </c>
      <c r="AC429" s="20">
        <f t="shared" si="53"/>
        <v>1.57349896480331</v>
      </c>
      <c r="AD429" s="2" t="s">
        <v>49</v>
      </c>
      <c r="AE429" s="2">
        <v>188</v>
      </c>
      <c r="AF429" s="21">
        <f t="shared" si="54"/>
        <v>1.57349896480331</v>
      </c>
      <c r="AG429" s="4">
        <f t="shared" si="55"/>
        <v>1.24223602484472</v>
      </c>
      <c r="AH429" s="4">
        <f t="shared" si="56"/>
        <v>0.331262939958592</v>
      </c>
    </row>
    <row r="430" spans="1:34">
      <c r="A430" s="2">
        <v>20260228</v>
      </c>
      <c r="B430" s="2" t="s">
        <v>902</v>
      </c>
      <c r="C430" s="2" t="s">
        <v>903</v>
      </c>
      <c r="D430" s="2">
        <v>5</v>
      </c>
      <c r="E430" s="2">
        <v>2</v>
      </c>
      <c r="F430" s="2">
        <v>13</v>
      </c>
      <c r="G430" s="2">
        <v>2</v>
      </c>
      <c r="H430" s="2">
        <v>1</v>
      </c>
      <c r="I430" s="3">
        <v>46</v>
      </c>
      <c r="J430" s="2">
        <v>17</v>
      </c>
      <c r="K430" s="2">
        <v>4</v>
      </c>
      <c r="L430" s="2">
        <v>0</v>
      </c>
      <c r="M430" s="2">
        <v>4</v>
      </c>
      <c r="N430" s="2">
        <v>7</v>
      </c>
      <c r="O430" s="2">
        <v>22</v>
      </c>
      <c r="P430" s="3">
        <v>6</v>
      </c>
      <c r="Q430" s="2">
        <v>5</v>
      </c>
      <c r="R430" s="2">
        <v>10</v>
      </c>
      <c r="S430" s="2">
        <v>3</v>
      </c>
      <c r="T430" s="2">
        <v>3</v>
      </c>
      <c r="U430" s="2">
        <v>1</v>
      </c>
      <c r="V430" s="2">
        <f t="shared" si="62"/>
        <v>43</v>
      </c>
      <c r="W430" s="2">
        <v>10</v>
      </c>
      <c r="X430" s="2">
        <v>30</v>
      </c>
      <c r="Y430" s="2">
        <v>0</v>
      </c>
      <c r="Z430" s="2">
        <f t="shared" ref="Z430:Z442" si="64">Y430+X430+W430+U430</f>
        <v>41</v>
      </c>
      <c r="AA430" s="2">
        <f t="shared" si="63"/>
        <v>84</v>
      </c>
      <c r="AB430" s="2">
        <v>2535</v>
      </c>
      <c r="AC430" s="20">
        <f t="shared" si="53"/>
        <v>3.31360946745562</v>
      </c>
      <c r="AD430" s="2" t="s">
        <v>49</v>
      </c>
      <c r="AE430" s="2">
        <v>188</v>
      </c>
      <c r="AF430" s="21">
        <f t="shared" si="54"/>
        <v>3.31360946745562</v>
      </c>
      <c r="AG430" s="4">
        <f t="shared" si="55"/>
        <v>1.69625246548323</v>
      </c>
      <c r="AH430" s="4">
        <f t="shared" si="56"/>
        <v>1.61735700197239</v>
      </c>
    </row>
    <row r="431" spans="1:34">
      <c r="A431" s="2">
        <v>20260228</v>
      </c>
      <c r="B431" s="2" t="s">
        <v>904</v>
      </c>
      <c r="C431" s="2" t="s">
        <v>905</v>
      </c>
      <c r="D431" s="2">
        <v>21</v>
      </c>
      <c r="E431" s="2">
        <v>14</v>
      </c>
      <c r="F431" s="2">
        <v>21</v>
      </c>
      <c r="G431" s="2">
        <v>51</v>
      </c>
      <c r="H431" s="2">
        <v>241</v>
      </c>
      <c r="I431" s="3">
        <v>214</v>
      </c>
      <c r="J431" s="2">
        <v>69</v>
      </c>
      <c r="K431" s="2">
        <v>71</v>
      </c>
      <c r="L431" s="2">
        <v>83</v>
      </c>
      <c r="M431" s="2">
        <v>29</v>
      </c>
      <c r="N431" s="2">
        <v>314</v>
      </c>
      <c r="O431" s="2">
        <v>21</v>
      </c>
      <c r="P431" s="3">
        <v>11</v>
      </c>
      <c r="Q431" s="2">
        <v>29</v>
      </c>
      <c r="R431" s="2">
        <v>17</v>
      </c>
      <c r="S431" s="2">
        <v>2</v>
      </c>
      <c r="T431" s="2">
        <v>8</v>
      </c>
      <c r="U431" s="2">
        <v>60</v>
      </c>
      <c r="V431" s="2">
        <f t="shared" si="62"/>
        <v>771</v>
      </c>
      <c r="W431" s="2">
        <v>4</v>
      </c>
      <c r="X431" s="2">
        <v>2</v>
      </c>
      <c r="Y431" s="2">
        <v>0</v>
      </c>
      <c r="Z431" s="2">
        <f t="shared" si="64"/>
        <v>66</v>
      </c>
      <c r="AA431" s="2">
        <f t="shared" si="63"/>
        <v>837</v>
      </c>
      <c r="AB431" s="2">
        <v>2985</v>
      </c>
      <c r="AC431" s="20">
        <f t="shared" ref="AC431:AC439" si="65">AA431/AB431*100</f>
        <v>28.0402010050251</v>
      </c>
      <c r="AD431" s="2" t="s">
        <v>49</v>
      </c>
      <c r="AE431" s="2">
        <v>188</v>
      </c>
      <c r="AF431" s="21">
        <f t="shared" si="54"/>
        <v>28.0402010050251</v>
      </c>
      <c r="AG431" s="4">
        <f t="shared" si="55"/>
        <v>25.8291457286432</v>
      </c>
      <c r="AH431" s="4">
        <f t="shared" si="56"/>
        <v>2.21105527638191</v>
      </c>
    </row>
    <row r="432" spans="1:34">
      <c r="A432" s="2">
        <v>20260301</v>
      </c>
      <c r="B432" s="2" t="s">
        <v>906</v>
      </c>
      <c r="C432" s="2" t="s">
        <v>907</v>
      </c>
      <c r="D432" s="2">
        <v>1</v>
      </c>
      <c r="E432" s="2">
        <v>5</v>
      </c>
      <c r="F432" s="2">
        <v>10</v>
      </c>
      <c r="G432" s="2">
        <v>4</v>
      </c>
      <c r="H432" s="2">
        <v>2</v>
      </c>
      <c r="I432" s="3">
        <v>11</v>
      </c>
      <c r="J432" s="2">
        <v>9</v>
      </c>
      <c r="K432" s="2">
        <v>4</v>
      </c>
      <c r="L432" s="2">
        <v>0</v>
      </c>
      <c r="M432" s="2">
        <v>7</v>
      </c>
      <c r="N432" s="2">
        <v>5</v>
      </c>
      <c r="O432" s="2">
        <v>13</v>
      </c>
      <c r="P432" s="3">
        <v>6</v>
      </c>
      <c r="Q432" s="2">
        <v>1</v>
      </c>
      <c r="R432" s="2">
        <v>2</v>
      </c>
      <c r="S432" s="2">
        <v>0</v>
      </c>
      <c r="T432" s="2">
        <v>0</v>
      </c>
      <c r="U432" s="2">
        <v>0</v>
      </c>
      <c r="V432" s="2">
        <f t="shared" si="62"/>
        <v>34</v>
      </c>
      <c r="W432" s="2">
        <v>3</v>
      </c>
      <c r="X432" s="2">
        <v>6</v>
      </c>
      <c r="Y432" s="2">
        <v>0</v>
      </c>
      <c r="Z432" s="2">
        <f t="shared" si="64"/>
        <v>9</v>
      </c>
      <c r="AA432" s="2">
        <f t="shared" si="63"/>
        <v>43</v>
      </c>
      <c r="AB432" s="2">
        <v>2345</v>
      </c>
      <c r="AC432" s="20">
        <f t="shared" si="65"/>
        <v>1.83368869936034</v>
      </c>
      <c r="AD432" s="2" t="s">
        <v>49</v>
      </c>
      <c r="AE432" s="2">
        <v>188</v>
      </c>
      <c r="AF432" s="21">
        <f t="shared" si="54"/>
        <v>1.83368869936034</v>
      </c>
      <c r="AG432" s="4">
        <f t="shared" si="55"/>
        <v>1.4498933901919</v>
      </c>
      <c r="AH432" s="4">
        <f t="shared" si="56"/>
        <v>0.383795309168444</v>
      </c>
    </row>
    <row r="433" spans="1:34">
      <c r="A433" s="2">
        <v>20260301</v>
      </c>
      <c r="B433" s="2" t="s">
        <v>908</v>
      </c>
      <c r="C433" s="2" t="s">
        <v>909</v>
      </c>
      <c r="D433" s="2">
        <v>2</v>
      </c>
      <c r="E433" s="2">
        <v>2</v>
      </c>
      <c r="F433" s="2">
        <v>14</v>
      </c>
      <c r="G433" s="2">
        <v>2</v>
      </c>
      <c r="H433" s="2">
        <v>0</v>
      </c>
      <c r="I433" s="3">
        <v>23</v>
      </c>
      <c r="J433" s="2">
        <v>22</v>
      </c>
      <c r="K433" s="2">
        <v>3</v>
      </c>
      <c r="L433" s="2">
        <v>0</v>
      </c>
      <c r="M433" s="2">
        <v>8</v>
      </c>
      <c r="N433" s="2">
        <v>23</v>
      </c>
      <c r="O433" s="2">
        <v>32</v>
      </c>
      <c r="P433" s="3">
        <v>11</v>
      </c>
      <c r="Q433" s="2">
        <v>12</v>
      </c>
      <c r="R433" s="2">
        <v>2</v>
      </c>
      <c r="S433" s="2">
        <v>2</v>
      </c>
      <c r="T433" s="2">
        <v>0</v>
      </c>
      <c r="U433" s="2">
        <v>1</v>
      </c>
      <c r="V433" s="2">
        <f t="shared" si="62"/>
        <v>46</v>
      </c>
      <c r="W433" s="2">
        <v>13</v>
      </c>
      <c r="X433" s="2">
        <v>10</v>
      </c>
      <c r="Y433" s="2">
        <v>0</v>
      </c>
      <c r="Z433" s="2">
        <f t="shared" si="64"/>
        <v>24</v>
      </c>
      <c r="AA433" s="2">
        <f t="shared" si="63"/>
        <v>70</v>
      </c>
      <c r="AB433" s="2">
        <v>2385</v>
      </c>
      <c r="AC433" s="20">
        <f t="shared" si="65"/>
        <v>2.93501048218029</v>
      </c>
      <c r="AD433" s="2" t="s">
        <v>49</v>
      </c>
      <c r="AE433" s="2">
        <v>188</v>
      </c>
      <c r="AF433" s="21">
        <f t="shared" si="54"/>
        <v>2.93501048218029</v>
      </c>
      <c r="AG433" s="4">
        <f t="shared" si="55"/>
        <v>1.92872117400419</v>
      </c>
      <c r="AH433" s="4">
        <f t="shared" si="56"/>
        <v>1.0062893081761</v>
      </c>
    </row>
    <row r="434" spans="1:34">
      <c r="A434" s="2">
        <v>20260301</v>
      </c>
      <c r="B434" s="2" t="s">
        <v>910</v>
      </c>
      <c r="C434" s="2" t="s">
        <v>911</v>
      </c>
      <c r="D434" s="2">
        <v>3</v>
      </c>
      <c r="E434" s="2">
        <v>232</v>
      </c>
      <c r="F434" s="2">
        <v>10</v>
      </c>
      <c r="G434" s="2">
        <v>5</v>
      </c>
      <c r="H434" s="2">
        <v>18</v>
      </c>
      <c r="I434" s="3">
        <v>15</v>
      </c>
      <c r="J434" s="2">
        <v>32</v>
      </c>
      <c r="K434" s="2">
        <v>1</v>
      </c>
      <c r="L434" s="2">
        <v>1</v>
      </c>
      <c r="M434" s="2">
        <v>14</v>
      </c>
      <c r="N434" s="2">
        <v>6</v>
      </c>
      <c r="O434" s="2">
        <v>25</v>
      </c>
      <c r="P434" s="3">
        <v>9</v>
      </c>
      <c r="Q434" s="2">
        <v>10</v>
      </c>
      <c r="R434" s="2">
        <v>830</v>
      </c>
      <c r="S434" s="2">
        <v>2</v>
      </c>
      <c r="T434" s="2">
        <v>2</v>
      </c>
      <c r="U434" s="2">
        <v>0</v>
      </c>
      <c r="V434" s="2">
        <f t="shared" si="62"/>
        <v>94</v>
      </c>
      <c r="W434" s="2">
        <v>0</v>
      </c>
      <c r="X434" s="2">
        <v>3</v>
      </c>
      <c r="Y434" s="2">
        <v>0</v>
      </c>
      <c r="Z434" s="2">
        <f t="shared" si="64"/>
        <v>3</v>
      </c>
      <c r="AA434" s="2">
        <f t="shared" si="63"/>
        <v>97</v>
      </c>
      <c r="AB434" s="2">
        <v>2785</v>
      </c>
      <c r="AC434" s="20">
        <f t="shared" si="65"/>
        <v>3.48294434470377</v>
      </c>
      <c r="AD434" s="2" t="s">
        <v>49</v>
      </c>
      <c r="AE434" s="2">
        <v>188</v>
      </c>
      <c r="AF434" s="21">
        <f t="shared" si="54"/>
        <v>3.48294434470377</v>
      </c>
      <c r="AG434" s="4">
        <f t="shared" si="55"/>
        <v>3.37522441651706</v>
      </c>
      <c r="AH434" s="4">
        <f t="shared" si="56"/>
        <v>0.107719928186715</v>
      </c>
    </row>
    <row r="435" spans="1:34">
      <c r="A435" s="2">
        <v>20260301</v>
      </c>
      <c r="B435" s="2" t="s">
        <v>912</v>
      </c>
      <c r="C435" s="2" t="s">
        <v>913</v>
      </c>
      <c r="D435" s="2">
        <v>0</v>
      </c>
      <c r="E435" s="2">
        <v>1</v>
      </c>
      <c r="F435" s="2">
        <v>5</v>
      </c>
      <c r="G435" s="2">
        <v>3</v>
      </c>
      <c r="H435" s="2">
        <v>3</v>
      </c>
      <c r="I435" s="3">
        <v>12</v>
      </c>
      <c r="J435" s="2">
        <v>4</v>
      </c>
      <c r="K435" s="2">
        <v>0</v>
      </c>
      <c r="L435" s="2">
        <v>1</v>
      </c>
      <c r="M435" s="2">
        <v>9</v>
      </c>
      <c r="N435" s="2">
        <v>2</v>
      </c>
      <c r="O435" s="2">
        <v>19</v>
      </c>
      <c r="P435" s="3">
        <v>9</v>
      </c>
      <c r="Q435" s="2">
        <v>3</v>
      </c>
      <c r="R435" s="2">
        <v>2</v>
      </c>
      <c r="S435" s="2">
        <v>0</v>
      </c>
      <c r="T435" s="2">
        <v>3</v>
      </c>
      <c r="U435" s="2">
        <v>0</v>
      </c>
      <c r="V435" s="2">
        <f t="shared" si="62"/>
        <v>38</v>
      </c>
      <c r="W435" s="2">
        <v>1</v>
      </c>
      <c r="X435" s="2">
        <v>5</v>
      </c>
      <c r="Y435" s="2">
        <v>0</v>
      </c>
      <c r="Z435" s="2">
        <f t="shared" si="64"/>
        <v>6</v>
      </c>
      <c r="AA435" s="2">
        <f t="shared" si="63"/>
        <v>44</v>
      </c>
      <c r="AB435" s="2">
        <v>2485</v>
      </c>
      <c r="AC435" s="20">
        <f t="shared" si="65"/>
        <v>1.77062374245473</v>
      </c>
      <c r="AD435" s="2" t="s">
        <v>49</v>
      </c>
      <c r="AE435" s="2">
        <v>188</v>
      </c>
      <c r="AF435" s="21">
        <f t="shared" si="54"/>
        <v>1.77062374245473</v>
      </c>
      <c r="AG435" s="4">
        <f t="shared" si="55"/>
        <v>1.52917505030181</v>
      </c>
      <c r="AH435" s="4">
        <f t="shared" si="56"/>
        <v>0.241448692152918</v>
      </c>
    </row>
    <row r="436" spans="1:34">
      <c r="A436" s="2">
        <v>20260301</v>
      </c>
      <c r="B436" s="2" t="s">
        <v>914</v>
      </c>
      <c r="C436" s="2" t="s">
        <v>915</v>
      </c>
      <c r="D436" s="2">
        <v>3</v>
      </c>
      <c r="E436" s="2">
        <v>7</v>
      </c>
      <c r="F436" s="2">
        <v>9</v>
      </c>
      <c r="G436" s="2">
        <v>11</v>
      </c>
      <c r="H436" s="2">
        <v>10</v>
      </c>
      <c r="I436" s="3">
        <v>13</v>
      </c>
      <c r="J436" s="2">
        <v>5</v>
      </c>
      <c r="K436" s="2">
        <v>6</v>
      </c>
      <c r="L436" s="2">
        <v>0</v>
      </c>
      <c r="M436" s="2">
        <v>8</v>
      </c>
      <c r="N436" s="2">
        <v>6</v>
      </c>
      <c r="O436" s="2">
        <v>38</v>
      </c>
      <c r="P436" s="3">
        <v>11</v>
      </c>
      <c r="Q436" s="2">
        <v>4</v>
      </c>
      <c r="R436" s="2">
        <v>2</v>
      </c>
      <c r="S436" s="2">
        <v>0</v>
      </c>
      <c r="T436" s="2">
        <v>0</v>
      </c>
      <c r="U436" s="2">
        <v>1</v>
      </c>
      <c r="V436" s="2">
        <f t="shared" si="62"/>
        <v>61</v>
      </c>
      <c r="W436" s="2">
        <v>1</v>
      </c>
      <c r="X436" s="2">
        <v>2</v>
      </c>
      <c r="Y436" s="2">
        <v>0</v>
      </c>
      <c r="Z436" s="2">
        <f t="shared" si="64"/>
        <v>4</v>
      </c>
      <c r="AA436" s="2">
        <f t="shared" si="63"/>
        <v>65</v>
      </c>
      <c r="AB436" s="2">
        <v>2435</v>
      </c>
      <c r="AC436" s="20">
        <f t="shared" si="65"/>
        <v>2.6694045174538</v>
      </c>
      <c r="AD436" s="2" t="s">
        <v>49</v>
      </c>
      <c r="AE436" s="2">
        <v>188</v>
      </c>
      <c r="AF436" s="21">
        <f t="shared" ref="AF436:AF441" si="66">188/AE436*AC436</f>
        <v>2.6694045174538</v>
      </c>
      <c r="AG436" s="4">
        <f t="shared" ref="AG436:AG441" si="67">V436/AB436*100</f>
        <v>2.50513347022587</v>
      </c>
      <c r="AH436" s="4">
        <f t="shared" ref="AH436:AH441" si="68">Z436/AB436*100</f>
        <v>0.164271047227926</v>
      </c>
    </row>
    <row r="437" spans="1:34">
      <c r="A437" s="2">
        <v>20260301</v>
      </c>
      <c r="B437" s="2" t="s">
        <v>916</v>
      </c>
      <c r="C437" s="2" t="s">
        <v>917</v>
      </c>
      <c r="D437" s="2">
        <v>0</v>
      </c>
      <c r="E437" s="2">
        <v>0</v>
      </c>
      <c r="F437" s="2">
        <v>6</v>
      </c>
      <c r="G437" s="2">
        <v>2</v>
      </c>
      <c r="H437" s="2">
        <v>1</v>
      </c>
      <c r="I437" s="3">
        <v>5</v>
      </c>
      <c r="J437" s="2">
        <v>7</v>
      </c>
      <c r="K437" s="2">
        <v>2</v>
      </c>
      <c r="L437" s="2">
        <v>0</v>
      </c>
      <c r="M437" s="2">
        <v>5</v>
      </c>
      <c r="N437" s="2">
        <v>6</v>
      </c>
      <c r="O437" s="2">
        <v>23</v>
      </c>
      <c r="P437" s="3">
        <v>7</v>
      </c>
      <c r="Q437" s="2">
        <v>3</v>
      </c>
      <c r="R437" s="2">
        <v>1</v>
      </c>
      <c r="S437" s="2">
        <v>0</v>
      </c>
      <c r="T437" s="2">
        <v>1</v>
      </c>
      <c r="U437" s="2">
        <v>0</v>
      </c>
      <c r="V437" s="2">
        <f t="shared" si="62"/>
        <v>28</v>
      </c>
      <c r="W437" s="2">
        <v>0</v>
      </c>
      <c r="X437" s="2">
        <v>2</v>
      </c>
      <c r="Y437" s="2">
        <v>0</v>
      </c>
      <c r="Z437" s="2">
        <f t="shared" si="64"/>
        <v>2</v>
      </c>
      <c r="AA437" s="2">
        <f t="shared" si="63"/>
        <v>30</v>
      </c>
      <c r="AB437" s="2">
        <v>2185</v>
      </c>
      <c r="AC437" s="20">
        <f t="shared" si="65"/>
        <v>1.37299771167048</v>
      </c>
      <c r="AD437" s="2" t="s">
        <v>49</v>
      </c>
      <c r="AE437" s="2">
        <v>188</v>
      </c>
      <c r="AF437" s="21">
        <f t="shared" si="66"/>
        <v>1.37299771167048</v>
      </c>
      <c r="AG437" s="4">
        <f t="shared" si="67"/>
        <v>1.28146453089245</v>
      </c>
      <c r="AH437" s="4">
        <f t="shared" si="68"/>
        <v>0.091533180778032</v>
      </c>
    </row>
    <row r="438" spans="1:34">
      <c r="A438" s="2">
        <v>20260301</v>
      </c>
      <c r="B438" s="8" t="s">
        <v>918</v>
      </c>
      <c r="C438" s="2" t="s">
        <v>919</v>
      </c>
      <c r="D438" s="2">
        <v>1</v>
      </c>
      <c r="E438" s="2">
        <v>8</v>
      </c>
      <c r="F438" s="2">
        <v>5</v>
      </c>
      <c r="G438" s="2">
        <v>0</v>
      </c>
      <c r="H438" s="2">
        <v>4</v>
      </c>
      <c r="I438" s="3">
        <v>8</v>
      </c>
      <c r="J438" s="2">
        <v>1</v>
      </c>
      <c r="K438" s="2">
        <v>1</v>
      </c>
      <c r="L438" s="2">
        <v>0</v>
      </c>
      <c r="M438" s="2">
        <v>6</v>
      </c>
      <c r="N438" s="2">
        <v>2</v>
      </c>
      <c r="O438" s="2">
        <v>2</v>
      </c>
      <c r="P438" s="3">
        <v>4</v>
      </c>
      <c r="Q438" s="2">
        <v>11</v>
      </c>
      <c r="R438" s="2">
        <v>0</v>
      </c>
      <c r="S438" s="2">
        <v>0</v>
      </c>
      <c r="T438" s="2">
        <v>1</v>
      </c>
      <c r="U438" s="2">
        <v>0</v>
      </c>
      <c r="V438" s="2">
        <f t="shared" si="62"/>
        <v>23</v>
      </c>
      <c r="W438" s="2">
        <v>1</v>
      </c>
      <c r="X438" s="2">
        <v>1</v>
      </c>
      <c r="Y438" s="2">
        <v>0</v>
      </c>
      <c r="Z438" s="2">
        <f t="shared" si="64"/>
        <v>2</v>
      </c>
      <c r="AA438" s="2">
        <f t="shared" si="63"/>
        <v>25</v>
      </c>
      <c r="AB438" s="2">
        <v>2485</v>
      </c>
      <c r="AC438" s="20">
        <f t="shared" si="65"/>
        <v>1.00603621730382</v>
      </c>
      <c r="AD438" s="2" t="s">
        <v>49</v>
      </c>
      <c r="AE438" s="2">
        <v>188</v>
      </c>
      <c r="AF438" s="21">
        <f t="shared" si="66"/>
        <v>1.00603621730382</v>
      </c>
      <c r="AG438" s="4">
        <f t="shared" si="67"/>
        <v>0.925553319919517</v>
      </c>
      <c r="AH438" s="4">
        <f t="shared" si="68"/>
        <v>0.0804828973843058</v>
      </c>
    </row>
    <row r="439" spans="1:34">
      <c r="A439" s="2">
        <v>20260301</v>
      </c>
      <c r="B439" s="2" t="s">
        <v>920</v>
      </c>
      <c r="C439" s="2" t="s">
        <v>921</v>
      </c>
      <c r="D439" s="2">
        <v>0</v>
      </c>
      <c r="E439" s="2">
        <v>0</v>
      </c>
      <c r="F439" s="2">
        <v>11</v>
      </c>
      <c r="G439" s="2">
        <v>6</v>
      </c>
      <c r="H439" s="2">
        <v>0</v>
      </c>
      <c r="I439" s="3">
        <v>13</v>
      </c>
      <c r="J439" s="2">
        <v>5</v>
      </c>
      <c r="K439" s="2">
        <v>0</v>
      </c>
      <c r="L439" s="2">
        <v>1</v>
      </c>
      <c r="M439" s="2">
        <v>9</v>
      </c>
      <c r="N439" s="2">
        <v>9</v>
      </c>
      <c r="O439" s="2">
        <v>17</v>
      </c>
      <c r="P439" s="3">
        <v>8</v>
      </c>
      <c r="Q439" s="2">
        <v>4</v>
      </c>
      <c r="R439" s="2">
        <v>0</v>
      </c>
      <c r="S439" s="2">
        <v>0</v>
      </c>
      <c r="T439" s="2">
        <v>1</v>
      </c>
      <c r="U439" s="2">
        <v>0</v>
      </c>
      <c r="V439" s="2">
        <f t="shared" si="62"/>
        <v>42</v>
      </c>
      <c r="W439" s="2">
        <v>0</v>
      </c>
      <c r="X439" s="2">
        <v>0</v>
      </c>
      <c r="Y439" s="2">
        <v>1</v>
      </c>
      <c r="Z439" s="2">
        <f t="shared" si="64"/>
        <v>1</v>
      </c>
      <c r="AA439" s="2">
        <f t="shared" si="63"/>
        <v>43</v>
      </c>
      <c r="AB439" s="2">
        <v>2385</v>
      </c>
      <c r="AC439" s="20">
        <f t="shared" si="65"/>
        <v>1.80293501048218</v>
      </c>
      <c r="AD439" s="2" t="s">
        <v>49</v>
      </c>
      <c r="AE439" s="2">
        <v>188</v>
      </c>
      <c r="AF439" s="21">
        <f t="shared" si="66"/>
        <v>1.80293501048218</v>
      </c>
      <c r="AG439" s="4">
        <f t="shared" si="67"/>
        <v>1.76100628930818</v>
      </c>
      <c r="AH439" s="4">
        <f t="shared" si="68"/>
        <v>0.0419287211740042</v>
      </c>
    </row>
    <row r="440" spans="1:34">
      <c r="A440" s="2">
        <v>20260301</v>
      </c>
      <c r="B440" s="2" t="s">
        <v>922</v>
      </c>
      <c r="C440" s="2" t="s">
        <v>923</v>
      </c>
      <c r="D440" s="2">
        <v>3</v>
      </c>
      <c r="E440" s="2">
        <v>1</v>
      </c>
      <c r="F440" s="2">
        <v>7</v>
      </c>
      <c r="G440" s="2">
        <v>3</v>
      </c>
      <c r="H440" s="2">
        <v>0</v>
      </c>
      <c r="I440" s="3">
        <v>4</v>
      </c>
      <c r="J440" s="2">
        <v>2</v>
      </c>
      <c r="K440" s="2">
        <v>11</v>
      </c>
      <c r="L440" s="2">
        <v>0</v>
      </c>
      <c r="M440" s="2">
        <v>6</v>
      </c>
      <c r="N440" s="2">
        <v>3</v>
      </c>
      <c r="O440" s="2">
        <v>13</v>
      </c>
      <c r="P440" s="3">
        <v>5</v>
      </c>
      <c r="Q440" s="2">
        <v>2</v>
      </c>
      <c r="R440" s="2">
        <v>0</v>
      </c>
      <c r="S440" s="2">
        <v>0</v>
      </c>
      <c r="T440" s="2">
        <v>1</v>
      </c>
      <c r="U440" s="2">
        <v>1</v>
      </c>
      <c r="V440" s="2">
        <f t="shared" ref="V440:V448" si="69">AA440-Y440-X440-W440-U440</f>
        <v>30</v>
      </c>
      <c r="W440" s="2">
        <v>2</v>
      </c>
      <c r="X440" s="2">
        <v>0</v>
      </c>
      <c r="Y440" s="2">
        <v>0</v>
      </c>
      <c r="Z440" s="2">
        <f t="shared" si="64"/>
        <v>3</v>
      </c>
      <c r="AA440" s="2">
        <f t="shared" si="63"/>
        <v>33</v>
      </c>
      <c r="AB440" s="2">
        <v>2186</v>
      </c>
      <c r="AC440" s="20">
        <f t="shared" ref="AC440:AC455" si="70">AA440/AB440*100</f>
        <v>1.5096065873742</v>
      </c>
      <c r="AD440" s="2" t="s">
        <v>49</v>
      </c>
      <c r="AE440" s="2">
        <v>188</v>
      </c>
      <c r="AF440" s="21">
        <f t="shared" si="66"/>
        <v>1.5096065873742</v>
      </c>
      <c r="AG440" s="4">
        <f t="shared" si="67"/>
        <v>1.37236962488564</v>
      </c>
      <c r="AH440" s="4">
        <f t="shared" si="68"/>
        <v>0.137236962488564</v>
      </c>
    </row>
    <row r="441" spans="1:34">
      <c r="A441" s="2">
        <v>20260301</v>
      </c>
      <c r="B441" s="2" t="s">
        <v>924</v>
      </c>
      <c r="C441" s="2" t="s">
        <v>925</v>
      </c>
      <c r="D441" s="2">
        <v>4</v>
      </c>
      <c r="E441" s="2">
        <v>2</v>
      </c>
      <c r="F441" s="2">
        <v>7</v>
      </c>
      <c r="G441" s="2">
        <v>4</v>
      </c>
      <c r="H441" s="2">
        <v>28</v>
      </c>
      <c r="I441" s="3">
        <v>40</v>
      </c>
      <c r="J441" s="2">
        <v>4</v>
      </c>
      <c r="K441" s="2">
        <v>0</v>
      </c>
      <c r="L441" s="2">
        <v>16</v>
      </c>
      <c r="M441" s="2">
        <v>31</v>
      </c>
      <c r="N441" s="2">
        <v>23</v>
      </c>
      <c r="O441" s="2">
        <v>6</v>
      </c>
      <c r="P441" s="3">
        <v>8</v>
      </c>
      <c r="Q441" s="2">
        <v>4</v>
      </c>
      <c r="R441" s="2">
        <v>3</v>
      </c>
      <c r="S441" s="2">
        <v>1</v>
      </c>
      <c r="T441" s="2">
        <v>0</v>
      </c>
      <c r="U441" s="2">
        <v>0</v>
      </c>
      <c r="V441" s="2">
        <f t="shared" si="69"/>
        <v>120</v>
      </c>
      <c r="W441" s="2">
        <v>2</v>
      </c>
      <c r="X441" s="2">
        <v>9</v>
      </c>
      <c r="Y441" s="2">
        <v>0</v>
      </c>
      <c r="Z441" s="2">
        <f t="shared" si="64"/>
        <v>11</v>
      </c>
      <c r="AA441" s="2">
        <f t="shared" ref="AA441:AA449" si="71">G441+H441+I441+J441+K441+L441+M441+P441+T441+U441</f>
        <v>131</v>
      </c>
      <c r="AB441" s="2">
        <v>2487</v>
      </c>
      <c r="AC441" s="20">
        <f t="shared" si="70"/>
        <v>5.26739043023723</v>
      </c>
      <c r="AD441" s="2" t="s">
        <v>49</v>
      </c>
      <c r="AE441" s="2">
        <v>188</v>
      </c>
      <c r="AF441" s="21">
        <f t="shared" si="66"/>
        <v>5.26739043023723</v>
      </c>
      <c r="AG441" s="4">
        <f t="shared" si="67"/>
        <v>4.82509047044632</v>
      </c>
      <c r="AH441" s="4">
        <f t="shared" si="68"/>
        <v>0.442299959790913</v>
      </c>
    </row>
    <row r="442" spans="1:34">
      <c r="A442" s="2">
        <v>20260301</v>
      </c>
      <c r="B442" s="2" t="s">
        <v>926</v>
      </c>
      <c r="C442" s="2" t="s">
        <v>927</v>
      </c>
      <c r="D442" s="2">
        <v>3</v>
      </c>
      <c r="E442" s="2">
        <v>4</v>
      </c>
      <c r="F442" s="2">
        <v>16</v>
      </c>
      <c r="G442" s="2">
        <v>3</v>
      </c>
      <c r="H442" s="2">
        <v>1</v>
      </c>
      <c r="I442" s="3">
        <v>19</v>
      </c>
      <c r="J442" s="2">
        <v>10</v>
      </c>
      <c r="K442" s="2">
        <v>4</v>
      </c>
      <c r="L442" s="2">
        <v>0</v>
      </c>
      <c r="M442" s="2">
        <v>7</v>
      </c>
      <c r="N442" s="2">
        <v>13</v>
      </c>
      <c r="O442" s="2">
        <v>25</v>
      </c>
      <c r="P442" s="3">
        <v>13</v>
      </c>
      <c r="Q442" s="2">
        <v>6</v>
      </c>
      <c r="R442" s="2">
        <v>3</v>
      </c>
      <c r="S442" s="2">
        <v>2</v>
      </c>
      <c r="T442" s="2">
        <v>2</v>
      </c>
      <c r="U442" s="2">
        <v>0</v>
      </c>
      <c r="V442" s="2">
        <f t="shared" si="69"/>
        <v>55</v>
      </c>
      <c r="W442" s="2">
        <v>4</v>
      </c>
      <c r="X442" s="2">
        <v>0</v>
      </c>
      <c r="Y442" s="2">
        <v>0</v>
      </c>
      <c r="Z442" s="2">
        <f t="shared" si="64"/>
        <v>4</v>
      </c>
      <c r="AA442" s="2">
        <f t="shared" si="71"/>
        <v>59</v>
      </c>
      <c r="AB442" s="2">
        <v>2587</v>
      </c>
      <c r="AC442" s="20">
        <f t="shared" si="70"/>
        <v>2.2806339389254</v>
      </c>
      <c r="AD442" s="2" t="s">
        <v>49</v>
      </c>
      <c r="AE442" s="2">
        <v>188</v>
      </c>
      <c r="AF442" s="21">
        <f t="shared" ref="AF442:AF456" si="72">188/AE442*AC442</f>
        <v>2.2806339389254</v>
      </c>
      <c r="AG442" s="4">
        <f t="shared" ref="AG442:AG456" si="73">V442/AB442*100</f>
        <v>2.12601468882876</v>
      </c>
      <c r="AH442" s="4">
        <f t="shared" ref="AH442:AH456" si="74">Z442/AB442*100</f>
        <v>0.154619250096637</v>
      </c>
    </row>
    <row r="443" spans="1:34">
      <c r="A443" s="2">
        <v>20260301</v>
      </c>
      <c r="B443" s="2" t="s">
        <v>928</v>
      </c>
      <c r="C443" s="2" t="s">
        <v>929</v>
      </c>
      <c r="D443" s="2">
        <v>10</v>
      </c>
      <c r="E443" s="2">
        <v>2</v>
      </c>
      <c r="F443" s="2">
        <v>45</v>
      </c>
      <c r="G443" s="2">
        <v>4</v>
      </c>
      <c r="H443" s="2">
        <v>35</v>
      </c>
      <c r="I443" s="3">
        <v>15</v>
      </c>
      <c r="J443" s="2">
        <v>23</v>
      </c>
      <c r="K443" s="2">
        <v>22</v>
      </c>
      <c r="L443" s="2">
        <v>0</v>
      </c>
      <c r="M443" s="2">
        <v>5</v>
      </c>
      <c r="N443" s="2">
        <v>18</v>
      </c>
      <c r="O443" s="2">
        <v>108</v>
      </c>
      <c r="P443" s="3">
        <v>18</v>
      </c>
      <c r="Q443" s="2">
        <v>15</v>
      </c>
      <c r="R443" s="2">
        <v>6</v>
      </c>
      <c r="S443" s="2">
        <v>2</v>
      </c>
      <c r="T443" s="2">
        <v>15</v>
      </c>
      <c r="U443" s="2">
        <v>1</v>
      </c>
      <c r="V443" s="2">
        <f t="shared" si="69"/>
        <v>132</v>
      </c>
      <c r="W443" s="2">
        <v>2</v>
      </c>
      <c r="X443" s="2">
        <v>3</v>
      </c>
      <c r="Y443" s="2">
        <v>0</v>
      </c>
      <c r="Z443" s="2">
        <f t="shared" ref="Z443:Z455" si="75">Y443+X443+W443+U443</f>
        <v>6</v>
      </c>
      <c r="AA443" s="2">
        <f t="shared" si="71"/>
        <v>138</v>
      </c>
      <c r="AB443" s="2">
        <v>2585</v>
      </c>
      <c r="AC443" s="20">
        <f t="shared" si="70"/>
        <v>5.3384912959381</v>
      </c>
      <c r="AD443" s="2" t="s">
        <v>49</v>
      </c>
      <c r="AE443" s="2">
        <v>188</v>
      </c>
      <c r="AF443" s="21">
        <f t="shared" si="72"/>
        <v>5.3384912959381</v>
      </c>
      <c r="AG443" s="4">
        <f t="shared" si="73"/>
        <v>5.1063829787234</v>
      </c>
      <c r="AH443" s="4">
        <f t="shared" si="74"/>
        <v>0.2321083172147</v>
      </c>
    </row>
    <row r="444" spans="1:34">
      <c r="A444" s="2">
        <v>20260301</v>
      </c>
      <c r="B444" s="2" t="s">
        <v>930</v>
      </c>
      <c r="C444" s="2" t="s">
        <v>931</v>
      </c>
      <c r="D444" s="2">
        <v>1</v>
      </c>
      <c r="E444" s="2">
        <v>0</v>
      </c>
      <c r="F444" s="2">
        <v>9</v>
      </c>
      <c r="G444" s="2">
        <v>1</v>
      </c>
      <c r="H444" s="2">
        <v>1</v>
      </c>
      <c r="I444" s="3">
        <v>7</v>
      </c>
      <c r="J444" s="2">
        <v>11</v>
      </c>
      <c r="K444" s="2">
        <v>1</v>
      </c>
      <c r="L444" s="2">
        <v>0</v>
      </c>
      <c r="M444" s="2">
        <v>1</v>
      </c>
      <c r="N444" s="2">
        <v>8</v>
      </c>
      <c r="O444" s="2">
        <v>17</v>
      </c>
      <c r="P444" s="3">
        <v>3</v>
      </c>
      <c r="Q444" s="2">
        <v>7</v>
      </c>
      <c r="R444" s="2">
        <v>2</v>
      </c>
      <c r="S444" s="2">
        <v>0</v>
      </c>
      <c r="T444" s="2">
        <v>1</v>
      </c>
      <c r="U444" s="2">
        <v>0</v>
      </c>
      <c r="V444" s="2">
        <f t="shared" si="69"/>
        <v>21</v>
      </c>
      <c r="W444" s="2">
        <v>3</v>
      </c>
      <c r="X444" s="2">
        <v>2</v>
      </c>
      <c r="Y444" s="2">
        <v>0</v>
      </c>
      <c r="Z444" s="2">
        <f t="shared" si="75"/>
        <v>5</v>
      </c>
      <c r="AA444" s="2">
        <f t="shared" si="71"/>
        <v>26</v>
      </c>
      <c r="AB444" s="2">
        <v>2186</v>
      </c>
      <c r="AC444" s="20">
        <f t="shared" si="70"/>
        <v>1.18938700823422</v>
      </c>
      <c r="AD444" s="2" t="s">
        <v>49</v>
      </c>
      <c r="AE444" s="2">
        <v>188</v>
      </c>
      <c r="AF444" s="21">
        <f t="shared" si="72"/>
        <v>1.18938700823422</v>
      </c>
      <c r="AG444" s="4">
        <f t="shared" si="73"/>
        <v>0.960658737419945</v>
      </c>
      <c r="AH444" s="4">
        <f t="shared" si="74"/>
        <v>0.228728270814273</v>
      </c>
    </row>
    <row r="445" spans="1:34">
      <c r="A445" s="2">
        <v>20260301</v>
      </c>
      <c r="B445" s="2" t="s">
        <v>932</v>
      </c>
      <c r="C445" s="2" t="s">
        <v>933</v>
      </c>
      <c r="D445" s="2">
        <v>4</v>
      </c>
      <c r="E445" s="2">
        <v>3</v>
      </c>
      <c r="F445" s="2">
        <v>12</v>
      </c>
      <c r="G445" s="2">
        <v>3</v>
      </c>
      <c r="H445" s="2">
        <v>52</v>
      </c>
      <c r="I445" s="3">
        <v>7</v>
      </c>
      <c r="J445" s="2">
        <v>42</v>
      </c>
      <c r="K445" s="2">
        <v>5</v>
      </c>
      <c r="L445" s="2">
        <v>0</v>
      </c>
      <c r="M445" s="2">
        <v>13</v>
      </c>
      <c r="N445" s="2">
        <v>77</v>
      </c>
      <c r="O445" s="2">
        <v>17</v>
      </c>
      <c r="P445" s="3">
        <v>6</v>
      </c>
      <c r="Q445" s="2">
        <v>5</v>
      </c>
      <c r="R445" s="2">
        <v>19</v>
      </c>
      <c r="S445" s="2">
        <v>1</v>
      </c>
      <c r="T445" s="2">
        <v>2</v>
      </c>
      <c r="U445" s="2">
        <v>0</v>
      </c>
      <c r="V445" s="2">
        <f t="shared" si="69"/>
        <v>124</v>
      </c>
      <c r="W445" s="2">
        <v>4</v>
      </c>
      <c r="X445" s="2">
        <v>2</v>
      </c>
      <c r="Y445" s="2">
        <v>0</v>
      </c>
      <c r="Z445" s="2">
        <f t="shared" si="75"/>
        <v>6</v>
      </c>
      <c r="AA445" s="2">
        <f t="shared" si="71"/>
        <v>130</v>
      </c>
      <c r="AB445" s="2">
        <v>1658</v>
      </c>
      <c r="AC445" s="20">
        <f t="shared" si="70"/>
        <v>7.84077201447527</v>
      </c>
      <c r="AD445" s="2" t="s">
        <v>934</v>
      </c>
      <c r="AE445" s="2">
        <v>188</v>
      </c>
      <c r="AF445" s="21">
        <f t="shared" si="72"/>
        <v>7.84077201447527</v>
      </c>
      <c r="AG445" s="4">
        <f t="shared" si="73"/>
        <v>7.4788902291918</v>
      </c>
      <c r="AH445" s="4">
        <f t="shared" si="74"/>
        <v>0.361881785283474</v>
      </c>
    </row>
    <row r="446" spans="1:34">
      <c r="A446" s="2">
        <v>20260301</v>
      </c>
      <c r="B446" s="2" t="s">
        <v>935</v>
      </c>
      <c r="C446" s="2" t="s">
        <v>936</v>
      </c>
      <c r="D446" s="2">
        <v>2</v>
      </c>
      <c r="E446" s="2">
        <v>5</v>
      </c>
      <c r="F446" s="2">
        <v>11</v>
      </c>
      <c r="G446" s="2">
        <v>52</v>
      </c>
      <c r="H446" s="2">
        <v>104</v>
      </c>
      <c r="I446" s="3">
        <v>21</v>
      </c>
      <c r="J446" s="2">
        <v>21</v>
      </c>
      <c r="K446" s="2">
        <v>8</v>
      </c>
      <c r="L446" s="2">
        <v>2</v>
      </c>
      <c r="M446" s="2">
        <v>117</v>
      </c>
      <c r="N446" s="2">
        <v>20</v>
      </c>
      <c r="O446" s="2">
        <v>23</v>
      </c>
      <c r="P446" s="3">
        <v>25</v>
      </c>
      <c r="Q446" s="2">
        <v>10</v>
      </c>
      <c r="R446" s="2">
        <v>45</v>
      </c>
      <c r="S446" s="2">
        <v>0</v>
      </c>
      <c r="T446" s="2">
        <v>12</v>
      </c>
      <c r="U446" s="2">
        <v>16</v>
      </c>
      <c r="V446" s="2">
        <f t="shared" si="69"/>
        <v>362</v>
      </c>
      <c r="W446" s="2">
        <v>0</v>
      </c>
      <c r="X446" s="2">
        <v>0</v>
      </c>
      <c r="Y446" s="2">
        <v>0</v>
      </c>
      <c r="Z446" s="2">
        <f t="shared" si="75"/>
        <v>16</v>
      </c>
      <c r="AA446" s="2">
        <f t="shared" si="71"/>
        <v>378</v>
      </c>
      <c r="AB446" s="2">
        <v>1787</v>
      </c>
      <c r="AC446" s="20">
        <f t="shared" si="70"/>
        <v>21.152770005596</v>
      </c>
      <c r="AD446" s="2" t="s">
        <v>934</v>
      </c>
      <c r="AE446" s="2">
        <v>188</v>
      </c>
      <c r="AF446" s="21">
        <f t="shared" si="72"/>
        <v>21.152770005596</v>
      </c>
      <c r="AG446" s="4">
        <f t="shared" si="73"/>
        <v>20.2574146614438</v>
      </c>
      <c r="AH446" s="4">
        <f t="shared" si="74"/>
        <v>0.895355344152211</v>
      </c>
    </row>
    <row r="447" spans="1:34">
      <c r="A447" s="2">
        <v>20260301</v>
      </c>
      <c r="B447" s="2" t="s">
        <v>937</v>
      </c>
      <c r="C447" s="2" t="s">
        <v>938</v>
      </c>
      <c r="D447" s="2">
        <v>2</v>
      </c>
      <c r="E447" s="2">
        <v>2</v>
      </c>
      <c r="F447" s="2">
        <v>23</v>
      </c>
      <c r="G447" s="2">
        <v>5</v>
      </c>
      <c r="H447" s="2">
        <v>10</v>
      </c>
      <c r="I447" s="3">
        <v>15</v>
      </c>
      <c r="J447" s="2">
        <v>20</v>
      </c>
      <c r="K447" s="2">
        <v>6</v>
      </c>
      <c r="L447" s="2">
        <v>0</v>
      </c>
      <c r="M447" s="2">
        <v>11</v>
      </c>
      <c r="N447" s="2">
        <v>16</v>
      </c>
      <c r="O447" s="2">
        <v>43</v>
      </c>
      <c r="P447" s="3">
        <v>4</v>
      </c>
      <c r="Q447" s="2">
        <v>4</v>
      </c>
      <c r="R447" s="2">
        <v>11</v>
      </c>
      <c r="S447" s="2">
        <v>2</v>
      </c>
      <c r="T447" s="2">
        <v>3</v>
      </c>
      <c r="U447" s="2">
        <v>0</v>
      </c>
      <c r="V447" s="2">
        <f t="shared" si="69"/>
        <v>71</v>
      </c>
      <c r="W447" s="2">
        <v>1</v>
      </c>
      <c r="X447" s="2">
        <v>2</v>
      </c>
      <c r="Y447" s="2">
        <v>0</v>
      </c>
      <c r="Z447" s="2">
        <f t="shared" si="75"/>
        <v>3</v>
      </c>
      <c r="AA447" s="2">
        <f t="shared" si="71"/>
        <v>74</v>
      </c>
      <c r="AB447" s="2">
        <v>1777</v>
      </c>
      <c r="AC447" s="20">
        <f t="shared" si="70"/>
        <v>4.16432189082724</v>
      </c>
      <c r="AD447" s="2" t="s">
        <v>934</v>
      </c>
      <c r="AE447" s="2">
        <v>188</v>
      </c>
      <c r="AF447" s="21">
        <f t="shared" si="72"/>
        <v>4.16432189082724</v>
      </c>
      <c r="AG447" s="4">
        <f t="shared" si="73"/>
        <v>3.99549803038829</v>
      </c>
      <c r="AH447" s="4">
        <f t="shared" si="74"/>
        <v>0.168823860438942</v>
      </c>
    </row>
    <row r="448" spans="1:34">
      <c r="A448" s="2">
        <v>20260301</v>
      </c>
      <c r="B448" s="2" t="s">
        <v>939</v>
      </c>
      <c r="C448" s="2" t="s">
        <v>940</v>
      </c>
      <c r="D448" s="2">
        <v>2</v>
      </c>
      <c r="E448" s="2">
        <v>2</v>
      </c>
      <c r="F448" s="2">
        <v>8</v>
      </c>
      <c r="G448" s="2">
        <v>0</v>
      </c>
      <c r="H448" s="2">
        <v>3</v>
      </c>
      <c r="I448" s="3">
        <v>8</v>
      </c>
      <c r="J448" s="2">
        <v>5</v>
      </c>
      <c r="K448" s="2">
        <v>1</v>
      </c>
      <c r="L448" s="2">
        <v>0</v>
      </c>
      <c r="M448" s="2">
        <v>7</v>
      </c>
      <c r="N448" s="2">
        <v>28</v>
      </c>
      <c r="O448" s="2">
        <v>15</v>
      </c>
      <c r="P448" s="3">
        <v>6</v>
      </c>
      <c r="Q448" s="2">
        <v>8</v>
      </c>
      <c r="R448" s="2">
        <v>13</v>
      </c>
      <c r="S448" s="2">
        <v>2</v>
      </c>
      <c r="T448" s="2">
        <v>0</v>
      </c>
      <c r="U448" s="2">
        <v>0</v>
      </c>
      <c r="V448" s="2">
        <f t="shared" si="69"/>
        <v>26</v>
      </c>
      <c r="W448" s="2">
        <v>4</v>
      </c>
      <c r="X448" s="2">
        <v>0</v>
      </c>
      <c r="Y448" s="2">
        <v>0</v>
      </c>
      <c r="Z448" s="2">
        <f t="shared" si="75"/>
        <v>4</v>
      </c>
      <c r="AA448" s="2">
        <f t="shared" ref="AA448:AA455" si="76">G448+H448+I448+J448+K448+L448+M448+P448+T448+U448</f>
        <v>30</v>
      </c>
      <c r="AB448" s="2">
        <v>2525</v>
      </c>
      <c r="AC448" s="20">
        <f t="shared" si="70"/>
        <v>1.18811881188119</v>
      </c>
      <c r="AD448" s="2" t="s">
        <v>934</v>
      </c>
      <c r="AE448" s="2">
        <v>188</v>
      </c>
      <c r="AF448" s="21">
        <f t="shared" si="72"/>
        <v>1.18811881188119</v>
      </c>
      <c r="AG448" s="4">
        <f t="shared" si="73"/>
        <v>1.02970297029703</v>
      </c>
      <c r="AH448" s="4">
        <f t="shared" si="74"/>
        <v>0.158415841584158</v>
      </c>
    </row>
    <row r="449" spans="1:34">
      <c r="A449" s="2">
        <v>20260301</v>
      </c>
      <c r="B449" s="2" t="s">
        <v>941</v>
      </c>
      <c r="C449" s="2" t="s">
        <v>942</v>
      </c>
      <c r="D449" s="2">
        <v>9</v>
      </c>
      <c r="E449" s="2">
        <v>159</v>
      </c>
      <c r="F449" s="2">
        <v>32</v>
      </c>
      <c r="G449" s="2">
        <v>136</v>
      </c>
      <c r="H449" s="2">
        <v>317</v>
      </c>
      <c r="I449" s="3">
        <v>35</v>
      </c>
      <c r="J449" s="2">
        <v>215</v>
      </c>
      <c r="K449" s="2">
        <v>13</v>
      </c>
      <c r="L449" s="2">
        <v>1</v>
      </c>
      <c r="M449" s="2">
        <v>28</v>
      </c>
      <c r="N449" s="2">
        <v>24</v>
      </c>
      <c r="O449" s="2">
        <v>84</v>
      </c>
      <c r="P449" s="3">
        <v>98</v>
      </c>
      <c r="Q449" s="2">
        <v>152</v>
      </c>
      <c r="R449" s="2">
        <v>26</v>
      </c>
      <c r="S449" s="2">
        <v>167</v>
      </c>
      <c r="T449" s="2">
        <v>66</v>
      </c>
      <c r="U449" s="2">
        <v>512</v>
      </c>
      <c r="V449" s="2">
        <f t="shared" ref="V449:V460" si="77">AA449-Y449-X449-W449-U449</f>
        <v>886</v>
      </c>
      <c r="W449" s="2">
        <v>20</v>
      </c>
      <c r="X449" s="2">
        <v>3</v>
      </c>
      <c r="Y449" s="2">
        <v>0</v>
      </c>
      <c r="Z449" s="2">
        <f t="shared" si="75"/>
        <v>535</v>
      </c>
      <c r="AA449" s="2">
        <f t="shared" si="76"/>
        <v>1421</v>
      </c>
      <c r="AB449" s="2">
        <v>3025</v>
      </c>
      <c r="AC449" s="20">
        <f t="shared" si="70"/>
        <v>46.9752066115703</v>
      </c>
      <c r="AD449" s="2" t="s">
        <v>934</v>
      </c>
      <c r="AE449" s="2">
        <v>188</v>
      </c>
      <c r="AF449" s="21">
        <f t="shared" si="72"/>
        <v>46.9752066115703</v>
      </c>
      <c r="AG449" s="4">
        <f t="shared" si="73"/>
        <v>29.2892561983471</v>
      </c>
      <c r="AH449" s="4">
        <f t="shared" si="74"/>
        <v>17.6859504132231</v>
      </c>
    </row>
    <row r="450" spans="1:34">
      <c r="A450" s="2">
        <v>20260301</v>
      </c>
      <c r="B450" s="2" t="s">
        <v>943</v>
      </c>
      <c r="C450" s="2" t="s">
        <v>944</v>
      </c>
      <c r="D450" s="2">
        <v>0</v>
      </c>
      <c r="E450" s="2">
        <v>8</v>
      </c>
      <c r="F450" s="2">
        <v>2</v>
      </c>
      <c r="G450" s="2">
        <v>1</v>
      </c>
      <c r="H450" s="2">
        <v>68</v>
      </c>
      <c r="I450" s="3">
        <v>4</v>
      </c>
      <c r="J450" s="2">
        <v>34</v>
      </c>
      <c r="K450" s="2">
        <v>0</v>
      </c>
      <c r="L450" s="2">
        <v>0</v>
      </c>
      <c r="M450" s="2">
        <v>26</v>
      </c>
      <c r="N450" s="2">
        <v>31</v>
      </c>
      <c r="O450" s="2">
        <v>13</v>
      </c>
      <c r="P450" s="3">
        <v>5</v>
      </c>
      <c r="Q450" s="2">
        <v>0</v>
      </c>
      <c r="R450" s="2">
        <v>18</v>
      </c>
      <c r="S450" s="2">
        <v>1</v>
      </c>
      <c r="T450" s="2">
        <v>0</v>
      </c>
      <c r="U450" s="2">
        <v>0</v>
      </c>
      <c r="V450" s="2">
        <f t="shared" si="77"/>
        <v>136</v>
      </c>
      <c r="W450" s="2">
        <v>0</v>
      </c>
      <c r="X450" s="2">
        <v>2</v>
      </c>
      <c r="Y450" s="2">
        <v>0</v>
      </c>
      <c r="Z450" s="2">
        <f t="shared" si="75"/>
        <v>2</v>
      </c>
      <c r="AA450" s="2">
        <f t="shared" si="76"/>
        <v>138</v>
      </c>
      <c r="AB450" s="2">
        <v>1268</v>
      </c>
      <c r="AC450" s="20">
        <f t="shared" si="70"/>
        <v>10.8832807570978</v>
      </c>
      <c r="AD450" s="2" t="s">
        <v>934</v>
      </c>
      <c r="AE450" s="2">
        <v>188</v>
      </c>
      <c r="AF450" s="21">
        <f t="shared" si="72"/>
        <v>10.8832807570978</v>
      </c>
      <c r="AG450" s="4">
        <f t="shared" si="73"/>
        <v>10.7255520504732</v>
      </c>
      <c r="AH450" s="4">
        <f t="shared" si="74"/>
        <v>0.157728706624606</v>
      </c>
    </row>
    <row r="451" spans="1:34">
      <c r="A451" s="2">
        <v>20260301</v>
      </c>
      <c r="B451" s="2" t="s">
        <v>945</v>
      </c>
      <c r="C451" s="2" t="s">
        <v>946</v>
      </c>
      <c r="D451" s="2">
        <v>2</v>
      </c>
      <c r="E451" s="2">
        <v>617</v>
      </c>
      <c r="F451" s="2">
        <v>286</v>
      </c>
      <c r="G451" s="2">
        <v>136</v>
      </c>
      <c r="H451" s="2">
        <v>361</v>
      </c>
      <c r="I451" s="3">
        <v>31</v>
      </c>
      <c r="J451" s="2">
        <v>689</v>
      </c>
      <c r="K451" s="2">
        <v>58</v>
      </c>
      <c r="L451" s="2">
        <v>43</v>
      </c>
      <c r="M451" s="2">
        <v>28</v>
      </c>
      <c r="N451" s="2">
        <v>357</v>
      </c>
      <c r="O451" s="2">
        <v>96</v>
      </c>
      <c r="P451" s="3">
        <v>15</v>
      </c>
      <c r="Q451" s="2">
        <v>121</v>
      </c>
      <c r="R451" s="2">
        <v>450</v>
      </c>
      <c r="S451" s="2">
        <v>0</v>
      </c>
      <c r="T451" s="2">
        <v>209</v>
      </c>
      <c r="U451" s="2">
        <v>40</v>
      </c>
      <c r="V451" s="2">
        <f t="shared" si="77"/>
        <v>1569</v>
      </c>
      <c r="W451" s="2">
        <v>0</v>
      </c>
      <c r="X451" s="2">
        <v>1</v>
      </c>
      <c r="Y451" s="2">
        <v>0</v>
      </c>
      <c r="Z451" s="2">
        <f t="shared" si="75"/>
        <v>41</v>
      </c>
      <c r="AA451" s="2">
        <f t="shared" si="76"/>
        <v>1610</v>
      </c>
      <c r="AB451" s="2">
        <v>2167</v>
      </c>
      <c r="AC451" s="20">
        <f t="shared" si="70"/>
        <v>74.296262113521</v>
      </c>
      <c r="AD451" s="2" t="s">
        <v>934</v>
      </c>
      <c r="AE451" s="2">
        <v>188</v>
      </c>
      <c r="AF451" s="21">
        <f t="shared" si="72"/>
        <v>74.296262113521</v>
      </c>
      <c r="AG451" s="4">
        <f t="shared" si="73"/>
        <v>72.4042455006922</v>
      </c>
      <c r="AH451" s="4">
        <f t="shared" si="74"/>
        <v>1.8920166128288</v>
      </c>
    </row>
    <row r="452" spans="1:34">
      <c r="A452" s="2">
        <v>20260301</v>
      </c>
      <c r="B452" s="2" t="s">
        <v>947</v>
      </c>
      <c r="C452" s="2" t="s">
        <v>948</v>
      </c>
      <c r="D452" s="2">
        <v>10</v>
      </c>
      <c r="E452" s="2">
        <v>81</v>
      </c>
      <c r="F452" s="2">
        <v>28</v>
      </c>
      <c r="G452" s="2">
        <v>91</v>
      </c>
      <c r="H452" s="2">
        <v>128</v>
      </c>
      <c r="I452" s="3">
        <v>74</v>
      </c>
      <c r="J452" s="2">
        <v>77</v>
      </c>
      <c r="K452" s="2">
        <v>9</v>
      </c>
      <c r="L452" s="2">
        <v>7</v>
      </c>
      <c r="M452" s="2">
        <v>133</v>
      </c>
      <c r="N452" s="2">
        <v>101</v>
      </c>
      <c r="O452" s="2">
        <v>11</v>
      </c>
      <c r="P452" s="3">
        <v>45</v>
      </c>
      <c r="Q452" s="2">
        <v>10</v>
      </c>
      <c r="R452" s="2">
        <v>134</v>
      </c>
      <c r="S452" s="2">
        <v>20</v>
      </c>
      <c r="T452" s="2">
        <v>33</v>
      </c>
      <c r="U452" s="2">
        <v>11</v>
      </c>
      <c r="V452" s="2">
        <f t="shared" si="77"/>
        <v>579</v>
      </c>
      <c r="W452" s="2">
        <v>9</v>
      </c>
      <c r="X452" s="2">
        <v>9</v>
      </c>
      <c r="Y452" s="2">
        <v>0</v>
      </c>
      <c r="Z452" s="2">
        <f t="shared" si="75"/>
        <v>29</v>
      </c>
      <c r="AA452" s="2">
        <f t="shared" si="76"/>
        <v>608</v>
      </c>
      <c r="AB452" s="2">
        <v>2845</v>
      </c>
      <c r="AC452" s="20">
        <f t="shared" si="70"/>
        <v>21.3708260105448</v>
      </c>
      <c r="AD452" s="2" t="s">
        <v>934</v>
      </c>
      <c r="AE452" s="2">
        <v>188</v>
      </c>
      <c r="AF452" s="21">
        <f t="shared" si="72"/>
        <v>21.3708260105448</v>
      </c>
      <c r="AG452" s="4">
        <f t="shared" si="73"/>
        <v>20.3514938488576</v>
      </c>
      <c r="AH452" s="4">
        <f t="shared" si="74"/>
        <v>1.01933216168717</v>
      </c>
    </row>
    <row r="453" spans="1:34">
      <c r="A453" s="2">
        <v>20260302</v>
      </c>
      <c r="B453" s="2" t="s">
        <v>949</v>
      </c>
      <c r="C453" s="2" t="s">
        <v>950</v>
      </c>
      <c r="D453" s="2">
        <v>1</v>
      </c>
      <c r="E453" s="2">
        <v>2</v>
      </c>
      <c r="F453" s="2">
        <v>4</v>
      </c>
      <c r="G453" s="2">
        <v>4</v>
      </c>
      <c r="H453" s="2">
        <v>34</v>
      </c>
      <c r="I453" s="3">
        <v>12</v>
      </c>
      <c r="J453" s="2">
        <v>8</v>
      </c>
      <c r="K453" s="2">
        <v>2</v>
      </c>
      <c r="L453" s="2">
        <v>0</v>
      </c>
      <c r="M453" s="2">
        <v>22</v>
      </c>
      <c r="N453" s="2">
        <v>100</v>
      </c>
      <c r="O453" s="2">
        <v>15</v>
      </c>
      <c r="P453" s="3">
        <v>7</v>
      </c>
      <c r="Q453" s="2">
        <v>4</v>
      </c>
      <c r="R453" s="2">
        <v>31</v>
      </c>
      <c r="S453" s="2">
        <v>1</v>
      </c>
      <c r="T453" s="2">
        <v>1</v>
      </c>
      <c r="U453" s="2">
        <v>1</v>
      </c>
      <c r="V453" s="2">
        <f t="shared" si="77"/>
        <v>78</v>
      </c>
      <c r="W453" s="2">
        <v>3</v>
      </c>
      <c r="X453" s="2">
        <v>9</v>
      </c>
      <c r="Y453" s="2">
        <v>0</v>
      </c>
      <c r="Z453" s="2">
        <f t="shared" si="75"/>
        <v>13</v>
      </c>
      <c r="AA453" s="2">
        <f t="shared" si="76"/>
        <v>91</v>
      </c>
      <c r="AB453" s="2">
        <v>2515</v>
      </c>
      <c r="AC453" s="20">
        <f t="shared" si="70"/>
        <v>3.6182902584493</v>
      </c>
      <c r="AD453" s="2" t="s">
        <v>934</v>
      </c>
      <c r="AE453" s="2">
        <v>188</v>
      </c>
      <c r="AF453" s="21">
        <f t="shared" si="72"/>
        <v>3.6182902584493</v>
      </c>
      <c r="AG453" s="4">
        <f t="shared" si="73"/>
        <v>3.1013916500994</v>
      </c>
      <c r="AH453" s="4">
        <f t="shared" si="74"/>
        <v>0.516898608349901</v>
      </c>
    </row>
    <row r="454" spans="1:34">
      <c r="A454" s="2">
        <v>20260302</v>
      </c>
      <c r="B454" s="2" t="s">
        <v>951</v>
      </c>
      <c r="C454" s="2" t="s">
        <v>952</v>
      </c>
      <c r="D454" s="2">
        <v>5</v>
      </c>
      <c r="E454" s="2">
        <v>17</v>
      </c>
      <c r="F454" s="2">
        <v>3</v>
      </c>
      <c r="G454" s="2">
        <v>0</v>
      </c>
      <c r="H454" s="2">
        <v>13</v>
      </c>
      <c r="I454" s="3">
        <v>11</v>
      </c>
      <c r="J454" s="2">
        <v>11</v>
      </c>
      <c r="K454" s="2">
        <v>6</v>
      </c>
      <c r="L454" s="2">
        <v>0</v>
      </c>
      <c r="M454" s="2">
        <v>28</v>
      </c>
      <c r="N454" s="2">
        <v>77</v>
      </c>
      <c r="O454" s="2">
        <v>21</v>
      </c>
      <c r="P454" s="3">
        <v>10</v>
      </c>
      <c r="Q454" s="2">
        <v>14</v>
      </c>
      <c r="R454" s="2">
        <v>34</v>
      </c>
      <c r="S454" s="2">
        <v>1</v>
      </c>
      <c r="T454" s="2">
        <v>4</v>
      </c>
      <c r="U454" s="2">
        <v>0</v>
      </c>
      <c r="V454" s="2">
        <f t="shared" si="77"/>
        <v>77</v>
      </c>
      <c r="W454" s="2">
        <v>4</v>
      </c>
      <c r="X454" s="2">
        <v>2</v>
      </c>
      <c r="Y454" s="2">
        <v>0</v>
      </c>
      <c r="Z454" s="2">
        <f t="shared" si="75"/>
        <v>6</v>
      </c>
      <c r="AA454" s="2">
        <f t="shared" si="76"/>
        <v>83</v>
      </c>
      <c r="AB454" s="2">
        <v>2745</v>
      </c>
      <c r="AC454" s="20">
        <f t="shared" si="70"/>
        <v>3.02367941712204</v>
      </c>
      <c r="AD454" s="2" t="s">
        <v>934</v>
      </c>
      <c r="AE454" s="2">
        <v>188</v>
      </c>
      <c r="AF454" s="21">
        <f t="shared" si="72"/>
        <v>3.02367941712204</v>
      </c>
      <c r="AG454" s="4">
        <f t="shared" si="73"/>
        <v>2.80510018214936</v>
      </c>
      <c r="AH454" s="4">
        <f t="shared" si="74"/>
        <v>0.218579234972678</v>
      </c>
    </row>
    <row r="455" spans="1:34">
      <c r="A455" s="2">
        <v>20260302</v>
      </c>
      <c r="B455" s="2" t="s">
        <v>953</v>
      </c>
      <c r="C455" s="2" t="s">
        <v>954</v>
      </c>
      <c r="D455" s="2">
        <v>3</v>
      </c>
      <c r="E455" s="2">
        <v>0</v>
      </c>
      <c r="F455" s="2">
        <v>8</v>
      </c>
      <c r="G455" s="2">
        <v>2</v>
      </c>
      <c r="H455" s="2">
        <v>11</v>
      </c>
      <c r="I455" s="3">
        <v>12</v>
      </c>
      <c r="J455" s="2">
        <v>11</v>
      </c>
      <c r="K455" s="2">
        <v>4</v>
      </c>
      <c r="L455" s="2">
        <v>0</v>
      </c>
      <c r="M455" s="2">
        <v>8</v>
      </c>
      <c r="N455" s="2">
        <v>56</v>
      </c>
      <c r="O455" s="2">
        <v>28</v>
      </c>
      <c r="P455" s="3">
        <v>6</v>
      </c>
      <c r="Q455" s="2">
        <v>5</v>
      </c>
      <c r="R455" s="2">
        <v>9</v>
      </c>
      <c r="S455" s="2">
        <v>1</v>
      </c>
      <c r="T455" s="2">
        <v>1</v>
      </c>
      <c r="U455" s="2">
        <v>0</v>
      </c>
      <c r="V455" s="2">
        <f t="shared" si="77"/>
        <v>43</v>
      </c>
      <c r="W455" s="2">
        <v>7</v>
      </c>
      <c r="X455" s="2">
        <v>5</v>
      </c>
      <c r="Y455" s="2">
        <v>0</v>
      </c>
      <c r="Z455" s="2">
        <f t="shared" si="75"/>
        <v>12</v>
      </c>
      <c r="AA455" s="2">
        <f t="shared" si="76"/>
        <v>55</v>
      </c>
      <c r="AB455" s="2">
        <v>3285</v>
      </c>
      <c r="AC455" s="20">
        <f t="shared" si="70"/>
        <v>1.67427701674277</v>
      </c>
      <c r="AD455" s="2" t="s">
        <v>934</v>
      </c>
      <c r="AE455" s="2">
        <v>188</v>
      </c>
      <c r="AF455" s="21">
        <f t="shared" si="72"/>
        <v>1.67427701674277</v>
      </c>
      <c r="AG455" s="4">
        <f t="shared" si="73"/>
        <v>1.3089802130898</v>
      </c>
      <c r="AH455" s="4">
        <f t="shared" si="74"/>
        <v>0.365296803652968</v>
      </c>
    </row>
    <row r="456" spans="1:34">
      <c r="A456" s="2">
        <v>20260302</v>
      </c>
      <c r="B456" s="2" t="s">
        <v>955</v>
      </c>
      <c r="C456" s="2" t="s">
        <v>956</v>
      </c>
      <c r="D456" s="2">
        <v>4</v>
      </c>
      <c r="E456" s="2">
        <v>1</v>
      </c>
      <c r="F456" s="2">
        <v>4</v>
      </c>
      <c r="G456" s="2">
        <v>1</v>
      </c>
      <c r="H456" s="2">
        <v>10</v>
      </c>
      <c r="I456" s="3">
        <v>6</v>
      </c>
      <c r="J456" s="2">
        <v>9</v>
      </c>
      <c r="K456" s="2">
        <v>0</v>
      </c>
      <c r="L456" s="2">
        <v>0</v>
      </c>
      <c r="M456" s="2">
        <v>10</v>
      </c>
      <c r="N456" s="2">
        <v>51</v>
      </c>
      <c r="O456" s="2">
        <v>11</v>
      </c>
      <c r="P456" s="3">
        <v>5</v>
      </c>
      <c r="Q456" s="2">
        <v>6</v>
      </c>
      <c r="R456" s="2">
        <v>7</v>
      </c>
      <c r="S456" s="2">
        <v>0</v>
      </c>
      <c r="T456" s="2">
        <v>2</v>
      </c>
      <c r="U456" s="2">
        <v>0</v>
      </c>
      <c r="V456" s="2">
        <f t="shared" si="77"/>
        <v>40</v>
      </c>
      <c r="W456" s="2">
        <v>2</v>
      </c>
      <c r="X456" s="2">
        <v>1</v>
      </c>
      <c r="Y456" s="2">
        <v>0</v>
      </c>
      <c r="Z456" s="2">
        <f t="shared" ref="Z456:Z461" si="78">Y456+X456+W456+U456</f>
        <v>3</v>
      </c>
      <c r="AA456" s="2">
        <f t="shared" ref="AA456:AA461" si="79">G456+H456+I456+J456+K456+L456+M456+P456+T456+U456</f>
        <v>43</v>
      </c>
      <c r="AB456" s="2">
        <v>1467</v>
      </c>
      <c r="AC456" s="20">
        <f t="shared" ref="AC456:AC462" si="80">AA456/AB456*100</f>
        <v>2.93115201090661</v>
      </c>
      <c r="AD456" s="2" t="s">
        <v>934</v>
      </c>
      <c r="AE456" s="2">
        <v>188</v>
      </c>
      <c r="AF456" s="21">
        <f t="shared" si="72"/>
        <v>2.93115201090661</v>
      </c>
      <c r="AG456" s="4">
        <f t="shared" si="73"/>
        <v>2.7266530334015</v>
      </c>
      <c r="AH456" s="4">
        <f t="shared" si="74"/>
        <v>0.204498977505113</v>
      </c>
    </row>
    <row r="457" spans="1:34">
      <c r="A457" s="2">
        <v>20260302</v>
      </c>
      <c r="B457" s="2" t="s">
        <v>957</v>
      </c>
      <c r="C457" s="2" t="s">
        <v>958</v>
      </c>
      <c r="D457" s="2">
        <v>11</v>
      </c>
      <c r="E457" s="2">
        <v>4</v>
      </c>
      <c r="F457" s="2">
        <v>28</v>
      </c>
      <c r="G457" s="2">
        <v>14</v>
      </c>
      <c r="H457" s="2">
        <v>83</v>
      </c>
      <c r="I457" s="3">
        <v>13</v>
      </c>
      <c r="J457" s="2">
        <v>33</v>
      </c>
      <c r="K457" s="2">
        <v>23</v>
      </c>
      <c r="L457" s="2">
        <v>4</v>
      </c>
      <c r="M457" s="2">
        <v>48</v>
      </c>
      <c r="N457" s="2">
        <v>127</v>
      </c>
      <c r="O457" s="2">
        <v>75</v>
      </c>
      <c r="P457" s="3">
        <v>17</v>
      </c>
      <c r="Q457" s="2">
        <v>10</v>
      </c>
      <c r="R457" s="2">
        <v>2</v>
      </c>
      <c r="S457" s="2">
        <v>51</v>
      </c>
      <c r="T457" s="2">
        <v>16</v>
      </c>
      <c r="U457" s="2">
        <v>1</v>
      </c>
      <c r="V457" s="2">
        <f t="shared" si="77"/>
        <v>243</v>
      </c>
      <c r="W457" s="2">
        <v>4</v>
      </c>
      <c r="X457" s="2">
        <v>4</v>
      </c>
      <c r="Y457" s="2">
        <v>0</v>
      </c>
      <c r="Z457" s="2">
        <f t="shared" si="78"/>
        <v>9</v>
      </c>
      <c r="AA457" s="2">
        <f t="shared" si="79"/>
        <v>252</v>
      </c>
      <c r="AB457" s="2">
        <v>3255</v>
      </c>
      <c r="AC457" s="20">
        <f t="shared" si="80"/>
        <v>7.74193548387097</v>
      </c>
      <c r="AD457" s="2" t="s">
        <v>934</v>
      </c>
      <c r="AE457" s="2">
        <v>188</v>
      </c>
      <c r="AF457" s="21">
        <f t="shared" ref="AF457:AF463" si="81">188/AE457*AC457</f>
        <v>7.74193548387097</v>
      </c>
      <c r="AG457" s="4">
        <f t="shared" ref="AG457:AG462" si="82">V457/AB457*100</f>
        <v>7.46543778801843</v>
      </c>
      <c r="AH457" s="4">
        <f t="shared" ref="AH457:AH462" si="83">Z457/AB457*100</f>
        <v>0.276497695852535</v>
      </c>
    </row>
    <row r="458" spans="1:34">
      <c r="A458" s="2">
        <v>20260302</v>
      </c>
      <c r="B458" s="2" t="s">
        <v>959</v>
      </c>
      <c r="C458" s="2" t="s">
        <v>960</v>
      </c>
      <c r="D458" s="2">
        <v>3</v>
      </c>
      <c r="E458" s="2">
        <v>6</v>
      </c>
      <c r="F458" s="2">
        <v>11</v>
      </c>
      <c r="G458" s="2">
        <v>5</v>
      </c>
      <c r="H458" s="2">
        <v>13</v>
      </c>
      <c r="I458" s="3">
        <v>15</v>
      </c>
      <c r="J458" s="2">
        <v>17</v>
      </c>
      <c r="K458" s="2">
        <v>7</v>
      </c>
      <c r="L458" s="2">
        <v>0</v>
      </c>
      <c r="M458" s="2">
        <v>19</v>
      </c>
      <c r="N458" s="2">
        <v>73</v>
      </c>
      <c r="O458" s="2">
        <v>30</v>
      </c>
      <c r="P458" s="3">
        <v>13</v>
      </c>
      <c r="Q458" s="2">
        <v>11</v>
      </c>
      <c r="R458" s="2">
        <v>30</v>
      </c>
      <c r="S458" s="2">
        <v>2</v>
      </c>
      <c r="T458" s="2">
        <v>1</v>
      </c>
      <c r="U458" s="2">
        <v>1</v>
      </c>
      <c r="V458" s="2">
        <f t="shared" si="77"/>
        <v>82</v>
      </c>
      <c r="W458" s="2">
        <v>4</v>
      </c>
      <c r="X458" s="2">
        <v>4</v>
      </c>
      <c r="Y458" s="2">
        <v>0</v>
      </c>
      <c r="Z458" s="2">
        <f t="shared" si="78"/>
        <v>9</v>
      </c>
      <c r="AA458" s="2">
        <f t="shared" si="79"/>
        <v>91</v>
      </c>
      <c r="AB458" s="2">
        <v>3155</v>
      </c>
      <c r="AC458" s="20">
        <f t="shared" si="80"/>
        <v>2.88431061806656</v>
      </c>
      <c r="AD458" s="2" t="s">
        <v>934</v>
      </c>
      <c r="AE458" s="2">
        <v>188</v>
      </c>
      <c r="AF458" s="21">
        <f t="shared" si="81"/>
        <v>2.88431061806656</v>
      </c>
      <c r="AG458" s="4">
        <f t="shared" si="82"/>
        <v>2.59904912836767</v>
      </c>
      <c r="AH458" s="4">
        <f t="shared" si="83"/>
        <v>0.285261489698891</v>
      </c>
    </row>
    <row r="459" spans="1:34">
      <c r="A459" s="2">
        <v>20260302</v>
      </c>
      <c r="B459" s="2" t="s">
        <v>961</v>
      </c>
      <c r="C459" s="2" t="s">
        <v>962</v>
      </c>
      <c r="D459" s="2">
        <v>1</v>
      </c>
      <c r="E459" s="2">
        <v>6</v>
      </c>
      <c r="F459" s="2">
        <v>4</v>
      </c>
      <c r="G459" s="2">
        <v>1</v>
      </c>
      <c r="H459" s="2">
        <v>8</v>
      </c>
      <c r="I459" s="3">
        <v>7</v>
      </c>
      <c r="J459" s="2">
        <v>8</v>
      </c>
      <c r="K459" s="2">
        <v>4</v>
      </c>
      <c r="L459" s="2">
        <v>1</v>
      </c>
      <c r="M459" s="2">
        <v>10</v>
      </c>
      <c r="N459" s="2">
        <v>15</v>
      </c>
      <c r="O459" s="2">
        <v>7</v>
      </c>
      <c r="P459" s="3">
        <v>2</v>
      </c>
      <c r="Q459" s="2">
        <v>4</v>
      </c>
      <c r="R459" s="2">
        <v>11</v>
      </c>
      <c r="S459" s="2">
        <v>1</v>
      </c>
      <c r="T459" s="2">
        <v>2</v>
      </c>
      <c r="U459" s="2">
        <v>0</v>
      </c>
      <c r="V459" s="2">
        <f t="shared" si="77"/>
        <v>41</v>
      </c>
      <c r="W459" s="2">
        <v>2</v>
      </c>
      <c r="X459" s="2">
        <v>0</v>
      </c>
      <c r="Y459" s="2">
        <v>0</v>
      </c>
      <c r="Z459" s="2">
        <f t="shared" si="78"/>
        <v>2</v>
      </c>
      <c r="AA459" s="2">
        <f t="shared" si="79"/>
        <v>43</v>
      </c>
      <c r="AB459" s="2">
        <v>1766</v>
      </c>
      <c r="AC459" s="20">
        <f t="shared" si="80"/>
        <v>2.43488108720272</v>
      </c>
      <c r="AD459" s="2" t="s">
        <v>934</v>
      </c>
      <c r="AE459" s="2">
        <v>188</v>
      </c>
      <c r="AF459" s="21">
        <f t="shared" si="81"/>
        <v>2.43488108720272</v>
      </c>
      <c r="AG459" s="4">
        <f t="shared" si="82"/>
        <v>2.32163080407701</v>
      </c>
      <c r="AH459" s="4">
        <f t="shared" si="83"/>
        <v>0.113250283125708</v>
      </c>
    </row>
    <row r="460" spans="1:34">
      <c r="A460" s="2">
        <v>20260302</v>
      </c>
      <c r="B460" s="2" t="s">
        <v>963</v>
      </c>
      <c r="C460" s="2" t="s">
        <v>964</v>
      </c>
      <c r="D460" s="2">
        <v>6</v>
      </c>
      <c r="E460" s="2">
        <v>3</v>
      </c>
      <c r="F460" s="2">
        <v>17</v>
      </c>
      <c r="G460" s="2">
        <v>0</v>
      </c>
      <c r="H460" s="2">
        <v>17</v>
      </c>
      <c r="I460" s="3">
        <v>13</v>
      </c>
      <c r="J460" s="2">
        <v>14</v>
      </c>
      <c r="K460" s="2">
        <v>8</v>
      </c>
      <c r="L460" s="2">
        <v>2</v>
      </c>
      <c r="M460" s="2">
        <v>26</v>
      </c>
      <c r="N460" s="2">
        <v>47</v>
      </c>
      <c r="O460" s="2">
        <v>32</v>
      </c>
      <c r="P460" s="3">
        <v>14</v>
      </c>
      <c r="Q460" s="2">
        <v>8</v>
      </c>
      <c r="R460" s="2">
        <v>19</v>
      </c>
      <c r="S460" s="2">
        <v>2</v>
      </c>
      <c r="T460" s="2">
        <v>6</v>
      </c>
      <c r="U460" s="2">
        <v>0</v>
      </c>
      <c r="V460" s="2">
        <f t="shared" si="77"/>
        <v>91</v>
      </c>
      <c r="W460" s="2">
        <v>8</v>
      </c>
      <c r="X460" s="2">
        <v>1</v>
      </c>
      <c r="Y460" s="2">
        <v>0</v>
      </c>
      <c r="Z460" s="2">
        <f t="shared" si="78"/>
        <v>9</v>
      </c>
      <c r="AA460" s="2">
        <f t="shared" si="79"/>
        <v>100</v>
      </c>
      <c r="AB460" s="2">
        <v>3105</v>
      </c>
      <c r="AC460" s="20">
        <f t="shared" si="80"/>
        <v>3.22061191626409</v>
      </c>
      <c r="AD460" s="2" t="s">
        <v>934</v>
      </c>
      <c r="AE460" s="2">
        <v>188</v>
      </c>
      <c r="AF460" s="21">
        <f t="shared" si="81"/>
        <v>3.22061191626409</v>
      </c>
      <c r="AG460" s="4">
        <f t="shared" si="82"/>
        <v>2.93075684380032</v>
      </c>
      <c r="AH460" s="4">
        <f t="shared" si="83"/>
        <v>0.289855072463768</v>
      </c>
    </row>
    <row r="461" spans="1:34">
      <c r="A461" s="2">
        <v>20260302</v>
      </c>
      <c r="B461" s="2" t="s">
        <v>965</v>
      </c>
      <c r="C461" s="2" t="s">
        <v>966</v>
      </c>
      <c r="D461" s="2">
        <v>3</v>
      </c>
      <c r="E461" s="2">
        <v>5</v>
      </c>
      <c r="F461" s="2">
        <v>3</v>
      </c>
      <c r="G461" s="2">
        <v>3</v>
      </c>
      <c r="H461" s="2">
        <v>4</v>
      </c>
      <c r="I461" s="3">
        <v>7</v>
      </c>
      <c r="J461" s="2">
        <v>4</v>
      </c>
      <c r="K461" s="2">
        <v>4</v>
      </c>
      <c r="L461" s="2">
        <v>0</v>
      </c>
      <c r="M461" s="2">
        <v>0</v>
      </c>
      <c r="N461" s="2">
        <v>3</v>
      </c>
      <c r="O461" s="2">
        <v>13</v>
      </c>
      <c r="P461" s="3">
        <v>4</v>
      </c>
      <c r="Q461" s="2">
        <v>15</v>
      </c>
      <c r="R461" s="2">
        <v>5</v>
      </c>
      <c r="S461" s="2">
        <v>38</v>
      </c>
      <c r="T461" s="2">
        <v>0</v>
      </c>
      <c r="U461" s="2">
        <v>1</v>
      </c>
      <c r="V461" s="2">
        <f t="shared" ref="V461:V473" si="84">AA461-Y461-X461-W461-U461</f>
        <v>20</v>
      </c>
      <c r="W461" s="2">
        <v>1</v>
      </c>
      <c r="X461" s="2">
        <v>5</v>
      </c>
      <c r="Y461" s="2">
        <v>0</v>
      </c>
      <c r="Z461" s="2">
        <f t="shared" si="78"/>
        <v>7</v>
      </c>
      <c r="AA461" s="2">
        <f t="shared" si="79"/>
        <v>27</v>
      </c>
      <c r="AB461" s="2">
        <v>2156</v>
      </c>
      <c r="AC461" s="20">
        <f t="shared" ref="AC461:AC467" si="85">AA461/AB461*100</f>
        <v>1.25231910946197</v>
      </c>
      <c r="AD461" s="2" t="s">
        <v>41</v>
      </c>
      <c r="AE461" s="2">
        <v>125</v>
      </c>
      <c r="AF461" s="21">
        <f t="shared" si="81"/>
        <v>1.8834879406308</v>
      </c>
      <c r="AG461" s="4">
        <f t="shared" si="82"/>
        <v>0.927643784786642</v>
      </c>
      <c r="AH461" s="4">
        <f t="shared" si="83"/>
        <v>0.324675324675325</v>
      </c>
    </row>
    <row r="462" spans="1:34">
      <c r="A462" s="2">
        <v>20260302</v>
      </c>
      <c r="B462" s="2" t="s">
        <v>967</v>
      </c>
      <c r="C462" s="2" t="s">
        <v>968</v>
      </c>
      <c r="D462" s="2">
        <v>4</v>
      </c>
      <c r="E462" s="2">
        <v>3</v>
      </c>
      <c r="F462" s="2">
        <v>3</v>
      </c>
      <c r="G462" s="2">
        <v>12</v>
      </c>
      <c r="H462" s="2">
        <v>15</v>
      </c>
      <c r="I462" s="3">
        <v>9</v>
      </c>
      <c r="J462" s="2">
        <v>6</v>
      </c>
      <c r="K462" s="2">
        <v>2</v>
      </c>
      <c r="L462" s="2">
        <v>0</v>
      </c>
      <c r="M462" s="2">
        <v>10</v>
      </c>
      <c r="N462" s="2">
        <v>35</v>
      </c>
      <c r="O462" s="2">
        <v>10</v>
      </c>
      <c r="P462" s="3">
        <v>11</v>
      </c>
      <c r="Q462" s="2">
        <v>17</v>
      </c>
      <c r="R462" s="2">
        <v>61</v>
      </c>
      <c r="S462" s="2">
        <v>1</v>
      </c>
      <c r="T462" s="2">
        <v>1</v>
      </c>
      <c r="U462" s="2">
        <v>0</v>
      </c>
      <c r="V462" s="2">
        <f t="shared" si="84"/>
        <v>58</v>
      </c>
      <c r="W462" s="2">
        <v>6</v>
      </c>
      <c r="X462" s="2">
        <v>2</v>
      </c>
      <c r="Y462" s="2">
        <v>0</v>
      </c>
      <c r="Z462" s="2">
        <f t="shared" ref="Z462:Z468" si="86">Y462+X462+W462+U462</f>
        <v>8</v>
      </c>
      <c r="AA462" s="2">
        <f t="shared" ref="AA462:AA468" si="87">G462+H462+I462+J462+K462+L462+M462+P462+T462+U462</f>
        <v>66</v>
      </c>
      <c r="AB462" s="2">
        <v>2156</v>
      </c>
      <c r="AC462" s="20">
        <f t="shared" si="85"/>
        <v>3.06122448979592</v>
      </c>
      <c r="AD462" s="2" t="s">
        <v>41</v>
      </c>
      <c r="AE462" s="2">
        <v>125</v>
      </c>
      <c r="AF462" s="21">
        <f t="shared" ref="AF462:AF472" si="88">188/AE462*AC462</f>
        <v>4.60408163265306</v>
      </c>
      <c r="AG462" s="4">
        <f t="shared" ref="AG462:AG472" si="89">V462/AB462*100</f>
        <v>2.69016697588126</v>
      </c>
      <c r="AH462" s="4">
        <f t="shared" ref="AH462:AH472" si="90">Z462/AB462*100</f>
        <v>0.371057513914657</v>
      </c>
    </row>
    <row r="463" spans="1:34">
      <c r="A463" s="2">
        <v>20260302</v>
      </c>
      <c r="B463" s="2" t="s">
        <v>969</v>
      </c>
      <c r="C463" s="2" t="s">
        <v>970</v>
      </c>
      <c r="D463" s="2">
        <v>2</v>
      </c>
      <c r="E463" s="2">
        <v>1</v>
      </c>
      <c r="F463" s="2">
        <v>6</v>
      </c>
      <c r="G463" s="2">
        <v>1</v>
      </c>
      <c r="H463" s="2">
        <v>6</v>
      </c>
      <c r="I463" s="3">
        <v>13</v>
      </c>
      <c r="J463" s="2">
        <v>12</v>
      </c>
      <c r="K463" s="2">
        <v>3</v>
      </c>
      <c r="L463" s="2">
        <v>0</v>
      </c>
      <c r="M463" s="2">
        <v>7</v>
      </c>
      <c r="N463" s="2">
        <v>36</v>
      </c>
      <c r="O463" s="2">
        <v>6</v>
      </c>
      <c r="P463" s="3">
        <v>3</v>
      </c>
      <c r="Q463" s="2">
        <v>10</v>
      </c>
      <c r="R463" s="2">
        <v>133</v>
      </c>
      <c r="S463" s="2">
        <v>0</v>
      </c>
      <c r="T463" s="2">
        <v>2</v>
      </c>
      <c r="U463" s="2">
        <v>0</v>
      </c>
      <c r="V463" s="2">
        <f t="shared" si="84"/>
        <v>42</v>
      </c>
      <c r="W463" s="2">
        <v>3</v>
      </c>
      <c r="X463" s="2">
        <v>2</v>
      </c>
      <c r="Y463" s="2">
        <v>0</v>
      </c>
      <c r="Z463" s="2">
        <f t="shared" si="86"/>
        <v>5</v>
      </c>
      <c r="AA463" s="2">
        <f t="shared" si="87"/>
        <v>47</v>
      </c>
      <c r="AB463" s="2">
        <v>2356</v>
      </c>
      <c r="AC463" s="20">
        <f t="shared" si="85"/>
        <v>1.99490662139219</v>
      </c>
      <c r="AD463" s="2" t="s">
        <v>41</v>
      </c>
      <c r="AE463" s="2">
        <v>125</v>
      </c>
      <c r="AF463" s="21">
        <f t="shared" si="88"/>
        <v>3.00033955857385</v>
      </c>
      <c r="AG463" s="4">
        <f t="shared" si="89"/>
        <v>1.78268251273345</v>
      </c>
      <c r="AH463" s="4">
        <f t="shared" si="90"/>
        <v>0.212224108658744</v>
      </c>
    </row>
    <row r="464" spans="1:34">
      <c r="A464" s="2">
        <v>20260302</v>
      </c>
      <c r="B464" s="2" t="s">
        <v>971</v>
      </c>
      <c r="C464" s="2" t="s">
        <v>972</v>
      </c>
      <c r="D464" s="2">
        <v>2</v>
      </c>
      <c r="E464" s="2">
        <v>5</v>
      </c>
      <c r="F464" s="2">
        <v>4</v>
      </c>
      <c r="G464" s="2">
        <v>0</v>
      </c>
      <c r="H464" s="2">
        <v>3</v>
      </c>
      <c r="I464" s="3">
        <v>14</v>
      </c>
      <c r="J464" s="2">
        <v>1</v>
      </c>
      <c r="K464" s="2">
        <v>2</v>
      </c>
      <c r="L464" s="2">
        <v>0</v>
      </c>
      <c r="M464" s="2">
        <v>2</v>
      </c>
      <c r="N464" s="2">
        <v>25</v>
      </c>
      <c r="O464" s="2">
        <v>4</v>
      </c>
      <c r="P464" s="3">
        <v>10</v>
      </c>
      <c r="Q464" s="2">
        <v>8</v>
      </c>
      <c r="R464" s="2">
        <v>96</v>
      </c>
      <c r="S464" s="2">
        <v>0</v>
      </c>
      <c r="T464" s="2">
        <v>1</v>
      </c>
      <c r="U464" s="2">
        <v>0</v>
      </c>
      <c r="V464" s="2">
        <f t="shared" si="84"/>
        <v>23</v>
      </c>
      <c r="W464" s="2">
        <v>1</v>
      </c>
      <c r="X464" s="2">
        <v>7</v>
      </c>
      <c r="Y464" s="2">
        <v>2</v>
      </c>
      <c r="Z464" s="2">
        <f t="shared" si="86"/>
        <v>10</v>
      </c>
      <c r="AA464" s="2">
        <f t="shared" si="87"/>
        <v>33</v>
      </c>
      <c r="AB464" s="2">
        <v>2156</v>
      </c>
      <c r="AC464" s="20">
        <f t="shared" si="85"/>
        <v>1.53061224489796</v>
      </c>
      <c r="AD464" s="2" t="s">
        <v>41</v>
      </c>
      <c r="AE464" s="2">
        <v>125</v>
      </c>
      <c r="AF464" s="21">
        <f t="shared" si="88"/>
        <v>2.30204081632653</v>
      </c>
      <c r="AG464" s="4">
        <f t="shared" si="89"/>
        <v>1.06679035250464</v>
      </c>
      <c r="AH464" s="4">
        <f t="shared" si="90"/>
        <v>0.463821892393321</v>
      </c>
    </row>
    <row r="465" spans="1:34">
      <c r="A465" s="2">
        <v>20260302</v>
      </c>
      <c r="B465" s="2" t="s">
        <v>973</v>
      </c>
      <c r="C465" s="2" t="s">
        <v>974</v>
      </c>
      <c r="D465" s="2">
        <v>3</v>
      </c>
      <c r="E465" s="2">
        <v>2</v>
      </c>
      <c r="F465" s="2">
        <v>9</v>
      </c>
      <c r="G465" s="2">
        <v>1</v>
      </c>
      <c r="H465" s="2">
        <v>3</v>
      </c>
      <c r="I465" s="3">
        <v>7</v>
      </c>
      <c r="J465" s="2">
        <v>24</v>
      </c>
      <c r="K465" s="2">
        <v>5</v>
      </c>
      <c r="L465" s="2">
        <v>1</v>
      </c>
      <c r="M465" s="2">
        <v>4</v>
      </c>
      <c r="N465" s="2">
        <v>41</v>
      </c>
      <c r="O465" s="2">
        <v>9</v>
      </c>
      <c r="P465" s="3">
        <v>2</v>
      </c>
      <c r="Q465" s="2">
        <v>11</v>
      </c>
      <c r="R465" s="2">
        <v>103</v>
      </c>
      <c r="S465" s="2">
        <v>0</v>
      </c>
      <c r="T465" s="2">
        <v>5</v>
      </c>
      <c r="U465" s="2">
        <v>0</v>
      </c>
      <c r="V465" s="2">
        <f t="shared" si="84"/>
        <v>50</v>
      </c>
      <c r="W465" s="2">
        <v>1</v>
      </c>
      <c r="X465" s="2">
        <v>1</v>
      </c>
      <c r="Y465" s="2">
        <v>0</v>
      </c>
      <c r="Z465" s="2">
        <f t="shared" si="86"/>
        <v>2</v>
      </c>
      <c r="AA465" s="2">
        <f t="shared" si="87"/>
        <v>52</v>
      </c>
      <c r="AB465" s="2">
        <v>2156</v>
      </c>
      <c r="AC465" s="20">
        <f t="shared" si="85"/>
        <v>2.41187384044527</v>
      </c>
      <c r="AD465" s="2" t="s">
        <v>41</v>
      </c>
      <c r="AE465" s="2">
        <v>125</v>
      </c>
      <c r="AF465" s="21">
        <f t="shared" si="88"/>
        <v>3.62745825602968</v>
      </c>
      <c r="AG465" s="4">
        <f t="shared" si="89"/>
        <v>2.3191094619666</v>
      </c>
      <c r="AH465" s="4">
        <f t="shared" si="90"/>
        <v>0.0927643784786642</v>
      </c>
    </row>
    <row r="466" spans="1:34">
      <c r="A466" s="2">
        <v>20260302</v>
      </c>
      <c r="B466" s="2" t="s">
        <v>975</v>
      </c>
      <c r="C466" s="2" t="s">
        <v>976</v>
      </c>
      <c r="D466" s="2">
        <v>3</v>
      </c>
      <c r="E466" s="2">
        <v>5</v>
      </c>
      <c r="F466" s="2">
        <v>22</v>
      </c>
      <c r="G466" s="2">
        <v>4</v>
      </c>
      <c r="H466" s="2">
        <v>5</v>
      </c>
      <c r="I466" s="3">
        <v>19</v>
      </c>
      <c r="J466" s="2">
        <v>13</v>
      </c>
      <c r="K466" s="2">
        <v>8</v>
      </c>
      <c r="L466" s="2">
        <v>2</v>
      </c>
      <c r="M466" s="2">
        <v>7</v>
      </c>
      <c r="N466" s="2">
        <v>38</v>
      </c>
      <c r="O466" s="2">
        <v>28</v>
      </c>
      <c r="P466" s="3">
        <v>10</v>
      </c>
      <c r="Q466" s="2">
        <v>16</v>
      </c>
      <c r="R466" s="2">
        <v>98</v>
      </c>
      <c r="S466" s="2">
        <v>1</v>
      </c>
      <c r="T466" s="2">
        <v>3</v>
      </c>
      <c r="U466" s="2">
        <v>0</v>
      </c>
      <c r="V466" s="2">
        <f t="shared" si="84"/>
        <v>65</v>
      </c>
      <c r="W466" s="2">
        <v>1</v>
      </c>
      <c r="X466" s="2">
        <v>5</v>
      </c>
      <c r="Y466" s="2">
        <v>0</v>
      </c>
      <c r="Z466" s="2">
        <f t="shared" ref="Z466:Z477" si="91">Y466+X466+W466+U466</f>
        <v>6</v>
      </c>
      <c r="AA466" s="2">
        <f t="shared" si="87"/>
        <v>71</v>
      </c>
      <c r="AB466" s="2">
        <v>2756</v>
      </c>
      <c r="AC466" s="20">
        <f t="shared" si="85"/>
        <v>2.57619738751814</v>
      </c>
      <c r="AD466" s="2" t="s">
        <v>41</v>
      </c>
      <c r="AE466" s="2">
        <v>125</v>
      </c>
      <c r="AF466" s="21">
        <f t="shared" si="88"/>
        <v>3.87460087082729</v>
      </c>
      <c r="AG466" s="4">
        <f t="shared" si="89"/>
        <v>2.35849056603774</v>
      </c>
      <c r="AH466" s="4">
        <f t="shared" si="90"/>
        <v>0.217706821480406</v>
      </c>
    </row>
    <row r="467" spans="1:34">
      <c r="A467" s="2">
        <v>20260302</v>
      </c>
      <c r="B467" s="2" t="s">
        <v>977</v>
      </c>
      <c r="C467" s="2" t="s">
        <v>978</v>
      </c>
      <c r="D467" s="2">
        <v>3</v>
      </c>
      <c r="E467" s="2">
        <v>543</v>
      </c>
      <c r="F467" s="2">
        <v>7</v>
      </c>
      <c r="G467" s="2">
        <v>1</v>
      </c>
      <c r="H467" s="2">
        <v>3</v>
      </c>
      <c r="I467" s="3">
        <v>12</v>
      </c>
      <c r="J467" s="2">
        <v>9</v>
      </c>
      <c r="K467" s="2">
        <v>3</v>
      </c>
      <c r="L467" s="2">
        <v>0</v>
      </c>
      <c r="M467" s="2">
        <v>2</v>
      </c>
      <c r="N467" s="2">
        <v>28</v>
      </c>
      <c r="O467" s="2">
        <v>8</v>
      </c>
      <c r="P467" s="3">
        <v>4</v>
      </c>
      <c r="Q467" s="2">
        <v>8</v>
      </c>
      <c r="R467" s="2">
        <v>78</v>
      </c>
      <c r="S467" s="2">
        <v>0</v>
      </c>
      <c r="T467" s="2">
        <v>4</v>
      </c>
      <c r="U467" s="2">
        <v>0</v>
      </c>
      <c r="V467" s="2">
        <f t="shared" ref="V467:V479" si="92">AA467-Y467-X467-W467-U467</f>
        <v>38</v>
      </c>
      <c r="W467" s="2">
        <v>0</v>
      </c>
      <c r="X467" s="2">
        <v>0</v>
      </c>
      <c r="Y467" s="2">
        <v>0</v>
      </c>
      <c r="Z467" s="2">
        <f t="shared" si="91"/>
        <v>0</v>
      </c>
      <c r="AA467" s="2">
        <f t="shared" ref="AA467:AA478" si="93">G467+H467+I467+J467+K467+L467+M467+P467+T467+U467</f>
        <v>38</v>
      </c>
      <c r="AB467" s="2">
        <v>2157</v>
      </c>
      <c r="AC467" s="20">
        <f t="shared" ref="AC467:AC483" si="94">AA467/AB467*100</f>
        <v>1.76170607324988</v>
      </c>
      <c r="AD467" s="2" t="s">
        <v>41</v>
      </c>
      <c r="AE467" s="2">
        <v>125</v>
      </c>
      <c r="AF467" s="21">
        <f t="shared" si="88"/>
        <v>2.64960593416783</v>
      </c>
      <c r="AG467" s="4">
        <f t="shared" si="89"/>
        <v>1.76170607324988</v>
      </c>
      <c r="AH467" s="4">
        <f t="shared" si="90"/>
        <v>0</v>
      </c>
    </row>
    <row r="468" spans="1:34">
      <c r="A468" s="2">
        <v>20260302</v>
      </c>
      <c r="B468" s="2" t="s">
        <v>979</v>
      </c>
      <c r="C468" s="2" t="s">
        <v>980</v>
      </c>
      <c r="D468" s="2">
        <v>0</v>
      </c>
      <c r="E468" s="2">
        <v>3</v>
      </c>
      <c r="F468" s="2">
        <v>0</v>
      </c>
      <c r="G468" s="2">
        <v>1</v>
      </c>
      <c r="H468" s="2">
        <v>4</v>
      </c>
      <c r="I468" s="3">
        <v>1</v>
      </c>
      <c r="J468" s="2">
        <v>0</v>
      </c>
      <c r="K468" s="2">
        <v>0</v>
      </c>
      <c r="L468" s="2">
        <v>0</v>
      </c>
      <c r="M468" s="2">
        <v>3</v>
      </c>
      <c r="N468" s="2">
        <v>1</v>
      </c>
      <c r="O468" s="2">
        <v>0</v>
      </c>
      <c r="P468" s="3">
        <v>112</v>
      </c>
      <c r="Q468" s="2">
        <v>113</v>
      </c>
      <c r="R468" s="2">
        <v>1</v>
      </c>
      <c r="S468" s="2">
        <v>0</v>
      </c>
      <c r="T468" s="2">
        <v>1</v>
      </c>
      <c r="U468" s="2">
        <v>0</v>
      </c>
      <c r="V468" s="2">
        <f t="shared" si="92"/>
        <v>122</v>
      </c>
      <c r="W468" s="2">
        <v>0</v>
      </c>
      <c r="X468" s="2">
        <v>0</v>
      </c>
      <c r="Y468" s="2">
        <v>0</v>
      </c>
      <c r="Z468" s="2">
        <f t="shared" si="91"/>
        <v>0</v>
      </c>
      <c r="AA468" s="2">
        <f t="shared" si="93"/>
        <v>122</v>
      </c>
      <c r="AB468" s="2">
        <v>1726</v>
      </c>
      <c r="AC468" s="20">
        <f t="shared" si="94"/>
        <v>7.06836616454229</v>
      </c>
      <c r="AD468" s="2" t="s">
        <v>41</v>
      </c>
      <c r="AE468" s="2">
        <v>188</v>
      </c>
      <c r="AF468" s="21">
        <f t="shared" si="88"/>
        <v>7.06836616454229</v>
      </c>
      <c r="AG468" s="4">
        <f t="shared" si="89"/>
        <v>7.06836616454229</v>
      </c>
      <c r="AH468" s="4">
        <f t="shared" si="90"/>
        <v>0</v>
      </c>
    </row>
    <row r="469" spans="1:34">
      <c r="A469" s="2">
        <v>20260302</v>
      </c>
      <c r="B469" s="2" t="s">
        <v>981</v>
      </c>
      <c r="C469" s="2" t="s">
        <v>982</v>
      </c>
      <c r="D469" s="2">
        <v>3</v>
      </c>
      <c r="E469" s="2">
        <v>0</v>
      </c>
      <c r="F469" s="2">
        <v>13</v>
      </c>
      <c r="G469" s="2">
        <v>3</v>
      </c>
      <c r="H469" s="2">
        <v>3</v>
      </c>
      <c r="I469" s="3">
        <v>15</v>
      </c>
      <c r="J469" s="2">
        <v>11</v>
      </c>
      <c r="K469" s="2">
        <v>0</v>
      </c>
      <c r="L469" s="2">
        <v>0</v>
      </c>
      <c r="M469" s="2">
        <v>5</v>
      </c>
      <c r="N469" s="2">
        <v>17</v>
      </c>
      <c r="O469" s="2">
        <v>16</v>
      </c>
      <c r="P469" s="3">
        <v>8</v>
      </c>
      <c r="Q469" s="2">
        <v>7</v>
      </c>
      <c r="R469" s="2">
        <v>34</v>
      </c>
      <c r="S469" s="2">
        <v>1</v>
      </c>
      <c r="T469" s="2">
        <v>5</v>
      </c>
      <c r="U469" s="2">
        <v>0</v>
      </c>
      <c r="V469" s="2">
        <f t="shared" si="92"/>
        <v>45</v>
      </c>
      <c r="W469" s="2">
        <v>1</v>
      </c>
      <c r="X469" s="2">
        <v>4</v>
      </c>
      <c r="Y469" s="2">
        <v>0</v>
      </c>
      <c r="Z469" s="2">
        <f t="shared" si="91"/>
        <v>5</v>
      </c>
      <c r="AA469" s="2">
        <f t="shared" si="93"/>
        <v>50</v>
      </c>
      <c r="AB469" s="2">
        <v>3315</v>
      </c>
      <c r="AC469" s="20">
        <f t="shared" si="94"/>
        <v>1.50829562594268</v>
      </c>
      <c r="AD469" s="2" t="s">
        <v>41</v>
      </c>
      <c r="AE469" s="2">
        <v>188</v>
      </c>
      <c r="AF469" s="21">
        <f t="shared" si="88"/>
        <v>1.50829562594268</v>
      </c>
      <c r="AG469" s="4">
        <f t="shared" si="89"/>
        <v>1.35746606334842</v>
      </c>
      <c r="AH469" s="4">
        <f t="shared" si="90"/>
        <v>0.150829562594268</v>
      </c>
    </row>
    <row r="470" spans="1:34">
      <c r="A470" s="2">
        <v>20260303</v>
      </c>
      <c r="B470" s="2" t="s">
        <v>983</v>
      </c>
      <c r="C470" s="2" t="s">
        <v>984</v>
      </c>
      <c r="D470" s="2">
        <v>4</v>
      </c>
      <c r="E470" s="2">
        <v>1</v>
      </c>
      <c r="F470" s="2">
        <v>9</v>
      </c>
      <c r="G470" s="2">
        <v>0</v>
      </c>
      <c r="H470" s="2">
        <v>2</v>
      </c>
      <c r="I470" s="3">
        <v>7</v>
      </c>
      <c r="J470" s="2">
        <v>11</v>
      </c>
      <c r="K470" s="2">
        <v>1</v>
      </c>
      <c r="L470" s="2">
        <v>0</v>
      </c>
      <c r="M470" s="2">
        <v>1</v>
      </c>
      <c r="N470" s="2">
        <v>28</v>
      </c>
      <c r="O470" s="2">
        <v>17</v>
      </c>
      <c r="P470" s="3">
        <v>7</v>
      </c>
      <c r="Q470" s="2">
        <v>5</v>
      </c>
      <c r="R470" s="2">
        <v>3</v>
      </c>
      <c r="S470" s="2">
        <v>2</v>
      </c>
      <c r="T470" s="2">
        <v>2</v>
      </c>
      <c r="U470" s="2">
        <v>0</v>
      </c>
      <c r="V470" s="2">
        <f t="shared" si="92"/>
        <v>29</v>
      </c>
      <c r="W470" s="2">
        <v>2</v>
      </c>
      <c r="X470" s="2">
        <v>0</v>
      </c>
      <c r="Y470" s="2">
        <v>0</v>
      </c>
      <c r="Z470" s="2">
        <f t="shared" si="91"/>
        <v>2</v>
      </c>
      <c r="AA470" s="2">
        <f t="shared" si="93"/>
        <v>31</v>
      </c>
      <c r="AB470" s="2">
        <v>1877</v>
      </c>
      <c r="AC470" s="20">
        <f t="shared" si="94"/>
        <v>1.65157165689931</v>
      </c>
      <c r="AD470" s="2" t="s">
        <v>41</v>
      </c>
      <c r="AE470" s="2">
        <v>188</v>
      </c>
      <c r="AF470" s="21">
        <f t="shared" si="88"/>
        <v>1.65157165689931</v>
      </c>
      <c r="AG470" s="4">
        <f t="shared" si="89"/>
        <v>1.54501864677677</v>
      </c>
      <c r="AH470" s="4">
        <f t="shared" si="90"/>
        <v>0.106553010122536</v>
      </c>
    </row>
    <row r="471" spans="1:34">
      <c r="A471" s="2">
        <v>20260303</v>
      </c>
      <c r="B471" s="2" t="s">
        <v>985</v>
      </c>
      <c r="C471" s="2" t="s">
        <v>986</v>
      </c>
      <c r="D471" s="2">
        <v>2</v>
      </c>
      <c r="E471" s="2">
        <v>1</v>
      </c>
      <c r="F471" s="2">
        <v>5</v>
      </c>
      <c r="G471" s="2">
        <v>0</v>
      </c>
      <c r="H471" s="2">
        <v>1</v>
      </c>
      <c r="I471" s="3">
        <v>4</v>
      </c>
      <c r="J471" s="2">
        <v>8</v>
      </c>
      <c r="K471" s="2">
        <v>0</v>
      </c>
      <c r="L471" s="2">
        <v>0</v>
      </c>
      <c r="M471" s="2">
        <v>2</v>
      </c>
      <c r="N471" s="2">
        <v>8</v>
      </c>
      <c r="O471" s="2">
        <v>6</v>
      </c>
      <c r="P471" s="3">
        <v>2</v>
      </c>
      <c r="Q471" s="2">
        <v>6</v>
      </c>
      <c r="R471" s="2">
        <v>6</v>
      </c>
      <c r="S471" s="2">
        <v>0</v>
      </c>
      <c r="T471" s="2">
        <v>1</v>
      </c>
      <c r="U471" s="2">
        <v>0</v>
      </c>
      <c r="V471" s="2">
        <f t="shared" si="92"/>
        <v>17</v>
      </c>
      <c r="W471" s="2">
        <v>0</v>
      </c>
      <c r="X471" s="2">
        <v>0</v>
      </c>
      <c r="Y471" s="2">
        <v>1</v>
      </c>
      <c r="Z471" s="2">
        <f t="shared" si="91"/>
        <v>1</v>
      </c>
      <c r="AA471" s="2">
        <f t="shared" si="93"/>
        <v>18</v>
      </c>
      <c r="AB471" s="2">
        <v>2076</v>
      </c>
      <c r="AC471" s="20">
        <f t="shared" si="94"/>
        <v>0.867052023121387</v>
      </c>
      <c r="AD471" s="2" t="s">
        <v>58</v>
      </c>
      <c r="AE471" s="2">
        <v>188</v>
      </c>
      <c r="AF471" s="21">
        <f t="shared" si="88"/>
        <v>0.867052023121387</v>
      </c>
      <c r="AG471" s="4">
        <f t="shared" si="89"/>
        <v>0.81888246628131</v>
      </c>
      <c r="AH471" s="4">
        <f t="shared" si="90"/>
        <v>0.0481695568400771</v>
      </c>
    </row>
    <row r="472" spans="1:34">
      <c r="A472" s="2">
        <v>20260303</v>
      </c>
      <c r="B472" s="2" t="s">
        <v>987</v>
      </c>
      <c r="C472" s="2" t="s">
        <v>988</v>
      </c>
      <c r="D472" s="2">
        <v>2</v>
      </c>
      <c r="E472" s="2">
        <v>1</v>
      </c>
      <c r="F472" s="2">
        <v>8</v>
      </c>
      <c r="G472" s="2">
        <v>1</v>
      </c>
      <c r="H472" s="2">
        <v>3</v>
      </c>
      <c r="I472" s="3">
        <v>8</v>
      </c>
      <c r="J472" s="2">
        <v>4</v>
      </c>
      <c r="K472" s="2">
        <v>0</v>
      </c>
      <c r="L472" s="2">
        <v>1</v>
      </c>
      <c r="M472" s="2">
        <v>2</v>
      </c>
      <c r="N472" s="2">
        <v>8</v>
      </c>
      <c r="O472" s="2">
        <v>14</v>
      </c>
      <c r="P472" s="3">
        <v>1</v>
      </c>
      <c r="Q472" s="2">
        <v>5</v>
      </c>
      <c r="R472" s="2">
        <v>2</v>
      </c>
      <c r="S472" s="2">
        <v>0</v>
      </c>
      <c r="T472" s="2">
        <v>5</v>
      </c>
      <c r="U472" s="2">
        <v>1</v>
      </c>
      <c r="V472" s="2">
        <f t="shared" si="92"/>
        <v>22</v>
      </c>
      <c r="W472" s="2">
        <v>2</v>
      </c>
      <c r="X472" s="2">
        <v>1</v>
      </c>
      <c r="Y472" s="2">
        <v>0</v>
      </c>
      <c r="Z472" s="2">
        <f t="shared" si="91"/>
        <v>4</v>
      </c>
      <c r="AA472" s="2">
        <f t="shared" si="93"/>
        <v>26</v>
      </c>
      <c r="AB472" s="2">
        <v>2076</v>
      </c>
      <c r="AC472" s="20">
        <f t="shared" si="94"/>
        <v>1.252408477842</v>
      </c>
      <c r="AD472" s="2" t="s">
        <v>58</v>
      </c>
      <c r="AE472" s="2">
        <v>188</v>
      </c>
      <c r="AF472" s="21">
        <f t="shared" ref="AF472:AF481" si="95">188/AE472*AC472</f>
        <v>1.252408477842</v>
      </c>
      <c r="AG472" s="4">
        <f t="shared" ref="AG472:AG481" si="96">V472/AB472*100</f>
        <v>1.0597302504817</v>
      </c>
      <c r="AH472" s="4">
        <f t="shared" ref="AH472:AH481" si="97">Z472/AB472*100</f>
        <v>0.192678227360308</v>
      </c>
    </row>
    <row r="473" spans="1:34">
      <c r="A473" s="2">
        <v>20260303</v>
      </c>
      <c r="B473" s="2" t="s">
        <v>989</v>
      </c>
      <c r="C473" s="2" t="s">
        <v>990</v>
      </c>
      <c r="D473" s="2">
        <v>5</v>
      </c>
      <c r="E473" s="2">
        <v>22</v>
      </c>
      <c r="F473" s="2">
        <v>12</v>
      </c>
      <c r="G473" s="2">
        <v>3</v>
      </c>
      <c r="H473" s="2">
        <v>8</v>
      </c>
      <c r="I473" s="3">
        <v>18</v>
      </c>
      <c r="J473" s="2">
        <v>19</v>
      </c>
      <c r="K473" s="2">
        <v>5</v>
      </c>
      <c r="L473" s="2">
        <v>0</v>
      </c>
      <c r="M473" s="2">
        <v>1</v>
      </c>
      <c r="N473" s="2">
        <v>27</v>
      </c>
      <c r="O473" s="2">
        <v>15</v>
      </c>
      <c r="P473" s="3">
        <v>5</v>
      </c>
      <c r="Q473" s="2">
        <v>8</v>
      </c>
      <c r="R473" s="2">
        <v>2</v>
      </c>
      <c r="S473" s="2">
        <v>3</v>
      </c>
      <c r="T473" s="2">
        <v>5</v>
      </c>
      <c r="U473" s="2">
        <v>0</v>
      </c>
      <c r="V473" s="2">
        <f t="shared" si="92"/>
        <v>62</v>
      </c>
      <c r="W473" s="2">
        <v>0</v>
      </c>
      <c r="X473" s="2">
        <v>2</v>
      </c>
      <c r="Y473" s="2">
        <v>0</v>
      </c>
      <c r="Z473" s="2">
        <f t="shared" si="91"/>
        <v>2</v>
      </c>
      <c r="AA473" s="2">
        <f t="shared" si="93"/>
        <v>64</v>
      </c>
      <c r="AB473" s="2">
        <v>2525</v>
      </c>
      <c r="AC473" s="20">
        <f t="shared" si="94"/>
        <v>2.53465346534653</v>
      </c>
      <c r="AD473" s="2" t="s">
        <v>58</v>
      </c>
      <c r="AE473" s="2">
        <v>188</v>
      </c>
      <c r="AF473" s="21">
        <f t="shared" si="95"/>
        <v>2.53465346534653</v>
      </c>
      <c r="AG473" s="4">
        <f t="shared" si="96"/>
        <v>2.45544554455446</v>
      </c>
      <c r="AH473" s="4">
        <f t="shared" si="97"/>
        <v>0.0792079207920792</v>
      </c>
    </row>
    <row r="474" spans="1:34">
      <c r="A474" s="2">
        <v>20260303</v>
      </c>
      <c r="B474" s="2" t="s">
        <v>991</v>
      </c>
      <c r="C474" s="2" t="s">
        <v>992</v>
      </c>
      <c r="D474" s="2">
        <v>0</v>
      </c>
      <c r="E474" s="2">
        <v>1</v>
      </c>
      <c r="F474" s="2">
        <v>7</v>
      </c>
      <c r="G474" s="2">
        <v>3</v>
      </c>
      <c r="H474" s="2">
        <v>2</v>
      </c>
      <c r="I474" s="3">
        <v>2</v>
      </c>
      <c r="J474" s="2">
        <v>7</v>
      </c>
      <c r="K474" s="2">
        <v>0</v>
      </c>
      <c r="L474" s="2">
        <v>0</v>
      </c>
      <c r="M474" s="2">
        <v>1</v>
      </c>
      <c r="N474" s="2">
        <v>6</v>
      </c>
      <c r="O474" s="2">
        <v>7</v>
      </c>
      <c r="P474" s="3">
        <v>8</v>
      </c>
      <c r="Q474" s="2">
        <v>7</v>
      </c>
      <c r="R474" s="2">
        <v>0</v>
      </c>
      <c r="S474" s="2">
        <v>1</v>
      </c>
      <c r="T474" s="2">
        <v>6</v>
      </c>
      <c r="U474" s="2">
        <v>0</v>
      </c>
      <c r="V474" s="2">
        <f t="shared" si="92"/>
        <v>29</v>
      </c>
      <c r="W474" s="2">
        <v>0</v>
      </c>
      <c r="X474" s="2">
        <v>0</v>
      </c>
      <c r="Y474" s="2">
        <v>0</v>
      </c>
      <c r="Z474" s="2">
        <f t="shared" si="91"/>
        <v>0</v>
      </c>
      <c r="AA474" s="2">
        <f t="shared" si="93"/>
        <v>29</v>
      </c>
      <c r="AB474" s="2">
        <v>2077</v>
      </c>
      <c r="AC474" s="20">
        <f t="shared" si="94"/>
        <v>1.39624458353394</v>
      </c>
      <c r="AD474" s="2" t="s">
        <v>58</v>
      </c>
      <c r="AE474" s="2">
        <v>188</v>
      </c>
      <c r="AF474" s="21">
        <f t="shared" si="95"/>
        <v>1.39624458353394</v>
      </c>
      <c r="AG474" s="4">
        <f t="shared" si="96"/>
        <v>1.39624458353394</v>
      </c>
      <c r="AH474" s="4">
        <f t="shared" si="97"/>
        <v>0</v>
      </c>
    </row>
    <row r="475" spans="1:34">
      <c r="A475" s="2">
        <v>20260303</v>
      </c>
      <c r="B475" s="2" t="s">
        <v>993</v>
      </c>
      <c r="C475" s="2" t="s">
        <v>994</v>
      </c>
      <c r="D475" s="2">
        <v>4</v>
      </c>
      <c r="E475" s="2">
        <v>1</v>
      </c>
      <c r="F475" s="2">
        <v>29</v>
      </c>
      <c r="G475" s="2">
        <v>1</v>
      </c>
      <c r="H475" s="2">
        <v>3</v>
      </c>
      <c r="I475" s="3">
        <v>15</v>
      </c>
      <c r="J475" s="2">
        <v>48</v>
      </c>
      <c r="K475" s="2">
        <v>41</v>
      </c>
      <c r="L475" s="2">
        <v>0</v>
      </c>
      <c r="M475" s="2">
        <v>5</v>
      </c>
      <c r="N475" s="2">
        <v>24</v>
      </c>
      <c r="O475" s="2">
        <v>42</v>
      </c>
      <c r="P475" s="3">
        <v>6</v>
      </c>
      <c r="Q475" s="2">
        <v>93</v>
      </c>
      <c r="R475" s="2">
        <v>14</v>
      </c>
      <c r="S475" s="2">
        <v>34</v>
      </c>
      <c r="T475" s="2">
        <v>8</v>
      </c>
      <c r="U475" s="2">
        <v>1</v>
      </c>
      <c r="V475" s="2">
        <f t="shared" si="92"/>
        <v>125</v>
      </c>
      <c r="W475" s="2">
        <v>2</v>
      </c>
      <c r="X475" s="2">
        <v>0</v>
      </c>
      <c r="Y475" s="2">
        <v>0</v>
      </c>
      <c r="Z475" s="2">
        <f t="shared" si="91"/>
        <v>3</v>
      </c>
      <c r="AA475" s="2">
        <f t="shared" si="93"/>
        <v>128</v>
      </c>
      <c r="AB475" s="2">
        <v>2615</v>
      </c>
      <c r="AC475" s="20">
        <f t="shared" si="94"/>
        <v>4.89483747609943</v>
      </c>
      <c r="AD475" s="2" t="s">
        <v>49</v>
      </c>
      <c r="AE475" s="2">
        <v>188</v>
      </c>
      <c r="AF475" s="21">
        <f t="shared" si="95"/>
        <v>4.89483747609943</v>
      </c>
      <c r="AG475" s="4">
        <f t="shared" si="96"/>
        <v>4.78011472275335</v>
      </c>
      <c r="AH475" s="4">
        <f t="shared" si="97"/>
        <v>0.11472275334608</v>
      </c>
    </row>
    <row r="476" spans="1:34">
      <c r="A476" s="2">
        <v>20260303</v>
      </c>
      <c r="B476" s="2" t="s">
        <v>995</v>
      </c>
      <c r="C476" s="2" t="s">
        <v>996</v>
      </c>
      <c r="D476" s="2">
        <v>4</v>
      </c>
      <c r="E476" s="2">
        <v>0</v>
      </c>
      <c r="F476" s="2">
        <v>5</v>
      </c>
      <c r="G476" s="2">
        <v>1</v>
      </c>
      <c r="H476" s="2">
        <v>11</v>
      </c>
      <c r="I476" s="3">
        <v>13</v>
      </c>
      <c r="J476" s="2">
        <v>4</v>
      </c>
      <c r="K476" s="2">
        <v>0</v>
      </c>
      <c r="L476" s="2">
        <v>9</v>
      </c>
      <c r="M476" s="2">
        <v>6</v>
      </c>
      <c r="N476" s="2">
        <v>26</v>
      </c>
      <c r="O476" s="2">
        <v>5</v>
      </c>
      <c r="P476" s="3">
        <v>12</v>
      </c>
      <c r="Q476" s="2">
        <v>1</v>
      </c>
      <c r="R476" s="2">
        <v>2</v>
      </c>
      <c r="S476" s="2">
        <v>1</v>
      </c>
      <c r="T476" s="2">
        <v>0</v>
      </c>
      <c r="U476" s="2">
        <v>0</v>
      </c>
      <c r="V476" s="2">
        <f t="shared" si="92"/>
        <v>50</v>
      </c>
      <c r="W476" s="2">
        <v>6</v>
      </c>
      <c r="X476" s="2">
        <v>0</v>
      </c>
      <c r="Y476" s="2">
        <v>0</v>
      </c>
      <c r="Z476" s="2">
        <f t="shared" si="91"/>
        <v>6</v>
      </c>
      <c r="AA476" s="2">
        <f t="shared" si="93"/>
        <v>56</v>
      </c>
      <c r="AB476" s="2">
        <v>2385</v>
      </c>
      <c r="AC476" s="20">
        <f t="shared" si="94"/>
        <v>2.34800838574423</v>
      </c>
      <c r="AD476" s="2" t="s">
        <v>49</v>
      </c>
      <c r="AE476" s="2">
        <v>188</v>
      </c>
      <c r="AF476" s="21">
        <f t="shared" si="95"/>
        <v>2.34800838574423</v>
      </c>
      <c r="AG476" s="4">
        <f t="shared" si="96"/>
        <v>2.09643605870021</v>
      </c>
      <c r="AH476" s="4">
        <f t="shared" si="97"/>
        <v>0.251572327044025</v>
      </c>
    </row>
    <row r="477" spans="1:34">
      <c r="A477" s="2">
        <v>20260303</v>
      </c>
      <c r="B477" s="2" t="s">
        <v>997</v>
      </c>
      <c r="C477" s="2" t="s">
        <v>998</v>
      </c>
      <c r="D477" s="2">
        <v>1</v>
      </c>
      <c r="E477" s="2">
        <v>1</v>
      </c>
      <c r="F477" s="2">
        <v>4</v>
      </c>
      <c r="G477" s="2">
        <v>3</v>
      </c>
      <c r="H477" s="2">
        <v>0</v>
      </c>
      <c r="I477" s="3">
        <v>7</v>
      </c>
      <c r="J477" s="2">
        <v>22</v>
      </c>
      <c r="K477" s="2">
        <v>0</v>
      </c>
      <c r="L477" s="2">
        <v>0</v>
      </c>
      <c r="M477" s="2">
        <v>4</v>
      </c>
      <c r="N477" s="2">
        <v>12</v>
      </c>
      <c r="O477" s="2">
        <v>9</v>
      </c>
      <c r="P477" s="3">
        <v>7</v>
      </c>
      <c r="Q477" s="2">
        <v>6</v>
      </c>
      <c r="R477" s="2">
        <v>1</v>
      </c>
      <c r="S477" s="2">
        <v>1</v>
      </c>
      <c r="T477" s="2">
        <v>2</v>
      </c>
      <c r="U477" s="2">
        <v>0</v>
      </c>
      <c r="V477" s="2">
        <f t="shared" si="92"/>
        <v>34</v>
      </c>
      <c r="W477" s="2">
        <v>9</v>
      </c>
      <c r="X477" s="2">
        <v>2</v>
      </c>
      <c r="Y477" s="2">
        <v>0</v>
      </c>
      <c r="Z477" s="2">
        <f t="shared" si="91"/>
        <v>11</v>
      </c>
      <c r="AA477" s="2">
        <f t="shared" si="93"/>
        <v>45</v>
      </c>
      <c r="AB477" s="2">
        <v>2385</v>
      </c>
      <c r="AC477" s="20">
        <f t="shared" si="94"/>
        <v>1.88679245283019</v>
      </c>
      <c r="AD477" s="2" t="s">
        <v>49</v>
      </c>
      <c r="AE477" s="2">
        <v>188</v>
      </c>
      <c r="AF477" s="21">
        <f t="shared" si="95"/>
        <v>1.88679245283019</v>
      </c>
      <c r="AG477" s="4">
        <f t="shared" si="96"/>
        <v>1.42557651991614</v>
      </c>
      <c r="AH477" s="4">
        <f t="shared" si="97"/>
        <v>0.461215932914046</v>
      </c>
    </row>
    <row r="478" spans="1:34">
      <c r="A478" s="2">
        <v>20260303</v>
      </c>
      <c r="B478" s="2" t="s">
        <v>999</v>
      </c>
      <c r="C478" s="2" t="s">
        <v>1000</v>
      </c>
      <c r="D478" s="2">
        <v>1</v>
      </c>
      <c r="E478" s="2">
        <v>0</v>
      </c>
      <c r="F478" s="2">
        <v>7</v>
      </c>
      <c r="G478" s="2">
        <v>3</v>
      </c>
      <c r="H478" s="2">
        <v>3</v>
      </c>
      <c r="I478" s="3">
        <v>9</v>
      </c>
      <c r="J478" s="2">
        <v>13</v>
      </c>
      <c r="K478" s="2">
        <v>0</v>
      </c>
      <c r="L478" s="2">
        <v>0</v>
      </c>
      <c r="M478" s="2">
        <v>4</v>
      </c>
      <c r="N478" s="2">
        <v>13</v>
      </c>
      <c r="O478" s="2">
        <v>14</v>
      </c>
      <c r="P478" s="3">
        <v>2</v>
      </c>
      <c r="Q478" s="2">
        <v>6</v>
      </c>
      <c r="R478" s="2">
        <v>1</v>
      </c>
      <c r="S478" s="2">
        <v>0</v>
      </c>
      <c r="T478" s="2">
        <v>3</v>
      </c>
      <c r="U478" s="2">
        <v>0</v>
      </c>
      <c r="V478" s="2">
        <f t="shared" si="92"/>
        <v>24</v>
      </c>
      <c r="W478" s="2">
        <v>10</v>
      </c>
      <c r="X478" s="2">
        <v>3</v>
      </c>
      <c r="Y478" s="2">
        <v>0</v>
      </c>
      <c r="Z478" s="2">
        <f t="shared" ref="Z478:Z486" si="98">Y478+X478+W478+U478</f>
        <v>13</v>
      </c>
      <c r="AA478" s="2">
        <f t="shared" ref="AA478:AA486" si="99">G478+H478+I478+J478+K478+L478+M478+P478+T478+U478</f>
        <v>37</v>
      </c>
      <c r="AB478" s="2">
        <v>2186</v>
      </c>
      <c r="AC478" s="20">
        <f t="shared" si="94"/>
        <v>1.69258920402562</v>
      </c>
      <c r="AD478" s="2" t="s">
        <v>49</v>
      </c>
      <c r="AE478" s="2">
        <v>188</v>
      </c>
      <c r="AF478" s="21">
        <f t="shared" si="95"/>
        <v>1.69258920402562</v>
      </c>
      <c r="AG478" s="4">
        <f t="shared" si="96"/>
        <v>1.09789569990851</v>
      </c>
      <c r="AH478" s="4">
        <f t="shared" si="97"/>
        <v>0.594693504117109</v>
      </c>
    </row>
    <row r="479" spans="1:34">
      <c r="A479" s="2">
        <v>20260303</v>
      </c>
      <c r="B479" s="2" t="s">
        <v>1001</v>
      </c>
      <c r="C479" s="2" t="s">
        <v>1002</v>
      </c>
      <c r="D479" s="2">
        <v>14</v>
      </c>
      <c r="E479" s="2">
        <v>20</v>
      </c>
      <c r="F479" s="2">
        <v>13</v>
      </c>
      <c r="G479" s="2">
        <v>12</v>
      </c>
      <c r="H479" s="2">
        <v>12</v>
      </c>
      <c r="I479" s="3">
        <v>20</v>
      </c>
      <c r="J479" s="2">
        <v>23</v>
      </c>
      <c r="K479" s="2">
        <v>10</v>
      </c>
      <c r="L479" s="2">
        <v>2</v>
      </c>
      <c r="M479" s="2">
        <v>7</v>
      </c>
      <c r="N479" s="2">
        <v>52</v>
      </c>
      <c r="O479" s="2">
        <v>67</v>
      </c>
      <c r="P479" s="3">
        <v>14</v>
      </c>
      <c r="Q479" s="2">
        <v>7</v>
      </c>
      <c r="R479" s="2">
        <v>14</v>
      </c>
      <c r="S479" s="2">
        <v>1</v>
      </c>
      <c r="T479" s="2">
        <v>16</v>
      </c>
      <c r="U479" s="2">
        <v>3</v>
      </c>
      <c r="V479" s="2">
        <f t="shared" si="92"/>
        <v>102</v>
      </c>
      <c r="W479" s="2">
        <v>9</v>
      </c>
      <c r="X479" s="2">
        <v>5</v>
      </c>
      <c r="Y479" s="2">
        <v>0</v>
      </c>
      <c r="Z479" s="2">
        <f t="shared" si="98"/>
        <v>17</v>
      </c>
      <c r="AA479" s="2">
        <f t="shared" si="99"/>
        <v>119</v>
      </c>
      <c r="AB479" s="2">
        <v>2535</v>
      </c>
      <c r="AC479" s="20">
        <f t="shared" si="94"/>
        <v>4.69428007889546</v>
      </c>
      <c r="AD479" s="2" t="s">
        <v>49</v>
      </c>
      <c r="AE479" s="2">
        <v>188</v>
      </c>
      <c r="AF479" s="21">
        <f t="shared" si="95"/>
        <v>4.69428007889546</v>
      </c>
      <c r="AG479" s="4">
        <f t="shared" si="96"/>
        <v>4.02366863905325</v>
      </c>
      <c r="AH479" s="4">
        <f t="shared" si="97"/>
        <v>0.670611439842209</v>
      </c>
    </row>
    <row r="480" spans="1:34">
      <c r="A480" s="2">
        <v>20260303</v>
      </c>
      <c r="B480" s="2" t="s">
        <v>1003</v>
      </c>
      <c r="C480" s="2" t="s">
        <v>1004</v>
      </c>
      <c r="D480" s="2">
        <v>1</v>
      </c>
      <c r="E480" s="2">
        <v>20</v>
      </c>
      <c r="F480" s="2">
        <v>2</v>
      </c>
      <c r="G480" s="2">
        <v>4</v>
      </c>
      <c r="H480" s="2">
        <v>4</v>
      </c>
      <c r="I480" s="3">
        <v>12</v>
      </c>
      <c r="J480" s="2">
        <v>17</v>
      </c>
      <c r="K480" s="2">
        <v>0</v>
      </c>
      <c r="L480" s="2">
        <v>0</v>
      </c>
      <c r="M480" s="2">
        <v>4</v>
      </c>
      <c r="N480" s="2">
        <v>9</v>
      </c>
      <c r="O480" s="2">
        <v>9</v>
      </c>
      <c r="P480" s="3">
        <v>3</v>
      </c>
      <c r="Q480" s="2">
        <v>9</v>
      </c>
      <c r="R480" s="2">
        <v>19</v>
      </c>
      <c r="S480" s="2">
        <v>2</v>
      </c>
      <c r="T480" s="2">
        <v>4</v>
      </c>
      <c r="U480" s="2">
        <v>0</v>
      </c>
      <c r="V480" s="2">
        <f t="shared" ref="V480:V488" si="100">AA480-Y480-X480-W480-U480</f>
        <v>39</v>
      </c>
      <c r="W480" s="2">
        <v>5</v>
      </c>
      <c r="X480" s="2">
        <v>4</v>
      </c>
      <c r="Y480" s="2">
        <v>0</v>
      </c>
      <c r="Z480" s="2">
        <f t="shared" si="98"/>
        <v>9</v>
      </c>
      <c r="AA480" s="2">
        <f t="shared" si="99"/>
        <v>48</v>
      </c>
      <c r="AB480" s="2">
        <v>2435</v>
      </c>
      <c r="AC480" s="20">
        <f t="shared" si="94"/>
        <v>1.97125256673511</v>
      </c>
      <c r="AD480" s="2" t="s">
        <v>49</v>
      </c>
      <c r="AE480" s="2">
        <v>188</v>
      </c>
      <c r="AF480" s="21">
        <f t="shared" si="95"/>
        <v>1.97125256673511</v>
      </c>
      <c r="AG480" s="4">
        <f t="shared" si="96"/>
        <v>1.60164271047228</v>
      </c>
      <c r="AH480" s="4">
        <f t="shared" si="97"/>
        <v>0.369609856262834</v>
      </c>
    </row>
    <row r="481" spans="1:34">
      <c r="A481" s="2">
        <v>20260303</v>
      </c>
      <c r="B481" s="2" t="s">
        <v>1005</v>
      </c>
      <c r="C481" s="2" t="s">
        <v>1006</v>
      </c>
      <c r="D481" s="2">
        <v>0</v>
      </c>
      <c r="E481" s="2">
        <v>18</v>
      </c>
      <c r="F481" s="2">
        <v>13</v>
      </c>
      <c r="G481" s="2">
        <v>11</v>
      </c>
      <c r="H481" s="2">
        <v>8</v>
      </c>
      <c r="I481" s="3">
        <v>16</v>
      </c>
      <c r="J481" s="2">
        <v>27</v>
      </c>
      <c r="K481" s="2">
        <v>3</v>
      </c>
      <c r="L481" s="2">
        <v>2</v>
      </c>
      <c r="M481" s="2">
        <v>8</v>
      </c>
      <c r="N481" s="2">
        <v>23</v>
      </c>
      <c r="O481" s="2">
        <v>40</v>
      </c>
      <c r="P481" s="3">
        <v>11</v>
      </c>
      <c r="Q481" s="2">
        <v>5</v>
      </c>
      <c r="R481" s="2">
        <v>20</v>
      </c>
      <c r="S481" s="2">
        <v>3</v>
      </c>
      <c r="T481" s="2">
        <v>15</v>
      </c>
      <c r="U481" s="2">
        <v>0</v>
      </c>
      <c r="V481" s="2">
        <f t="shared" si="100"/>
        <v>86</v>
      </c>
      <c r="W481" s="2">
        <v>12</v>
      </c>
      <c r="X481" s="2">
        <v>3</v>
      </c>
      <c r="Y481" s="2">
        <v>0</v>
      </c>
      <c r="Z481" s="2">
        <f t="shared" si="98"/>
        <v>15</v>
      </c>
      <c r="AA481" s="2">
        <f t="shared" si="99"/>
        <v>101</v>
      </c>
      <c r="AB481" s="2">
        <v>2455</v>
      </c>
      <c r="AC481" s="20">
        <f t="shared" si="94"/>
        <v>4.11405295315682</v>
      </c>
      <c r="AD481" s="2" t="s">
        <v>49</v>
      </c>
      <c r="AE481" s="2">
        <v>188</v>
      </c>
      <c r="AF481" s="21">
        <f t="shared" ref="AF481:AF490" si="101">188/AE481*AC481</f>
        <v>4.11405295315682</v>
      </c>
      <c r="AG481" s="4">
        <f t="shared" ref="AG481:AG490" si="102">V481/AB481*100</f>
        <v>3.5030549898167</v>
      </c>
      <c r="AH481" s="4">
        <f t="shared" ref="AH481:AH490" si="103">Z481/AB481*100</f>
        <v>0.610997963340122</v>
      </c>
    </row>
    <row r="482" spans="1:34">
      <c r="A482" s="2">
        <v>20260303</v>
      </c>
      <c r="B482" s="2" t="s">
        <v>1007</v>
      </c>
      <c r="C482" s="2" t="s">
        <v>1008</v>
      </c>
      <c r="D482" s="2">
        <v>6</v>
      </c>
      <c r="E482" s="2">
        <v>14</v>
      </c>
      <c r="F482" s="2">
        <v>34</v>
      </c>
      <c r="G482" s="2">
        <v>10</v>
      </c>
      <c r="H482" s="2">
        <v>14</v>
      </c>
      <c r="I482" s="3">
        <v>12</v>
      </c>
      <c r="J482" s="2">
        <v>16</v>
      </c>
      <c r="K482" s="2">
        <v>28</v>
      </c>
      <c r="L482" s="2">
        <v>0</v>
      </c>
      <c r="M482" s="2">
        <v>12</v>
      </c>
      <c r="N482" s="2">
        <v>22</v>
      </c>
      <c r="O482" s="2">
        <v>62</v>
      </c>
      <c r="P482" s="3">
        <v>22</v>
      </c>
      <c r="Q482" s="2">
        <v>247</v>
      </c>
      <c r="R482" s="2">
        <v>19</v>
      </c>
      <c r="S482" s="2">
        <v>2</v>
      </c>
      <c r="T482" s="2">
        <v>13</v>
      </c>
      <c r="U482" s="2">
        <v>6</v>
      </c>
      <c r="V482" s="2">
        <f t="shared" si="100"/>
        <v>114</v>
      </c>
      <c r="W482" s="2">
        <v>7</v>
      </c>
      <c r="X482" s="2">
        <v>6</v>
      </c>
      <c r="Y482" s="2">
        <v>0</v>
      </c>
      <c r="Z482" s="2">
        <f t="shared" si="98"/>
        <v>19</v>
      </c>
      <c r="AA482" s="2">
        <f t="shared" si="99"/>
        <v>133</v>
      </c>
      <c r="AB482" s="2">
        <v>2445</v>
      </c>
      <c r="AC482" s="20">
        <f t="shared" si="94"/>
        <v>5.43967280163599</v>
      </c>
      <c r="AD482" s="2" t="s">
        <v>49</v>
      </c>
      <c r="AE482" s="2">
        <v>188</v>
      </c>
      <c r="AF482" s="21">
        <f t="shared" si="101"/>
        <v>5.43967280163599</v>
      </c>
      <c r="AG482" s="4">
        <f t="shared" si="102"/>
        <v>4.66257668711656</v>
      </c>
      <c r="AH482" s="4">
        <f t="shared" si="103"/>
        <v>0.777096114519427</v>
      </c>
    </row>
    <row r="483" spans="1:34">
      <c r="A483" s="2">
        <v>20260303</v>
      </c>
      <c r="B483" s="2" t="s">
        <v>1009</v>
      </c>
      <c r="C483" s="2" t="s">
        <v>1010</v>
      </c>
      <c r="D483" s="2">
        <v>11</v>
      </c>
      <c r="E483" s="2">
        <v>109</v>
      </c>
      <c r="F483" s="2">
        <v>25</v>
      </c>
      <c r="G483" s="2">
        <v>14</v>
      </c>
      <c r="H483" s="2">
        <v>31</v>
      </c>
      <c r="I483" s="3">
        <v>25</v>
      </c>
      <c r="J483" s="2">
        <v>44</v>
      </c>
      <c r="K483" s="2">
        <v>43</v>
      </c>
      <c r="L483" s="2">
        <v>3</v>
      </c>
      <c r="M483" s="2">
        <v>7</v>
      </c>
      <c r="N483" s="2">
        <v>21</v>
      </c>
      <c r="O483" s="2">
        <v>76</v>
      </c>
      <c r="P483" s="3">
        <v>20</v>
      </c>
      <c r="Q483" s="2">
        <v>22</v>
      </c>
      <c r="R483" s="2">
        <v>252</v>
      </c>
      <c r="S483" s="2">
        <v>3</v>
      </c>
      <c r="T483" s="2">
        <v>14</v>
      </c>
      <c r="U483" s="2">
        <v>1</v>
      </c>
      <c r="V483" s="2">
        <f t="shared" si="100"/>
        <v>194</v>
      </c>
      <c r="W483" s="2">
        <v>1</v>
      </c>
      <c r="X483" s="2">
        <v>6</v>
      </c>
      <c r="Y483" s="2">
        <v>0</v>
      </c>
      <c r="Z483" s="2">
        <f t="shared" si="98"/>
        <v>8</v>
      </c>
      <c r="AA483" s="2">
        <f t="shared" si="99"/>
        <v>202</v>
      </c>
      <c r="AB483" s="2">
        <v>3025</v>
      </c>
      <c r="AC483" s="20">
        <f t="shared" si="94"/>
        <v>6.67768595041322</v>
      </c>
      <c r="AD483" s="2" t="s">
        <v>49</v>
      </c>
      <c r="AE483" s="2">
        <v>188</v>
      </c>
      <c r="AF483" s="21">
        <f t="shared" si="101"/>
        <v>6.67768595041322</v>
      </c>
      <c r="AG483" s="4">
        <f t="shared" si="102"/>
        <v>6.41322314049587</v>
      </c>
      <c r="AH483" s="4">
        <f t="shared" si="103"/>
        <v>0.264462809917355</v>
      </c>
    </row>
    <row r="484" spans="1:34">
      <c r="A484" s="2">
        <v>20260303</v>
      </c>
      <c r="B484" s="2" t="s">
        <v>1011</v>
      </c>
      <c r="C484" s="2" t="s">
        <v>1012</v>
      </c>
      <c r="D484" s="2">
        <v>2</v>
      </c>
      <c r="E484" s="2">
        <v>0</v>
      </c>
      <c r="F484" s="2">
        <v>11</v>
      </c>
      <c r="G484" s="2">
        <v>1</v>
      </c>
      <c r="H484" s="2">
        <v>5</v>
      </c>
      <c r="I484" s="3">
        <v>9</v>
      </c>
      <c r="J484" s="2">
        <v>7</v>
      </c>
      <c r="K484" s="2">
        <v>2</v>
      </c>
      <c r="L484" s="2">
        <v>0</v>
      </c>
      <c r="M484" s="2">
        <v>8</v>
      </c>
      <c r="N484" s="2">
        <v>14</v>
      </c>
      <c r="O484" s="2">
        <v>20</v>
      </c>
      <c r="P484" s="3">
        <v>6</v>
      </c>
      <c r="Q484" s="2">
        <v>8</v>
      </c>
      <c r="R484" s="2">
        <v>0</v>
      </c>
      <c r="S484" s="2">
        <v>1</v>
      </c>
      <c r="T484" s="2">
        <v>1</v>
      </c>
      <c r="U484" s="2">
        <v>0</v>
      </c>
      <c r="V484" s="2">
        <f t="shared" si="100"/>
        <v>27</v>
      </c>
      <c r="W484" s="2">
        <v>5</v>
      </c>
      <c r="X484" s="2">
        <v>7</v>
      </c>
      <c r="Y484" s="2">
        <v>0</v>
      </c>
      <c r="Z484" s="2">
        <f t="shared" si="98"/>
        <v>12</v>
      </c>
      <c r="AA484" s="2">
        <f t="shared" si="99"/>
        <v>39</v>
      </c>
      <c r="AB484" s="2">
        <v>2186</v>
      </c>
      <c r="AC484" s="20">
        <f t="shared" ref="AC484:AC490" si="104">AA484/AB484*100</f>
        <v>1.78408051235133</v>
      </c>
      <c r="AD484" s="2" t="s">
        <v>49</v>
      </c>
      <c r="AE484" s="2">
        <v>188</v>
      </c>
      <c r="AF484" s="21">
        <f t="shared" si="101"/>
        <v>1.78408051235133</v>
      </c>
      <c r="AG484" s="4">
        <f t="shared" si="102"/>
        <v>1.23513266239707</v>
      </c>
      <c r="AH484" s="4">
        <f t="shared" si="103"/>
        <v>0.548947849954254</v>
      </c>
    </row>
    <row r="485" spans="1:34">
      <c r="A485" s="2">
        <v>20260303</v>
      </c>
      <c r="B485" s="2" t="s">
        <v>1013</v>
      </c>
      <c r="C485" s="2" t="s">
        <v>1014</v>
      </c>
      <c r="D485" s="2">
        <v>2</v>
      </c>
      <c r="E485" s="2">
        <v>31</v>
      </c>
      <c r="F485" s="2">
        <v>8</v>
      </c>
      <c r="G485" s="2">
        <v>59</v>
      </c>
      <c r="H485" s="2">
        <v>22</v>
      </c>
      <c r="I485" s="3">
        <v>14</v>
      </c>
      <c r="J485" s="2">
        <v>50</v>
      </c>
      <c r="K485" s="2">
        <v>1</v>
      </c>
      <c r="L485" s="2">
        <v>1</v>
      </c>
      <c r="M485" s="2">
        <v>28</v>
      </c>
      <c r="N485" s="2">
        <v>28</v>
      </c>
      <c r="O485" s="2">
        <v>8</v>
      </c>
      <c r="P485" s="3">
        <v>16</v>
      </c>
      <c r="Q485" s="2">
        <v>7</v>
      </c>
      <c r="R485" s="2">
        <v>28</v>
      </c>
      <c r="S485" s="2">
        <v>23</v>
      </c>
      <c r="T485" s="2">
        <v>21</v>
      </c>
      <c r="U485" s="2">
        <v>1</v>
      </c>
      <c r="V485" s="2">
        <f t="shared" si="100"/>
        <v>206</v>
      </c>
      <c r="W485" s="2">
        <v>0</v>
      </c>
      <c r="X485" s="2">
        <v>6</v>
      </c>
      <c r="Y485" s="2">
        <v>0</v>
      </c>
      <c r="Z485" s="2">
        <f t="shared" si="98"/>
        <v>7</v>
      </c>
      <c r="AA485" s="2">
        <f t="shared" ref="AA485:AA491" si="105">G485+H485+I485+J485+K485+L485+M485+P485+T485+U485</f>
        <v>213</v>
      </c>
      <c r="AB485" s="2">
        <v>2505</v>
      </c>
      <c r="AC485" s="20">
        <f t="shared" si="104"/>
        <v>8.50299401197605</v>
      </c>
      <c r="AD485" s="2" t="s">
        <v>49</v>
      </c>
      <c r="AE485" s="2">
        <v>188</v>
      </c>
      <c r="AF485" s="21">
        <f t="shared" si="101"/>
        <v>8.50299401197605</v>
      </c>
      <c r="AG485" s="4">
        <f t="shared" si="102"/>
        <v>8.22355289421158</v>
      </c>
      <c r="AH485" s="4">
        <f t="shared" si="103"/>
        <v>0.279441117764471</v>
      </c>
    </row>
    <row r="486" spans="1:34">
      <c r="A486" s="2">
        <v>20260303</v>
      </c>
      <c r="B486" s="2" t="s">
        <v>1015</v>
      </c>
      <c r="C486" s="2" t="s">
        <v>1016</v>
      </c>
      <c r="D486" s="2">
        <v>0</v>
      </c>
      <c r="E486" s="2">
        <v>4</v>
      </c>
      <c r="F486" s="2">
        <v>5</v>
      </c>
      <c r="G486" s="2">
        <v>0</v>
      </c>
      <c r="H486" s="2">
        <v>1</v>
      </c>
      <c r="I486" s="3">
        <v>13</v>
      </c>
      <c r="J486" s="2">
        <v>5</v>
      </c>
      <c r="K486" s="2">
        <v>1</v>
      </c>
      <c r="L486" s="2">
        <v>0</v>
      </c>
      <c r="M486" s="2">
        <v>4</v>
      </c>
      <c r="N486" s="2">
        <v>4</v>
      </c>
      <c r="O486" s="2">
        <v>11</v>
      </c>
      <c r="P486" s="3">
        <v>12</v>
      </c>
      <c r="Q486" s="2">
        <v>6</v>
      </c>
      <c r="R486" s="2">
        <v>6</v>
      </c>
      <c r="S486" s="2">
        <v>0</v>
      </c>
      <c r="T486" s="2">
        <v>2</v>
      </c>
      <c r="U486" s="2">
        <v>0</v>
      </c>
      <c r="V486" s="2">
        <f t="shared" si="100"/>
        <v>31</v>
      </c>
      <c r="W486" s="2">
        <v>0</v>
      </c>
      <c r="X486" s="2">
        <v>7</v>
      </c>
      <c r="Y486" s="2">
        <v>0</v>
      </c>
      <c r="Z486" s="2">
        <f t="shared" si="98"/>
        <v>7</v>
      </c>
      <c r="AA486" s="2">
        <f t="shared" si="105"/>
        <v>38</v>
      </c>
      <c r="AB486" s="2">
        <v>2077</v>
      </c>
      <c r="AC486" s="20">
        <f t="shared" si="104"/>
        <v>1.82956186807896</v>
      </c>
      <c r="AD486" s="2" t="s">
        <v>58</v>
      </c>
      <c r="AE486" s="2">
        <v>188</v>
      </c>
      <c r="AF486" s="21">
        <f t="shared" si="101"/>
        <v>1.82956186807896</v>
      </c>
      <c r="AG486" s="4">
        <f t="shared" si="102"/>
        <v>1.49253731343284</v>
      </c>
      <c r="AH486" s="4">
        <f t="shared" si="103"/>
        <v>0.337024554646124</v>
      </c>
    </row>
    <row r="487" spans="1:34">
      <c r="A487" s="2">
        <v>20260303</v>
      </c>
      <c r="B487" s="2" t="s">
        <v>1017</v>
      </c>
      <c r="C487" s="2" t="s">
        <v>1018</v>
      </c>
      <c r="D487" s="2">
        <v>2</v>
      </c>
      <c r="E487" s="2">
        <v>5</v>
      </c>
      <c r="F487" s="2">
        <v>3</v>
      </c>
      <c r="G487" s="2">
        <v>5</v>
      </c>
      <c r="H487" s="2">
        <v>0</v>
      </c>
      <c r="I487" s="3">
        <v>15</v>
      </c>
      <c r="J487" s="2">
        <v>10</v>
      </c>
      <c r="K487" s="2">
        <v>2</v>
      </c>
      <c r="L487" s="2">
        <v>1</v>
      </c>
      <c r="M487" s="2">
        <v>4</v>
      </c>
      <c r="N487" s="2">
        <v>18</v>
      </c>
      <c r="O487" s="2">
        <v>5</v>
      </c>
      <c r="P487" s="3">
        <v>7</v>
      </c>
      <c r="Q487" s="2">
        <v>4</v>
      </c>
      <c r="R487" s="2">
        <v>92</v>
      </c>
      <c r="S487" s="2">
        <v>1</v>
      </c>
      <c r="T487" s="2">
        <v>0</v>
      </c>
      <c r="U487" s="2">
        <v>1</v>
      </c>
      <c r="V487" s="2">
        <f t="shared" ref="V487:V503" si="106">AA487-Y487-X487-W487-U487</f>
        <v>35</v>
      </c>
      <c r="W487" s="2">
        <v>3</v>
      </c>
      <c r="X487" s="2">
        <v>6</v>
      </c>
      <c r="Y487" s="2">
        <v>0</v>
      </c>
      <c r="Z487" s="2">
        <f t="shared" ref="Z487:Z492" si="107">Y487+X487+W487+U487</f>
        <v>10</v>
      </c>
      <c r="AA487" s="2">
        <f t="shared" si="105"/>
        <v>45</v>
      </c>
      <c r="AB487" s="2">
        <v>2077</v>
      </c>
      <c r="AC487" s="20">
        <f t="shared" si="104"/>
        <v>2.16658642272508</v>
      </c>
      <c r="AD487" s="2" t="s">
        <v>58</v>
      </c>
      <c r="AE487" s="2">
        <v>188</v>
      </c>
      <c r="AF487" s="21">
        <f t="shared" si="101"/>
        <v>2.16658642272508</v>
      </c>
      <c r="AG487" s="4">
        <f t="shared" si="102"/>
        <v>1.68512277323062</v>
      </c>
      <c r="AH487" s="4">
        <f t="shared" si="103"/>
        <v>0.481463649494463</v>
      </c>
    </row>
    <row r="488" spans="1:34">
      <c r="A488" s="2">
        <v>20260304</v>
      </c>
      <c r="B488" s="2" t="s">
        <v>1019</v>
      </c>
      <c r="C488" s="2" t="s">
        <v>1020</v>
      </c>
      <c r="D488" s="2">
        <v>1</v>
      </c>
      <c r="E488" s="2">
        <v>5</v>
      </c>
      <c r="F488" s="2">
        <v>9</v>
      </c>
      <c r="G488" s="2">
        <v>3</v>
      </c>
      <c r="H488" s="2">
        <v>6</v>
      </c>
      <c r="I488" s="3">
        <v>7</v>
      </c>
      <c r="J488" s="2">
        <v>8</v>
      </c>
      <c r="K488" s="2">
        <v>2</v>
      </c>
      <c r="L488" s="2">
        <v>0</v>
      </c>
      <c r="M488" s="2">
        <v>4</v>
      </c>
      <c r="N488" s="2">
        <v>3</v>
      </c>
      <c r="O488" s="2">
        <v>10</v>
      </c>
      <c r="P488" s="3">
        <v>7</v>
      </c>
      <c r="Q488" s="2">
        <v>6</v>
      </c>
      <c r="R488" s="2">
        <v>102</v>
      </c>
      <c r="S488" s="2">
        <v>0</v>
      </c>
      <c r="T488" s="2">
        <v>0</v>
      </c>
      <c r="U488" s="2">
        <v>0</v>
      </c>
      <c r="V488" s="2">
        <f t="shared" si="106"/>
        <v>34</v>
      </c>
      <c r="W488" s="2">
        <v>1</v>
      </c>
      <c r="X488" s="2">
        <v>2</v>
      </c>
      <c r="Y488" s="2">
        <v>0</v>
      </c>
      <c r="Z488" s="2">
        <f t="shared" si="107"/>
        <v>3</v>
      </c>
      <c r="AA488" s="2">
        <f t="shared" si="105"/>
        <v>37</v>
      </c>
      <c r="AB488" s="2">
        <v>2482</v>
      </c>
      <c r="AC488" s="20">
        <f t="shared" si="104"/>
        <v>1.49073327961322</v>
      </c>
      <c r="AD488" s="2" t="s">
        <v>58</v>
      </c>
      <c r="AE488" s="2">
        <v>188</v>
      </c>
      <c r="AF488" s="21">
        <f t="shared" si="101"/>
        <v>1.49073327961322</v>
      </c>
      <c r="AG488" s="4">
        <f t="shared" si="102"/>
        <v>1.36986301369863</v>
      </c>
      <c r="AH488" s="4">
        <f t="shared" si="103"/>
        <v>0.120870265914585</v>
      </c>
    </row>
    <row r="489" spans="1:34">
      <c r="A489" s="2">
        <v>20260304</v>
      </c>
      <c r="B489" s="2" t="s">
        <v>1021</v>
      </c>
      <c r="C489" s="2" t="s">
        <v>1022</v>
      </c>
      <c r="D489" s="2">
        <v>9</v>
      </c>
      <c r="E489" s="2">
        <v>9</v>
      </c>
      <c r="F489" s="2">
        <v>39</v>
      </c>
      <c r="G489" s="2">
        <v>3</v>
      </c>
      <c r="H489" s="2">
        <v>9</v>
      </c>
      <c r="I489" s="3">
        <v>28</v>
      </c>
      <c r="J489" s="2">
        <v>18</v>
      </c>
      <c r="K489" s="2">
        <v>2</v>
      </c>
      <c r="L489" s="2">
        <v>1</v>
      </c>
      <c r="M489" s="2">
        <v>2</v>
      </c>
      <c r="N489" s="2">
        <v>45</v>
      </c>
      <c r="O489" s="2">
        <v>68</v>
      </c>
      <c r="P489" s="3">
        <v>10</v>
      </c>
      <c r="Q489" s="2">
        <v>12</v>
      </c>
      <c r="R489" s="2">
        <v>9</v>
      </c>
      <c r="S489" s="2">
        <v>1</v>
      </c>
      <c r="T489" s="2">
        <v>5</v>
      </c>
      <c r="U489" s="2">
        <v>1</v>
      </c>
      <c r="V489" s="2">
        <f t="shared" si="106"/>
        <v>72</v>
      </c>
      <c r="W489" s="2">
        <v>3</v>
      </c>
      <c r="X489" s="2">
        <v>3</v>
      </c>
      <c r="Y489" s="2">
        <v>0</v>
      </c>
      <c r="Z489" s="2">
        <f t="shared" si="107"/>
        <v>7</v>
      </c>
      <c r="AA489" s="2">
        <f t="shared" si="105"/>
        <v>79</v>
      </c>
      <c r="AB489" s="2">
        <v>2725</v>
      </c>
      <c r="AC489" s="20">
        <f t="shared" si="104"/>
        <v>2.89908256880734</v>
      </c>
      <c r="AD489" s="2" t="s">
        <v>58</v>
      </c>
      <c r="AE489" s="2">
        <v>188</v>
      </c>
      <c r="AF489" s="21">
        <f t="shared" si="101"/>
        <v>2.89908256880734</v>
      </c>
      <c r="AG489" s="4">
        <f t="shared" si="102"/>
        <v>2.64220183486239</v>
      </c>
      <c r="AH489" s="4">
        <f t="shared" si="103"/>
        <v>0.256880733944954</v>
      </c>
    </row>
    <row r="490" spans="1:34">
      <c r="A490" s="2">
        <v>20260304</v>
      </c>
      <c r="B490" s="2" t="s">
        <v>1023</v>
      </c>
      <c r="C490" s="2" t="s">
        <v>1024</v>
      </c>
      <c r="D490" s="2">
        <v>9</v>
      </c>
      <c r="E490" s="2">
        <v>2</v>
      </c>
      <c r="F490" s="2">
        <v>13</v>
      </c>
      <c r="G490" s="2">
        <v>0</v>
      </c>
      <c r="H490" s="2">
        <v>3</v>
      </c>
      <c r="I490" s="3">
        <v>24</v>
      </c>
      <c r="J490" s="2">
        <v>11</v>
      </c>
      <c r="K490" s="2">
        <v>7</v>
      </c>
      <c r="L490" s="2">
        <v>0</v>
      </c>
      <c r="M490" s="2">
        <v>5</v>
      </c>
      <c r="N490" s="2">
        <v>30</v>
      </c>
      <c r="O490" s="2">
        <v>49</v>
      </c>
      <c r="P490" s="3">
        <v>14</v>
      </c>
      <c r="Q490" s="2">
        <v>16</v>
      </c>
      <c r="R490" s="2">
        <v>2</v>
      </c>
      <c r="S490" s="2">
        <v>0</v>
      </c>
      <c r="T490" s="2">
        <v>11</v>
      </c>
      <c r="U490" s="2">
        <v>0</v>
      </c>
      <c r="V490" s="2">
        <f t="shared" si="106"/>
        <v>64</v>
      </c>
      <c r="W490" s="2">
        <v>5</v>
      </c>
      <c r="X490" s="2">
        <v>6</v>
      </c>
      <c r="Y490" s="2">
        <v>0</v>
      </c>
      <c r="Z490" s="2">
        <f t="shared" si="107"/>
        <v>11</v>
      </c>
      <c r="AA490" s="2">
        <f t="shared" si="105"/>
        <v>75</v>
      </c>
      <c r="AB490" s="2">
        <v>2566</v>
      </c>
      <c r="AC490" s="20">
        <f t="shared" si="104"/>
        <v>2.9228371005456</v>
      </c>
      <c r="AD490" s="2" t="s">
        <v>49</v>
      </c>
      <c r="AE490" s="2">
        <v>188</v>
      </c>
      <c r="AF490" s="21">
        <f t="shared" si="101"/>
        <v>2.9228371005456</v>
      </c>
      <c r="AG490" s="4">
        <f t="shared" si="102"/>
        <v>2.49415432579891</v>
      </c>
      <c r="AH490" s="4">
        <f t="shared" si="103"/>
        <v>0.428682774746687</v>
      </c>
    </row>
    <row r="491" spans="1:34">
      <c r="A491" s="2">
        <v>20260304</v>
      </c>
      <c r="B491" s="2" t="s">
        <v>1025</v>
      </c>
      <c r="C491" s="2" t="s">
        <v>1026</v>
      </c>
      <c r="D491" s="2">
        <v>0</v>
      </c>
      <c r="E491" s="2">
        <v>6</v>
      </c>
      <c r="F491" s="2">
        <v>10</v>
      </c>
      <c r="G491" s="2">
        <v>4</v>
      </c>
      <c r="H491" s="2">
        <v>1</v>
      </c>
      <c r="I491" s="3">
        <v>13</v>
      </c>
      <c r="J491" s="2">
        <v>6</v>
      </c>
      <c r="K491" s="2">
        <v>0</v>
      </c>
      <c r="L491" s="2">
        <v>8</v>
      </c>
      <c r="M491" s="2">
        <v>12</v>
      </c>
      <c r="N491" s="2">
        <v>16</v>
      </c>
      <c r="O491" s="2">
        <v>2</v>
      </c>
      <c r="P491" s="3">
        <v>13</v>
      </c>
      <c r="Q491" s="2">
        <v>3</v>
      </c>
      <c r="R491" s="2">
        <v>1</v>
      </c>
      <c r="S491" s="2">
        <v>0</v>
      </c>
      <c r="T491" s="2">
        <v>0</v>
      </c>
      <c r="U491" s="2">
        <v>0</v>
      </c>
      <c r="V491" s="2">
        <f t="shared" si="106"/>
        <v>48</v>
      </c>
      <c r="W491" s="2">
        <v>5</v>
      </c>
      <c r="X491" s="2">
        <v>4</v>
      </c>
      <c r="Y491" s="2">
        <v>0</v>
      </c>
      <c r="Z491" s="2">
        <f t="shared" si="107"/>
        <v>9</v>
      </c>
      <c r="AA491" s="2">
        <f t="shared" si="105"/>
        <v>57</v>
      </c>
      <c r="AB491" s="2">
        <v>2455</v>
      </c>
      <c r="AC491" s="20">
        <f t="shared" ref="AC491:AC507" si="108">AA491/AB491*100</f>
        <v>2.32179226069246</v>
      </c>
      <c r="AD491" s="2" t="s">
        <v>49</v>
      </c>
      <c r="AE491" s="2">
        <v>188</v>
      </c>
      <c r="AF491" s="21">
        <f t="shared" ref="AF491:AF507" si="109">188/AE491*AC491</f>
        <v>2.32179226069246</v>
      </c>
      <c r="AG491" s="4">
        <f t="shared" ref="AG491:AG507" si="110">V491/AB491*100</f>
        <v>1.95519348268839</v>
      </c>
      <c r="AH491" s="4">
        <f t="shared" ref="AH491:AH507" si="111">Z491/AB491*100</f>
        <v>0.366598778004073</v>
      </c>
    </row>
    <row r="492" spans="1:34">
      <c r="A492" s="2">
        <v>20260304</v>
      </c>
      <c r="B492" s="2" t="s">
        <v>1027</v>
      </c>
      <c r="C492" s="2" t="s">
        <v>1028</v>
      </c>
      <c r="D492" s="2">
        <v>3</v>
      </c>
      <c r="E492" s="2">
        <v>2</v>
      </c>
      <c r="F492" s="2">
        <v>10</v>
      </c>
      <c r="G492" s="2">
        <v>4</v>
      </c>
      <c r="H492" s="2">
        <v>3</v>
      </c>
      <c r="I492" s="3">
        <v>10</v>
      </c>
      <c r="J492" s="2">
        <v>10</v>
      </c>
      <c r="K492" s="2">
        <v>1</v>
      </c>
      <c r="L492" s="2">
        <v>0</v>
      </c>
      <c r="M492" s="2">
        <v>1</v>
      </c>
      <c r="N492" s="2">
        <v>8</v>
      </c>
      <c r="O492" s="2">
        <v>19</v>
      </c>
      <c r="P492" s="3">
        <v>2</v>
      </c>
      <c r="Q492" s="2">
        <v>18</v>
      </c>
      <c r="R492" s="2">
        <v>3</v>
      </c>
      <c r="S492" s="2">
        <v>2</v>
      </c>
      <c r="T492" s="2">
        <v>1</v>
      </c>
      <c r="U492" s="2">
        <v>1</v>
      </c>
      <c r="V492" s="2">
        <f t="shared" si="106"/>
        <v>19</v>
      </c>
      <c r="W492" s="2">
        <v>7</v>
      </c>
      <c r="X492" s="2">
        <v>6</v>
      </c>
      <c r="Y492" s="2">
        <v>0</v>
      </c>
      <c r="Z492" s="2">
        <f t="shared" si="107"/>
        <v>14</v>
      </c>
      <c r="AA492" s="2">
        <f t="shared" ref="AA492:AA499" si="112">G492+H492+I492+J492+K492+L492+M492+P492+T492+U492</f>
        <v>33</v>
      </c>
      <c r="AB492" s="2">
        <v>2176</v>
      </c>
      <c r="AC492" s="20">
        <f t="shared" si="108"/>
        <v>1.51654411764706</v>
      </c>
      <c r="AD492" s="2" t="s">
        <v>49</v>
      </c>
      <c r="AE492" s="2">
        <v>188</v>
      </c>
      <c r="AF492" s="21">
        <f t="shared" si="109"/>
        <v>1.51654411764706</v>
      </c>
      <c r="AG492" s="4">
        <f t="shared" si="110"/>
        <v>0.873161764705882</v>
      </c>
      <c r="AH492" s="4">
        <f t="shared" si="111"/>
        <v>0.643382352941176</v>
      </c>
    </row>
    <row r="493" spans="1:34">
      <c r="A493" s="2">
        <v>20260304</v>
      </c>
      <c r="B493" s="2" t="s">
        <v>1029</v>
      </c>
      <c r="C493" s="2" t="s">
        <v>1030</v>
      </c>
      <c r="D493" s="2">
        <v>4</v>
      </c>
      <c r="E493" s="2">
        <v>5</v>
      </c>
      <c r="F493" s="2">
        <v>11</v>
      </c>
      <c r="G493" s="2">
        <v>1</v>
      </c>
      <c r="H493" s="2">
        <v>7</v>
      </c>
      <c r="I493" s="3">
        <v>31</v>
      </c>
      <c r="J493" s="2">
        <v>16</v>
      </c>
      <c r="K493" s="2">
        <v>6</v>
      </c>
      <c r="L493" s="2">
        <v>0</v>
      </c>
      <c r="M493" s="2">
        <v>40</v>
      </c>
      <c r="N493" s="2">
        <v>31</v>
      </c>
      <c r="O493" s="2">
        <v>11</v>
      </c>
      <c r="P493" s="3">
        <v>28</v>
      </c>
      <c r="Q493" s="2">
        <v>8</v>
      </c>
      <c r="R493" s="2">
        <v>10</v>
      </c>
      <c r="S493" s="2">
        <v>2</v>
      </c>
      <c r="T493" s="2">
        <v>1</v>
      </c>
      <c r="U493" s="2">
        <v>0</v>
      </c>
      <c r="V493" s="2">
        <f t="shared" si="106"/>
        <v>112</v>
      </c>
      <c r="W493" s="2">
        <v>4</v>
      </c>
      <c r="X493" s="2">
        <v>14</v>
      </c>
      <c r="Y493" s="2">
        <v>0</v>
      </c>
      <c r="Z493" s="2">
        <f t="shared" ref="Z493:Z501" si="113">Y493+X493+W493+U493</f>
        <v>18</v>
      </c>
      <c r="AA493" s="2">
        <f t="shared" si="112"/>
        <v>130</v>
      </c>
      <c r="AB493" s="2">
        <v>2525</v>
      </c>
      <c r="AC493" s="20">
        <f t="shared" si="108"/>
        <v>5.14851485148515</v>
      </c>
      <c r="AD493" s="2" t="s">
        <v>49</v>
      </c>
      <c r="AE493" s="2">
        <v>188</v>
      </c>
      <c r="AF493" s="21">
        <f t="shared" si="109"/>
        <v>5.14851485148515</v>
      </c>
      <c r="AG493" s="4">
        <f t="shared" si="110"/>
        <v>4.43564356435644</v>
      </c>
      <c r="AH493" s="4">
        <f t="shared" si="111"/>
        <v>0.712871287128713</v>
      </c>
    </row>
    <row r="494" spans="1:34">
      <c r="A494" s="2">
        <v>20260304</v>
      </c>
      <c r="B494" s="2" t="s">
        <v>1031</v>
      </c>
      <c r="C494" s="2" t="s">
        <v>1032</v>
      </c>
      <c r="D494" s="2">
        <v>2</v>
      </c>
      <c r="E494" s="2">
        <v>3</v>
      </c>
      <c r="F494" s="2">
        <v>4</v>
      </c>
      <c r="G494" s="2">
        <v>0</v>
      </c>
      <c r="H494" s="2">
        <v>5</v>
      </c>
      <c r="I494" s="3">
        <v>22</v>
      </c>
      <c r="J494" s="2">
        <v>5</v>
      </c>
      <c r="K494" s="2">
        <v>5</v>
      </c>
      <c r="L494" s="2">
        <v>0</v>
      </c>
      <c r="M494" s="2">
        <v>5</v>
      </c>
      <c r="N494" s="2">
        <v>13</v>
      </c>
      <c r="O494" s="2">
        <v>15</v>
      </c>
      <c r="P494" s="3">
        <v>3</v>
      </c>
      <c r="Q494" s="2">
        <v>9</v>
      </c>
      <c r="R494" s="2">
        <v>1</v>
      </c>
      <c r="S494" s="2">
        <v>0</v>
      </c>
      <c r="T494" s="2">
        <v>2</v>
      </c>
      <c r="U494" s="2">
        <v>0</v>
      </c>
      <c r="V494" s="2">
        <f t="shared" si="106"/>
        <v>31</v>
      </c>
      <c r="W494" s="2">
        <v>1</v>
      </c>
      <c r="X494" s="2">
        <v>15</v>
      </c>
      <c r="Y494" s="2">
        <v>0</v>
      </c>
      <c r="Z494" s="2">
        <f t="shared" si="113"/>
        <v>16</v>
      </c>
      <c r="AA494" s="2">
        <f t="shared" si="112"/>
        <v>47</v>
      </c>
      <c r="AB494" s="2">
        <v>2356</v>
      </c>
      <c r="AC494" s="20">
        <f t="shared" si="108"/>
        <v>1.99490662139219</v>
      </c>
      <c r="AD494" s="2" t="s">
        <v>49</v>
      </c>
      <c r="AE494" s="2">
        <v>188</v>
      </c>
      <c r="AF494" s="21">
        <f t="shared" si="109"/>
        <v>1.99490662139219</v>
      </c>
      <c r="AG494" s="4">
        <f t="shared" si="110"/>
        <v>1.31578947368421</v>
      </c>
      <c r="AH494" s="4">
        <f t="shared" si="111"/>
        <v>0.67911714770798</v>
      </c>
    </row>
    <row r="495" spans="1:34">
      <c r="A495" s="2">
        <v>20260304</v>
      </c>
      <c r="B495" s="2" t="s">
        <v>1033</v>
      </c>
      <c r="C495" s="2" t="s">
        <v>1034</v>
      </c>
      <c r="D495" s="2">
        <v>2</v>
      </c>
      <c r="E495" s="2">
        <v>0</v>
      </c>
      <c r="F495" s="2">
        <v>12</v>
      </c>
      <c r="G495" s="2">
        <v>2</v>
      </c>
      <c r="H495" s="2">
        <v>5</v>
      </c>
      <c r="I495" s="3">
        <v>12</v>
      </c>
      <c r="J495" s="2">
        <v>9</v>
      </c>
      <c r="K495" s="2">
        <v>2</v>
      </c>
      <c r="L495" s="2">
        <v>0</v>
      </c>
      <c r="M495" s="2">
        <v>5</v>
      </c>
      <c r="N495" s="2">
        <v>47</v>
      </c>
      <c r="O495" s="2">
        <v>12</v>
      </c>
      <c r="P495" s="3">
        <v>4</v>
      </c>
      <c r="Q495" s="2">
        <v>10</v>
      </c>
      <c r="R495" s="2">
        <v>0</v>
      </c>
      <c r="S495" s="2">
        <v>0</v>
      </c>
      <c r="T495" s="2">
        <v>0</v>
      </c>
      <c r="U495" s="2">
        <v>2</v>
      </c>
      <c r="V495" s="2">
        <f t="shared" si="106"/>
        <v>33</v>
      </c>
      <c r="W495" s="2">
        <v>0</v>
      </c>
      <c r="X495" s="2">
        <v>6</v>
      </c>
      <c r="Y495" s="2">
        <v>0</v>
      </c>
      <c r="Z495" s="2">
        <f t="shared" si="113"/>
        <v>8</v>
      </c>
      <c r="AA495" s="2">
        <f t="shared" si="112"/>
        <v>41</v>
      </c>
      <c r="AB495" s="2">
        <v>2126</v>
      </c>
      <c r="AC495" s="20">
        <f t="shared" si="108"/>
        <v>1.92850423330198</v>
      </c>
      <c r="AD495" s="2" t="s">
        <v>49</v>
      </c>
      <c r="AE495" s="2">
        <v>188</v>
      </c>
      <c r="AF495" s="21">
        <f t="shared" si="109"/>
        <v>1.92850423330198</v>
      </c>
      <c r="AG495" s="4">
        <f t="shared" si="110"/>
        <v>1.552210724365</v>
      </c>
      <c r="AH495" s="4">
        <f t="shared" si="111"/>
        <v>0.376293508936971</v>
      </c>
    </row>
    <row r="496" spans="1:34">
      <c r="A496" s="2">
        <v>20260304</v>
      </c>
      <c r="B496" s="2" t="s">
        <v>1035</v>
      </c>
      <c r="C496" s="2" t="s">
        <v>1036</v>
      </c>
      <c r="D496" s="2">
        <v>0</v>
      </c>
      <c r="E496" s="2">
        <v>0</v>
      </c>
      <c r="F496" s="2">
        <v>6</v>
      </c>
      <c r="G496" s="2">
        <v>0</v>
      </c>
      <c r="H496" s="2">
        <v>1</v>
      </c>
      <c r="I496" s="3">
        <v>14</v>
      </c>
      <c r="J496" s="2">
        <v>7</v>
      </c>
      <c r="K496" s="2">
        <v>1</v>
      </c>
      <c r="L496" s="2">
        <v>0</v>
      </c>
      <c r="M496" s="2">
        <v>7</v>
      </c>
      <c r="N496" s="2">
        <v>12</v>
      </c>
      <c r="O496" s="2">
        <v>20</v>
      </c>
      <c r="P496" s="3">
        <v>6</v>
      </c>
      <c r="Q496" s="2">
        <v>7</v>
      </c>
      <c r="R496" s="2">
        <v>5</v>
      </c>
      <c r="S496" s="2">
        <v>0</v>
      </c>
      <c r="T496" s="2">
        <v>1</v>
      </c>
      <c r="U496" s="2">
        <v>1</v>
      </c>
      <c r="V496" s="2">
        <f t="shared" si="106"/>
        <v>31</v>
      </c>
      <c r="W496" s="2">
        <v>6</v>
      </c>
      <c r="X496" s="2">
        <v>0</v>
      </c>
      <c r="Y496" s="2">
        <v>0</v>
      </c>
      <c r="Z496" s="2">
        <f t="shared" si="113"/>
        <v>7</v>
      </c>
      <c r="AA496" s="2">
        <f t="shared" si="112"/>
        <v>38</v>
      </c>
      <c r="AB496" s="2">
        <v>2476</v>
      </c>
      <c r="AC496" s="20">
        <f t="shared" si="108"/>
        <v>1.53473344103393</v>
      </c>
      <c r="AD496" s="2" t="s">
        <v>49</v>
      </c>
      <c r="AE496" s="2">
        <v>188</v>
      </c>
      <c r="AF496" s="21">
        <f t="shared" si="109"/>
        <v>1.53473344103393</v>
      </c>
      <c r="AG496" s="4">
        <f t="shared" si="110"/>
        <v>1.25201938610662</v>
      </c>
      <c r="AH496" s="4">
        <f t="shared" si="111"/>
        <v>0.282714054927302</v>
      </c>
    </row>
    <row r="497" spans="1:34">
      <c r="A497" s="2">
        <v>20260304</v>
      </c>
      <c r="B497" s="2" t="s">
        <v>1037</v>
      </c>
      <c r="C497" s="2" t="s">
        <v>1038</v>
      </c>
      <c r="D497" s="2">
        <v>7</v>
      </c>
      <c r="E497" s="2">
        <v>2</v>
      </c>
      <c r="F497" s="2">
        <v>48</v>
      </c>
      <c r="G497" s="2">
        <v>4</v>
      </c>
      <c r="H497" s="2">
        <v>2</v>
      </c>
      <c r="I497" s="3">
        <v>12</v>
      </c>
      <c r="J497" s="2">
        <v>9</v>
      </c>
      <c r="K497" s="2">
        <v>5</v>
      </c>
      <c r="L497" s="2">
        <v>0</v>
      </c>
      <c r="M497" s="2">
        <v>13</v>
      </c>
      <c r="N497" s="2">
        <v>56</v>
      </c>
      <c r="O497" s="2">
        <v>61</v>
      </c>
      <c r="P497" s="3">
        <v>6</v>
      </c>
      <c r="Q497" s="2">
        <v>22</v>
      </c>
      <c r="R497" s="2">
        <v>2</v>
      </c>
      <c r="S497" s="2">
        <v>3</v>
      </c>
      <c r="T497" s="2">
        <v>2</v>
      </c>
      <c r="U497" s="2">
        <v>0</v>
      </c>
      <c r="V497" s="2">
        <f t="shared" si="106"/>
        <v>49</v>
      </c>
      <c r="W497" s="2">
        <v>2</v>
      </c>
      <c r="X497" s="2">
        <v>2</v>
      </c>
      <c r="Y497" s="2">
        <v>0</v>
      </c>
      <c r="Z497" s="2">
        <f t="shared" si="113"/>
        <v>4</v>
      </c>
      <c r="AA497" s="2">
        <f t="shared" si="112"/>
        <v>53</v>
      </c>
      <c r="AB497" s="2">
        <v>2176</v>
      </c>
      <c r="AC497" s="20">
        <f t="shared" si="108"/>
        <v>2.43566176470588</v>
      </c>
      <c r="AD497" s="2" t="s">
        <v>49</v>
      </c>
      <c r="AE497" s="2">
        <v>188</v>
      </c>
      <c r="AF497" s="21">
        <f t="shared" si="109"/>
        <v>2.43566176470588</v>
      </c>
      <c r="AG497" s="4">
        <f t="shared" si="110"/>
        <v>2.25183823529412</v>
      </c>
      <c r="AH497" s="4">
        <f t="shared" si="111"/>
        <v>0.183823529411765</v>
      </c>
    </row>
    <row r="498" spans="1:34">
      <c r="A498" s="2">
        <v>20260304</v>
      </c>
      <c r="B498" s="2" t="s">
        <v>1039</v>
      </c>
      <c r="C498" s="2" t="s">
        <v>1040</v>
      </c>
      <c r="D498" s="2">
        <v>4</v>
      </c>
      <c r="E498" s="2">
        <v>1</v>
      </c>
      <c r="F498" s="2">
        <v>24</v>
      </c>
      <c r="G498" s="2">
        <v>1</v>
      </c>
      <c r="H498" s="2">
        <v>3</v>
      </c>
      <c r="I498" s="3">
        <v>24</v>
      </c>
      <c r="J498" s="2">
        <v>15</v>
      </c>
      <c r="K498" s="2">
        <v>4</v>
      </c>
      <c r="L498" s="2">
        <v>1</v>
      </c>
      <c r="M498" s="2">
        <v>2</v>
      </c>
      <c r="N498" s="2">
        <v>42</v>
      </c>
      <c r="O498" s="2">
        <v>27</v>
      </c>
      <c r="P498" s="3">
        <v>3</v>
      </c>
      <c r="Q498" s="2">
        <v>17</v>
      </c>
      <c r="R498" s="2">
        <v>8</v>
      </c>
      <c r="S498" s="2">
        <v>2</v>
      </c>
      <c r="T498" s="2">
        <v>2</v>
      </c>
      <c r="U498" s="2">
        <v>0</v>
      </c>
      <c r="V498" s="2">
        <f t="shared" si="106"/>
        <v>50</v>
      </c>
      <c r="W498" s="2">
        <v>1</v>
      </c>
      <c r="X498" s="2">
        <v>4</v>
      </c>
      <c r="Y498" s="2">
        <v>0</v>
      </c>
      <c r="Z498" s="2">
        <f t="shared" ref="Z498:Z508" si="114">Y498+X498+W498+U498</f>
        <v>5</v>
      </c>
      <c r="AA498" s="2">
        <f t="shared" ref="AA498:AA508" si="115">G498+H498+I498+J498+K498+L498+M498+P498+T498+U498</f>
        <v>55</v>
      </c>
      <c r="AB498" s="2">
        <v>2525</v>
      </c>
      <c r="AC498" s="20">
        <f t="shared" si="108"/>
        <v>2.17821782178218</v>
      </c>
      <c r="AD498" s="2" t="s">
        <v>49</v>
      </c>
      <c r="AE498" s="2">
        <v>188</v>
      </c>
      <c r="AF498" s="21">
        <f t="shared" si="109"/>
        <v>2.17821782178218</v>
      </c>
      <c r="AG498" s="4">
        <f t="shared" si="110"/>
        <v>1.98019801980198</v>
      </c>
      <c r="AH498" s="4">
        <f t="shared" si="111"/>
        <v>0.198019801980198</v>
      </c>
    </row>
    <row r="499" spans="1:34">
      <c r="A499" s="2">
        <v>20260304</v>
      </c>
      <c r="B499" s="2" t="s">
        <v>1041</v>
      </c>
      <c r="C499" s="2" t="s">
        <v>1042</v>
      </c>
      <c r="D499" s="2">
        <v>1</v>
      </c>
      <c r="E499" s="2">
        <v>2</v>
      </c>
      <c r="F499" s="2">
        <v>1</v>
      </c>
      <c r="G499" s="2">
        <v>1</v>
      </c>
      <c r="H499" s="2">
        <v>1</v>
      </c>
      <c r="I499" s="3">
        <v>7</v>
      </c>
      <c r="J499" s="2">
        <v>13</v>
      </c>
      <c r="K499" s="2">
        <v>2</v>
      </c>
      <c r="L499" s="2">
        <v>0</v>
      </c>
      <c r="M499" s="2">
        <v>8</v>
      </c>
      <c r="N499" s="2">
        <v>18</v>
      </c>
      <c r="O499" s="2">
        <v>4</v>
      </c>
      <c r="P499" s="3">
        <v>4</v>
      </c>
      <c r="Q499" s="2">
        <v>6</v>
      </c>
      <c r="R499" s="2">
        <v>3</v>
      </c>
      <c r="S499" s="2">
        <v>1</v>
      </c>
      <c r="T499" s="2">
        <v>2</v>
      </c>
      <c r="U499" s="2">
        <v>0</v>
      </c>
      <c r="V499" s="2">
        <f t="shared" ref="V499:V509" si="116">AA499-Y499-X499-W499-U499</f>
        <v>33</v>
      </c>
      <c r="W499" s="2">
        <v>4</v>
      </c>
      <c r="X499" s="2">
        <v>1</v>
      </c>
      <c r="Y499" s="2">
        <v>0</v>
      </c>
      <c r="Z499" s="2">
        <f t="shared" si="114"/>
        <v>5</v>
      </c>
      <c r="AA499" s="2">
        <f t="shared" si="115"/>
        <v>38</v>
      </c>
      <c r="AB499" s="2">
        <v>2176</v>
      </c>
      <c r="AC499" s="20">
        <f t="shared" si="108"/>
        <v>1.74632352941176</v>
      </c>
      <c r="AD499" s="2" t="s">
        <v>49</v>
      </c>
      <c r="AE499" s="2">
        <v>188</v>
      </c>
      <c r="AF499" s="21">
        <f t="shared" si="109"/>
        <v>1.74632352941176</v>
      </c>
      <c r="AG499" s="4">
        <f t="shared" si="110"/>
        <v>1.51654411764706</v>
      </c>
      <c r="AH499" s="4">
        <f t="shared" si="111"/>
        <v>0.229779411764706</v>
      </c>
    </row>
    <row r="500" spans="1:34">
      <c r="A500" s="2">
        <v>20260304</v>
      </c>
      <c r="B500" s="2" t="s">
        <v>1043</v>
      </c>
      <c r="C500" s="2" t="s">
        <v>1044</v>
      </c>
      <c r="D500" s="2">
        <v>0</v>
      </c>
      <c r="E500" s="2">
        <v>61</v>
      </c>
      <c r="F500" s="2">
        <v>10</v>
      </c>
      <c r="G500" s="2">
        <v>1</v>
      </c>
      <c r="H500" s="2">
        <v>3</v>
      </c>
      <c r="I500" s="3">
        <v>8</v>
      </c>
      <c r="J500" s="2">
        <v>12</v>
      </c>
      <c r="K500" s="2">
        <v>0</v>
      </c>
      <c r="L500" s="2">
        <v>0</v>
      </c>
      <c r="M500" s="2">
        <v>3</v>
      </c>
      <c r="N500" s="2">
        <v>24</v>
      </c>
      <c r="O500" s="2">
        <v>20</v>
      </c>
      <c r="P500" s="3">
        <v>2</v>
      </c>
      <c r="Q500" s="2">
        <v>9</v>
      </c>
      <c r="R500" s="2">
        <v>158</v>
      </c>
      <c r="S500" s="2">
        <v>0</v>
      </c>
      <c r="T500" s="2">
        <v>0</v>
      </c>
      <c r="U500" s="2">
        <v>0</v>
      </c>
      <c r="V500" s="2">
        <f t="shared" si="116"/>
        <v>22</v>
      </c>
      <c r="W500" s="2">
        <v>2</v>
      </c>
      <c r="X500" s="2">
        <v>5</v>
      </c>
      <c r="Y500" s="2">
        <v>0</v>
      </c>
      <c r="Z500" s="2">
        <f t="shared" si="114"/>
        <v>7</v>
      </c>
      <c r="AA500" s="2">
        <f t="shared" si="115"/>
        <v>29</v>
      </c>
      <c r="AB500" s="2">
        <v>1058</v>
      </c>
      <c r="AC500" s="20">
        <f t="shared" si="108"/>
        <v>2.74102079395085</v>
      </c>
      <c r="AD500" s="2" t="s">
        <v>58</v>
      </c>
      <c r="AE500" s="2">
        <v>250</v>
      </c>
      <c r="AF500" s="21">
        <f t="shared" si="109"/>
        <v>2.06124763705104</v>
      </c>
      <c r="AG500" s="4">
        <f t="shared" si="110"/>
        <v>2.07939508506616</v>
      </c>
      <c r="AH500" s="4">
        <f t="shared" si="111"/>
        <v>0.661625708884688</v>
      </c>
    </row>
    <row r="501" spans="1:34">
      <c r="A501" s="2">
        <v>20260304</v>
      </c>
      <c r="B501" s="2" t="s">
        <v>1045</v>
      </c>
      <c r="C501" s="2" t="s">
        <v>1046</v>
      </c>
      <c r="D501" s="2">
        <v>4</v>
      </c>
      <c r="E501" s="2">
        <v>13</v>
      </c>
      <c r="F501" s="2">
        <v>17</v>
      </c>
      <c r="G501" s="2">
        <v>3</v>
      </c>
      <c r="H501" s="2">
        <v>0</v>
      </c>
      <c r="I501" s="3">
        <v>21</v>
      </c>
      <c r="J501" s="2">
        <v>10</v>
      </c>
      <c r="K501" s="2">
        <v>0</v>
      </c>
      <c r="L501" s="2">
        <v>0</v>
      </c>
      <c r="M501" s="2">
        <v>9</v>
      </c>
      <c r="N501" s="2">
        <v>10</v>
      </c>
      <c r="O501" s="2">
        <v>37</v>
      </c>
      <c r="P501" s="3">
        <v>5</v>
      </c>
      <c r="Q501" s="2">
        <v>9</v>
      </c>
      <c r="R501" s="2">
        <v>9</v>
      </c>
      <c r="S501" s="2">
        <v>0</v>
      </c>
      <c r="T501" s="2">
        <v>3</v>
      </c>
      <c r="U501" s="2">
        <v>0</v>
      </c>
      <c r="V501" s="2">
        <f t="shared" si="116"/>
        <v>42</v>
      </c>
      <c r="W501" s="2">
        <v>0</v>
      </c>
      <c r="X501" s="2">
        <v>9</v>
      </c>
      <c r="Y501" s="2">
        <v>0</v>
      </c>
      <c r="Z501" s="2">
        <f t="shared" si="114"/>
        <v>9</v>
      </c>
      <c r="AA501" s="2">
        <f t="shared" si="115"/>
        <v>51</v>
      </c>
      <c r="AB501" s="2">
        <v>2326</v>
      </c>
      <c r="AC501" s="20">
        <f t="shared" si="108"/>
        <v>2.19260533104041</v>
      </c>
      <c r="AD501" s="2" t="s">
        <v>58</v>
      </c>
      <c r="AE501" s="2">
        <v>250</v>
      </c>
      <c r="AF501" s="21">
        <f t="shared" si="109"/>
        <v>1.64883920894239</v>
      </c>
      <c r="AG501" s="4">
        <f t="shared" si="110"/>
        <v>1.80567497850387</v>
      </c>
      <c r="AH501" s="4">
        <f t="shared" si="111"/>
        <v>0.386930352536543</v>
      </c>
    </row>
    <row r="502" spans="1:34">
      <c r="A502" s="2">
        <v>20260304</v>
      </c>
      <c r="B502" s="2" t="s">
        <v>1047</v>
      </c>
      <c r="C502" s="2" t="s">
        <v>1048</v>
      </c>
      <c r="D502" s="2">
        <v>4</v>
      </c>
      <c r="E502" s="2">
        <v>11</v>
      </c>
      <c r="F502" s="2">
        <v>16</v>
      </c>
      <c r="G502" s="2">
        <v>1</v>
      </c>
      <c r="H502" s="2">
        <v>5</v>
      </c>
      <c r="I502" s="3">
        <v>7</v>
      </c>
      <c r="J502" s="2">
        <v>2</v>
      </c>
      <c r="K502" s="2">
        <v>2</v>
      </c>
      <c r="L502" s="2">
        <v>0</v>
      </c>
      <c r="M502" s="2">
        <v>2</v>
      </c>
      <c r="N502" s="2">
        <v>2</v>
      </c>
      <c r="O502" s="2">
        <v>12</v>
      </c>
      <c r="P502" s="3">
        <v>3</v>
      </c>
      <c r="Q502" s="2">
        <v>6</v>
      </c>
      <c r="R502" s="2">
        <v>4</v>
      </c>
      <c r="S502" s="2">
        <v>0</v>
      </c>
      <c r="T502" s="2">
        <v>0</v>
      </c>
      <c r="U502" s="2">
        <v>0</v>
      </c>
      <c r="V502" s="2">
        <f t="shared" si="116"/>
        <v>22</v>
      </c>
      <c r="W502" s="2">
        <v>0</v>
      </c>
      <c r="X502" s="2">
        <v>0</v>
      </c>
      <c r="Y502" s="2">
        <v>0</v>
      </c>
      <c r="Z502" s="2">
        <f t="shared" si="114"/>
        <v>0</v>
      </c>
      <c r="AA502" s="2">
        <f t="shared" si="115"/>
        <v>22</v>
      </c>
      <c r="AB502" s="2">
        <v>1406</v>
      </c>
      <c r="AC502" s="20">
        <f t="shared" si="108"/>
        <v>1.5647226173542</v>
      </c>
      <c r="AD502" s="2" t="s">
        <v>58</v>
      </c>
      <c r="AE502" s="2">
        <v>250</v>
      </c>
      <c r="AF502" s="21">
        <f t="shared" si="109"/>
        <v>1.17667140825036</v>
      </c>
      <c r="AG502" s="4">
        <f t="shared" si="110"/>
        <v>1.5647226173542</v>
      </c>
      <c r="AH502" s="4">
        <f t="shared" si="111"/>
        <v>0</v>
      </c>
    </row>
    <row r="503" spans="1:34">
      <c r="A503" s="2">
        <v>20260304</v>
      </c>
      <c r="B503" s="2" t="s">
        <v>1049</v>
      </c>
      <c r="C503" s="2" t="s">
        <v>1050</v>
      </c>
      <c r="D503" s="2">
        <v>0</v>
      </c>
      <c r="E503" s="2">
        <v>8</v>
      </c>
      <c r="F503" s="2">
        <v>11</v>
      </c>
      <c r="G503" s="2">
        <v>2</v>
      </c>
      <c r="H503" s="2">
        <v>3</v>
      </c>
      <c r="I503" s="3">
        <v>16</v>
      </c>
      <c r="J503" s="2">
        <v>3</v>
      </c>
      <c r="K503" s="2">
        <v>0</v>
      </c>
      <c r="L503" s="2">
        <v>0</v>
      </c>
      <c r="M503" s="2">
        <v>4</v>
      </c>
      <c r="N503" s="2">
        <v>4</v>
      </c>
      <c r="O503" s="2">
        <v>11</v>
      </c>
      <c r="P503" s="3">
        <v>5</v>
      </c>
      <c r="Q503" s="2">
        <v>10</v>
      </c>
      <c r="R503" s="2">
        <v>11</v>
      </c>
      <c r="S503" s="2">
        <v>1</v>
      </c>
      <c r="T503" s="2">
        <v>0</v>
      </c>
      <c r="U503" s="2">
        <v>1</v>
      </c>
      <c r="V503" s="2">
        <f t="shared" si="116"/>
        <v>29</v>
      </c>
      <c r="W503" s="2">
        <v>0</v>
      </c>
      <c r="X503" s="2">
        <v>4</v>
      </c>
      <c r="Y503" s="2">
        <v>0</v>
      </c>
      <c r="Z503" s="2">
        <f t="shared" si="114"/>
        <v>5</v>
      </c>
      <c r="AA503" s="2">
        <f t="shared" si="115"/>
        <v>34</v>
      </c>
      <c r="AB503" s="2">
        <v>1866</v>
      </c>
      <c r="AC503" s="20">
        <f t="shared" si="108"/>
        <v>1.82207931404073</v>
      </c>
      <c r="AD503" s="2" t="s">
        <v>58</v>
      </c>
      <c r="AE503" s="2">
        <v>250</v>
      </c>
      <c r="AF503" s="21">
        <f t="shared" si="109"/>
        <v>1.37020364415863</v>
      </c>
      <c r="AG503" s="4">
        <f t="shared" si="110"/>
        <v>1.55412647374062</v>
      </c>
      <c r="AH503" s="4">
        <f t="shared" si="111"/>
        <v>0.267952840300107</v>
      </c>
    </row>
    <row r="504" spans="1:34">
      <c r="A504" s="2">
        <v>20260304</v>
      </c>
      <c r="B504" s="2" t="s">
        <v>1051</v>
      </c>
      <c r="C504" s="2" t="s">
        <v>1052</v>
      </c>
      <c r="D504" s="2">
        <v>1</v>
      </c>
      <c r="E504" s="2">
        <v>23</v>
      </c>
      <c r="F504" s="2">
        <v>14</v>
      </c>
      <c r="G504" s="2">
        <v>2</v>
      </c>
      <c r="H504" s="2">
        <v>2</v>
      </c>
      <c r="I504" s="3">
        <v>27</v>
      </c>
      <c r="J504" s="2">
        <v>9</v>
      </c>
      <c r="K504" s="2">
        <v>2</v>
      </c>
      <c r="L504" s="2">
        <v>1</v>
      </c>
      <c r="M504" s="2">
        <v>6</v>
      </c>
      <c r="N504" s="2">
        <v>18</v>
      </c>
      <c r="O504" s="2">
        <v>10</v>
      </c>
      <c r="P504" s="3">
        <v>0</v>
      </c>
      <c r="Q504" s="2">
        <v>9</v>
      </c>
      <c r="R504" s="2">
        <v>2</v>
      </c>
      <c r="S504" s="2">
        <v>0</v>
      </c>
      <c r="T504" s="2">
        <v>1</v>
      </c>
      <c r="U504" s="2">
        <v>1</v>
      </c>
      <c r="V504" s="2">
        <f t="shared" si="116"/>
        <v>22</v>
      </c>
      <c r="W504" s="2">
        <v>10</v>
      </c>
      <c r="X504" s="2">
        <v>18</v>
      </c>
      <c r="Y504" s="2">
        <v>0</v>
      </c>
      <c r="Z504" s="2">
        <f t="shared" si="114"/>
        <v>29</v>
      </c>
      <c r="AA504" s="2">
        <f t="shared" si="115"/>
        <v>51</v>
      </c>
      <c r="AB504" s="2">
        <v>1666</v>
      </c>
      <c r="AC504" s="20">
        <f t="shared" si="108"/>
        <v>3.06122448979592</v>
      </c>
      <c r="AD504" s="2" t="s">
        <v>58</v>
      </c>
      <c r="AE504" s="2">
        <v>250</v>
      </c>
      <c r="AF504" s="21">
        <f t="shared" si="109"/>
        <v>2.30204081632653</v>
      </c>
      <c r="AG504" s="4">
        <f t="shared" si="110"/>
        <v>1.32052821128451</v>
      </c>
      <c r="AH504" s="4">
        <f t="shared" si="111"/>
        <v>1.7406962785114</v>
      </c>
    </row>
    <row r="505" spans="1:34">
      <c r="A505" s="2">
        <v>20260304</v>
      </c>
      <c r="B505" s="2" t="s">
        <v>1053</v>
      </c>
      <c r="C505" s="2" t="s">
        <v>1054</v>
      </c>
      <c r="D505" s="2">
        <v>0</v>
      </c>
      <c r="E505" s="2">
        <v>3</v>
      </c>
      <c r="F505" s="2">
        <v>16</v>
      </c>
      <c r="G505" s="2">
        <v>0</v>
      </c>
      <c r="H505" s="2">
        <v>3</v>
      </c>
      <c r="I505" s="3">
        <v>12</v>
      </c>
      <c r="J505" s="2">
        <v>5</v>
      </c>
      <c r="K505" s="2">
        <v>0</v>
      </c>
      <c r="L505" s="2">
        <v>0</v>
      </c>
      <c r="M505" s="2">
        <v>5</v>
      </c>
      <c r="N505" s="2">
        <v>12</v>
      </c>
      <c r="O505" s="2">
        <v>21</v>
      </c>
      <c r="P505" s="3">
        <v>4</v>
      </c>
      <c r="Q505" s="2">
        <v>10</v>
      </c>
      <c r="R505" s="2">
        <v>6</v>
      </c>
      <c r="S505" s="2">
        <v>0</v>
      </c>
      <c r="T505" s="2">
        <v>3</v>
      </c>
      <c r="U505" s="2">
        <v>0</v>
      </c>
      <c r="V505" s="2">
        <f t="shared" si="116"/>
        <v>19</v>
      </c>
      <c r="W505" s="2">
        <v>6</v>
      </c>
      <c r="X505" s="2">
        <v>7</v>
      </c>
      <c r="Y505" s="2">
        <v>0</v>
      </c>
      <c r="Z505" s="2">
        <f t="shared" si="114"/>
        <v>13</v>
      </c>
      <c r="AA505" s="2">
        <f t="shared" si="115"/>
        <v>32</v>
      </c>
      <c r="AB505" s="2">
        <v>1666</v>
      </c>
      <c r="AC505" s="20">
        <f t="shared" si="108"/>
        <v>1.92076830732293</v>
      </c>
      <c r="AD505" s="2" t="s">
        <v>58</v>
      </c>
      <c r="AE505" s="2">
        <v>250</v>
      </c>
      <c r="AF505" s="21">
        <f t="shared" si="109"/>
        <v>1.44441776710684</v>
      </c>
      <c r="AG505" s="4">
        <f t="shared" si="110"/>
        <v>1.14045618247299</v>
      </c>
      <c r="AH505" s="4">
        <f t="shared" si="111"/>
        <v>0.78031212484994</v>
      </c>
    </row>
    <row r="506" spans="1:34">
      <c r="A506" s="2">
        <v>20260305</v>
      </c>
      <c r="B506" s="2" t="s">
        <v>1055</v>
      </c>
      <c r="C506" s="2" t="s">
        <v>1056</v>
      </c>
      <c r="D506" s="2">
        <v>5</v>
      </c>
      <c r="E506" s="2">
        <v>8</v>
      </c>
      <c r="F506" s="2">
        <v>19</v>
      </c>
      <c r="G506" s="2">
        <v>2</v>
      </c>
      <c r="H506" s="2">
        <v>4</v>
      </c>
      <c r="I506" s="3">
        <v>63</v>
      </c>
      <c r="J506" s="2">
        <v>4</v>
      </c>
      <c r="K506" s="2">
        <v>4</v>
      </c>
      <c r="L506" s="2">
        <v>1</v>
      </c>
      <c r="M506" s="2">
        <v>14</v>
      </c>
      <c r="N506" s="2">
        <v>6</v>
      </c>
      <c r="O506" s="2">
        <v>65</v>
      </c>
      <c r="P506" s="3">
        <v>7</v>
      </c>
      <c r="Q506" s="2">
        <v>7</v>
      </c>
      <c r="R506" s="2">
        <v>7</v>
      </c>
      <c r="S506" s="2">
        <v>0</v>
      </c>
      <c r="T506" s="2">
        <v>2</v>
      </c>
      <c r="U506" s="2">
        <v>0</v>
      </c>
      <c r="V506" s="2">
        <f t="shared" si="116"/>
        <v>69</v>
      </c>
      <c r="W506" s="2">
        <v>3</v>
      </c>
      <c r="X506" s="2">
        <v>29</v>
      </c>
      <c r="Y506" s="2">
        <v>0</v>
      </c>
      <c r="Z506" s="2">
        <f t="shared" si="114"/>
        <v>32</v>
      </c>
      <c r="AA506" s="2">
        <f t="shared" si="115"/>
        <v>101</v>
      </c>
      <c r="AB506" s="2">
        <v>2586</v>
      </c>
      <c r="AC506" s="20">
        <f t="shared" si="108"/>
        <v>3.90564578499613</v>
      </c>
      <c r="AD506" s="2" t="s">
        <v>58</v>
      </c>
      <c r="AE506" s="2">
        <v>250</v>
      </c>
      <c r="AF506" s="21">
        <f t="shared" si="109"/>
        <v>2.93704563031709</v>
      </c>
      <c r="AG506" s="4">
        <f t="shared" si="110"/>
        <v>2.66821345707657</v>
      </c>
      <c r="AH506" s="4">
        <f t="shared" si="111"/>
        <v>1.23743232791957</v>
      </c>
    </row>
    <row r="507" spans="1:34">
      <c r="A507" s="2">
        <v>20260305</v>
      </c>
      <c r="B507" s="2" t="s">
        <v>1057</v>
      </c>
      <c r="C507" s="2" t="s">
        <v>1058</v>
      </c>
      <c r="D507" s="2">
        <v>5</v>
      </c>
      <c r="E507" s="2">
        <v>9</v>
      </c>
      <c r="F507" s="2">
        <v>23</v>
      </c>
      <c r="G507" s="2">
        <v>1</v>
      </c>
      <c r="H507" s="2">
        <v>3</v>
      </c>
      <c r="I507" s="3">
        <v>42</v>
      </c>
      <c r="J507" s="2">
        <v>10</v>
      </c>
      <c r="K507" s="2">
        <v>7</v>
      </c>
      <c r="L507" s="2">
        <v>0</v>
      </c>
      <c r="M507" s="2">
        <v>5</v>
      </c>
      <c r="N507" s="2">
        <v>12</v>
      </c>
      <c r="O507" s="2">
        <v>18</v>
      </c>
      <c r="P507" s="3">
        <v>6</v>
      </c>
      <c r="Q507" s="2">
        <v>16</v>
      </c>
      <c r="R507" s="2">
        <v>5</v>
      </c>
      <c r="S507" s="2">
        <v>4</v>
      </c>
      <c r="T507" s="2">
        <v>0</v>
      </c>
      <c r="U507" s="2">
        <v>0</v>
      </c>
      <c r="V507" s="2">
        <f t="shared" si="116"/>
        <v>57</v>
      </c>
      <c r="W507" s="2">
        <v>2</v>
      </c>
      <c r="X507" s="2">
        <v>15</v>
      </c>
      <c r="Y507" s="2">
        <v>0</v>
      </c>
      <c r="Z507" s="2">
        <f t="shared" si="114"/>
        <v>17</v>
      </c>
      <c r="AA507" s="2">
        <f t="shared" si="115"/>
        <v>74</v>
      </c>
      <c r="AB507" s="2">
        <v>2036</v>
      </c>
      <c r="AC507" s="20">
        <f t="shared" si="108"/>
        <v>3.63457760314342</v>
      </c>
      <c r="AD507" s="2" t="s">
        <v>58</v>
      </c>
      <c r="AE507" s="2">
        <v>250</v>
      </c>
      <c r="AF507" s="21">
        <f t="shared" si="109"/>
        <v>2.73320235756385</v>
      </c>
      <c r="AG507" s="4">
        <f t="shared" si="110"/>
        <v>2.79960707269155</v>
      </c>
      <c r="AH507" s="4">
        <f t="shared" si="111"/>
        <v>0.834970530451866</v>
      </c>
    </row>
    <row r="508" spans="1:34">
      <c r="A508" s="2">
        <v>20260305</v>
      </c>
      <c r="B508" s="2" t="s">
        <v>1059</v>
      </c>
      <c r="C508" s="2" t="s">
        <v>1060</v>
      </c>
      <c r="D508" s="2">
        <v>0</v>
      </c>
      <c r="E508" s="2">
        <v>3</v>
      </c>
      <c r="F508" s="2">
        <v>4</v>
      </c>
      <c r="G508" s="2">
        <v>0</v>
      </c>
      <c r="H508" s="2">
        <v>1</v>
      </c>
      <c r="I508" s="3">
        <v>20</v>
      </c>
      <c r="J508" s="2">
        <v>4</v>
      </c>
      <c r="K508" s="2">
        <v>0</v>
      </c>
      <c r="L508" s="2">
        <v>0</v>
      </c>
      <c r="M508" s="2">
        <v>2</v>
      </c>
      <c r="N508" s="2">
        <v>5</v>
      </c>
      <c r="O508" s="2">
        <v>13</v>
      </c>
      <c r="P508" s="3">
        <v>1</v>
      </c>
      <c r="Q508" s="2">
        <v>3</v>
      </c>
      <c r="R508" s="2">
        <v>4</v>
      </c>
      <c r="S508" s="2">
        <v>0</v>
      </c>
      <c r="T508" s="2">
        <v>0</v>
      </c>
      <c r="U508" s="2">
        <v>0</v>
      </c>
      <c r="V508" s="2">
        <f t="shared" ref="V508:V514" si="117">AA508-Y508-X508-W508-U508</f>
        <v>15</v>
      </c>
      <c r="W508" s="2">
        <v>4</v>
      </c>
      <c r="X508" s="2">
        <v>9</v>
      </c>
      <c r="Y508" s="2">
        <v>0</v>
      </c>
      <c r="Z508" s="2">
        <f t="shared" ref="Z508:Z517" si="118">Y508+X508+W508+U508</f>
        <v>13</v>
      </c>
      <c r="AA508" s="2">
        <f t="shared" ref="AA508:AA517" si="119">G508+H508+I508+J508+K508+L508+M508+P508+T508+U508</f>
        <v>28</v>
      </c>
      <c r="AB508" s="2">
        <v>1267</v>
      </c>
      <c r="AC508" s="20">
        <f t="shared" ref="AC508:AC521" si="120">AA508/AB508*100</f>
        <v>2.20994475138122</v>
      </c>
      <c r="AD508" s="2" t="s">
        <v>58</v>
      </c>
      <c r="AE508" s="2">
        <v>250</v>
      </c>
      <c r="AF508" s="21">
        <f t="shared" ref="AF508:AF521" si="121">188/AE508*AC508</f>
        <v>1.66187845303867</v>
      </c>
      <c r="AG508" s="4">
        <f t="shared" ref="AG508:AG521" si="122">V508/AB508*100</f>
        <v>1.18389897395422</v>
      </c>
      <c r="AH508" s="4">
        <f t="shared" ref="AH508:AH517" si="123">Z508/AB508*100</f>
        <v>1.02604577742699</v>
      </c>
    </row>
    <row r="509" spans="1:34">
      <c r="A509" s="2">
        <v>20260305</v>
      </c>
      <c r="B509" s="2" t="s">
        <v>1061</v>
      </c>
      <c r="C509" s="2" t="s">
        <v>1062</v>
      </c>
      <c r="D509" s="2">
        <v>5</v>
      </c>
      <c r="E509" s="2">
        <v>8</v>
      </c>
      <c r="F509" s="2">
        <v>25</v>
      </c>
      <c r="G509" s="2">
        <v>0</v>
      </c>
      <c r="H509" s="2">
        <v>1</v>
      </c>
      <c r="I509" s="3">
        <v>72</v>
      </c>
      <c r="J509" s="2">
        <v>10</v>
      </c>
      <c r="K509" s="2">
        <v>2</v>
      </c>
      <c r="L509" s="2">
        <v>0</v>
      </c>
      <c r="M509" s="2">
        <v>7</v>
      </c>
      <c r="N509" s="2">
        <v>4</v>
      </c>
      <c r="O509" s="2">
        <v>27</v>
      </c>
      <c r="P509" s="3">
        <v>3</v>
      </c>
      <c r="Q509" s="2">
        <v>6</v>
      </c>
      <c r="R509" s="2">
        <v>3</v>
      </c>
      <c r="S509" s="2">
        <v>0</v>
      </c>
      <c r="T509" s="2">
        <v>3</v>
      </c>
      <c r="U509" s="2">
        <v>0</v>
      </c>
      <c r="V509" s="2">
        <f t="shared" si="117"/>
        <v>78</v>
      </c>
      <c r="W509" s="2">
        <v>8</v>
      </c>
      <c r="X509" s="2">
        <v>12</v>
      </c>
      <c r="Y509" s="2">
        <v>0</v>
      </c>
      <c r="Z509" s="2">
        <f t="shared" si="118"/>
        <v>20</v>
      </c>
      <c r="AA509" s="2">
        <f t="shared" si="119"/>
        <v>98</v>
      </c>
      <c r="AB509" s="2">
        <v>2856</v>
      </c>
      <c r="AC509" s="20">
        <f t="shared" si="120"/>
        <v>3.43137254901961</v>
      </c>
      <c r="AD509" s="2" t="s">
        <v>58</v>
      </c>
      <c r="AE509" s="2">
        <v>250</v>
      </c>
      <c r="AF509" s="21">
        <f t="shared" si="121"/>
        <v>2.58039215686275</v>
      </c>
      <c r="AG509" s="4">
        <f t="shared" si="122"/>
        <v>2.73109243697479</v>
      </c>
      <c r="AH509" s="4">
        <f t="shared" si="123"/>
        <v>0.700280112044818</v>
      </c>
    </row>
    <row r="510" spans="1:34">
      <c r="A510" s="2">
        <v>20260305</v>
      </c>
      <c r="B510" s="2" t="s">
        <v>1063</v>
      </c>
      <c r="C510" s="2" t="s">
        <v>1064</v>
      </c>
      <c r="D510" s="2">
        <v>0</v>
      </c>
      <c r="E510" s="2">
        <v>1</v>
      </c>
      <c r="F510" s="2">
        <v>2</v>
      </c>
      <c r="G510" s="2">
        <v>0</v>
      </c>
      <c r="H510" s="2">
        <v>1</v>
      </c>
      <c r="I510" s="3">
        <v>7</v>
      </c>
      <c r="J510" s="2">
        <v>4</v>
      </c>
      <c r="K510" s="2">
        <v>1</v>
      </c>
      <c r="L510" s="2">
        <v>0</v>
      </c>
      <c r="M510" s="2">
        <v>1</v>
      </c>
      <c r="N510" s="2">
        <v>19</v>
      </c>
      <c r="O510" s="2">
        <v>2</v>
      </c>
      <c r="P510" s="3">
        <v>3</v>
      </c>
      <c r="Q510" s="2">
        <v>3</v>
      </c>
      <c r="R510" s="2">
        <v>122</v>
      </c>
      <c r="S510" s="2">
        <v>0</v>
      </c>
      <c r="T510" s="2">
        <v>0</v>
      </c>
      <c r="U510" s="2">
        <v>0</v>
      </c>
      <c r="V510" s="2">
        <f t="shared" si="117"/>
        <v>11</v>
      </c>
      <c r="W510" s="2">
        <v>1</v>
      </c>
      <c r="X510" s="2">
        <v>5</v>
      </c>
      <c r="Y510" s="2">
        <v>0</v>
      </c>
      <c r="Z510" s="2">
        <f t="shared" si="118"/>
        <v>6</v>
      </c>
      <c r="AA510" s="2">
        <f t="shared" si="119"/>
        <v>17</v>
      </c>
      <c r="AB510" s="2">
        <v>2117</v>
      </c>
      <c r="AC510" s="20">
        <f t="shared" si="120"/>
        <v>0.803023145961266</v>
      </c>
      <c r="AD510" s="2" t="s">
        <v>44</v>
      </c>
      <c r="AE510" s="2">
        <v>125</v>
      </c>
      <c r="AF510" s="21">
        <f t="shared" si="121"/>
        <v>1.20774681152574</v>
      </c>
      <c r="AG510" s="4">
        <f t="shared" si="122"/>
        <v>0.519603212092584</v>
      </c>
      <c r="AH510" s="4">
        <f t="shared" si="123"/>
        <v>0.283419933868682</v>
      </c>
    </row>
    <row r="511" spans="1:34">
      <c r="A511" s="2">
        <v>20260305</v>
      </c>
      <c r="B511" s="2" t="s">
        <v>1065</v>
      </c>
      <c r="C511" s="2" t="s">
        <v>1066</v>
      </c>
      <c r="D511" s="2">
        <v>0</v>
      </c>
      <c r="E511" s="2">
        <v>3</v>
      </c>
      <c r="F511" s="2">
        <v>3</v>
      </c>
      <c r="G511" s="2">
        <v>0</v>
      </c>
      <c r="H511" s="2">
        <v>0</v>
      </c>
      <c r="I511" s="3">
        <v>11</v>
      </c>
      <c r="J511" s="2">
        <v>1</v>
      </c>
      <c r="K511" s="2">
        <v>2</v>
      </c>
      <c r="L511" s="2">
        <v>0</v>
      </c>
      <c r="M511" s="2">
        <v>114</v>
      </c>
      <c r="N511" s="2">
        <v>1</v>
      </c>
      <c r="O511" s="2">
        <v>3</v>
      </c>
      <c r="P511" s="3">
        <v>5</v>
      </c>
      <c r="Q511" s="2">
        <v>0</v>
      </c>
      <c r="R511" s="2">
        <v>69</v>
      </c>
      <c r="S511" s="2">
        <v>2</v>
      </c>
      <c r="T511" s="2">
        <v>0</v>
      </c>
      <c r="U511" s="2">
        <v>0</v>
      </c>
      <c r="V511" s="2">
        <f t="shared" si="117"/>
        <v>125</v>
      </c>
      <c r="W511" s="2">
        <v>5</v>
      </c>
      <c r="X511" s="2">
        <v>3</v>
      </c>
      <c r="Y511" s="2">
        <v>0</v>
      </c>
      <c r="Z511" s="2">
        <f t="shared" si="118"/>
        <v>8</v>
      </c>
      <c r="AA511" s="2">
        <f t="shared" si="119"/>
        <v>133</v>
      </c>
      <c r="AB511" s="2">
        <v>2106</v>
      </c>
      <c r="AC511" s="20">
        <f t="shared" si="120"/>
        <v>6.31528964862298</v>
      </c>
      <c r="AD511" s="2" t="s">
        <v>44</v>
      </c>
      <c r="AE511" s="2">
        <v>125</v>
      </c>
      <c r="AF511" s="21">
        <f t="shared" si="121"/>
        <v>9.49819563152897</v>
      </c>
      <c r="AG511" s="4">
        <f t="shared" si="122"/>
        <v>5.93542260208927</v>
      </c>
      <c r="AH511" s="4">
        <f t="shared" si="123"/>
        <v>0.379867046533713</v>
      </c>
    </row>
    <row r="512" spans="1:34">
      <c r="A512" s="2">
        <v>20260305</v>
      </c>
      <c r="B512" s="2" t="s">
        <v>1067</v>
      </c>
      <c r="C512" s="2" t="s">
        <v>1068</v>
      </c>
      <c r="D512" s="2">
        <v>0</v>
      </c>
      <c r="E512" s="2">
        <v>5</v>
      </c>
      <c r="F512" s="2">
        <v>4</v>
      </c>
      <c r="G512" s="2">
        <v>0</v>
      </c>
      <c r="H512" s="2">
        <v>2</v>
      </c>
      <c r="I512" s="3">
        <v>11</v>
      </c>
      <c r="J512" s="2">
        <v>6</v>
      </c>
      <c r="K512" s="2">
        <v>1</v>
      </c>
      <c r="L512" s="2">
        <v>0</v>
      </c>
      <c r="M512" s="2">
        <v>0</v>
      </c>
      <c r="N512" s="2">
        <v>9</v>
      </c>
      <c r="O512" s="2">
        <v>1</v>
      </c>
      <c r="P512" s="3">
        <v>5</v>
      </c>
      <c r="Q512" s="2">
        <v>4</v>
      </c>
      <c r="R512" s="2">
        <v>190</v>
      </c>
      <c r="S512" s="2">
        <v>1</v>
      </c>
      <c r="T512" s="2">
        <v>1</v>
      </c>
      <c r="U512" s="2">
        <v>0</v>
      </c>
      <c r="V512" s="2">
        <f t="shared" si="117"/>
        <v>20</v>
      </c>
      <c r="W512" s="2">
        <v>0</v>
      </c>
      <c r="X512" s="2">
        <v>6</v>
      </c>
      <c r="Y512" s="2">
        <v>0</v>
      </c>
      <c r="Z512" s="2">
        <f t="shared" si="118"/>
        <v>6</v>
      </c>
      <c r="AA512" s="2">
        <f t="shared" si="119"/>
        <v>26</v>
      </c>
      <c r="AB512" s="2">
        <v>2416</v>
      </c>
      <c r="AC512" s="20">
        <f t="shared" si="120"/>
        <v>1.07615894039735</v>
      </c>
      <c r="AD512" s="2" t="s">
        <v>44</v>
      </c>
      <c r="AE512" s="2">
        <v>125</v>
      </c>
      <c r="AF512" s="21">
        <f t="shared" si="121"/>
        <v>1.61854304635762</v>
      </c>
      <c r="AG512" s="4">
        <f t="shared" si="122"/>
        <v>0.827814569536424</v>
      </c>
      <c r="AH512" s="4">
        <f t="shared" si="123"/>
        <v>0.248344370860927</v>
      </c>
    </row>
    <row r="513" spans="1:34">
      <c r="A513" s="2">
        <v>20260305</v>
      </c>
      <c r="B513" s="2" t="s">
        <v>1069</v>
      </c>
      <c r="C513" s="2" t="s">
        <v>1070</v>
      </c>
      <c r="D513" s="2">
        <v>2</v>
      </c>
      <c r="E513" s="2">
        <v>85</v>
      </c>
      <c r="F513" s="2">
        <v>6</v>
      </c>
      <c r="G513" s="2">
        <v>4</v>
      </c>
      <c r="H513" s="2">
        <v>9</v>
      </c>
      <c r="I513" s="3">
        <v>16</v>
      </c>
      <c r="J513" s="2">
        <v>29</v>
      </c>
      <c r="K513" s="2">
        <v>4</v>
      </c>
      <c r="L513" s="2">
        <v>0</v>
      </c>
      <c r="M513" s="2">
        <v>3</v>
      </c>
      <c r="N513" s="2">
        <v>32</v>
      </c>
      <c r="O513" s="2">
        <v>3</v>
      </c>
      <c r="P513" s="3">
        <v>2</v>
      </c>
      <c r="Q513" s="2">
        <v>13</v>
      </c>
      <c r="R513" s="2">
        <v>541</v>
      </c>
      <c r="S513" s="2">
        <v>1</v>
      </c>
      <c r="T513" s="2">
        <v>4</v>
      </c>
      <c r="U513" s="2">
        <v>0</v>
      </c>
      <c r="V513" s="2">
        <f t="shared" si="117"/>
        <v>63</v>
      </c>
      <c r="W513" s="2">
        <v>2</v>
      </c>
      <c r="X513" s="2">
        <v>6</v>
      </c>
      <c r="Y513" s="2">
        <v>0</v>
      </c>
      <c r="Z513" s="2">
        <f t="shared" si="118"/>
        <v>8</v>
      </c>
      <c r="AA513" s="2">
        <f t="shared" si="119"/>
        <v>71</v>
      </c>
      <c r="AB513" s="2">
        <v>2665</v>
      </c>
      <c r="AC513" s="20">
        <f t="shared" si="120"/>
        <v>2.66416510318949</v>
      </c>
      <c r="AD513" s="2" t="s">
        <v>44</v>
      </c>
      <c r="AE513" s="2">
        <v>125</v>
      </c>
      <c r="AF513" s="21">
        <f t="shared" si="121"/>
        <v>4.006904315197</v>
      </c>
      <c r="AG513" s="4">
        <f t="shared" si="122"/>
        <v>2.36397748592871</v>
      </c>
      <c r="AH513" s="4">
        <f t="shared" si="123"/>
        <v>0.300187617260788</v>
      </c>
    </row>
    <row r="514" spans="1:34">
      <c r="A514" s="2">
        <v>20260305</v>
      </c>
      <c r="B514" s="2" t="s">
        <v>1071</v>
      </c>
      <c r="C514" s="2" t="s">
        <v>1072</v>
      </c>
      <c r="D514" s="2">
        <v>0</v>
      </c>
      <c r="E514" s="2">
        <v>8</v>
      </c>
      <c r="F514" s="2">
        <v>6</v>
      </c>
      <c r="G514" s="2">
        <v>4</v>
      </c>
      <c r="H514" s="2">
        <v>6</v>
      </c>
      <c r="I514" s="3">
        <v>15</v>
      </c>
      <c r="J514" s="2">
        <v>9</v>
      </c>
      <c r="K514" s="2">
        <v>1</v>
      </c>
      <c r="L514" s="2">
        <v>1</v>
      </c>
      <c r="M514" s="2">
        <v>2</v>
      </c>
      <c r="N514" s="2">
        <v>15</v>
      </c>
      <c r="O514" s="2">
        <v>9</v>
      </c>
      <c r="P514" s="3">
        <v>3</v>
      </c>
      <c r="Q514" s="2">
        <v>10</v>
      </c>
      <c r="R514" s="2">
        <v>526</v>
      </c>
      <c r="S514" s="2">
        <v>6</v>
      </c>
      <c r="T514" s="2">
        <v>4</v>
      </c>
      <c r="U514" s="2">
        <v>1</v>
      </c>
      <c r="V514" s="2">
        <f t="shared" si="117"/>
        <v>41</v>
      </c>
      <c r="W514" s="2">
        <v>1</v>
      </c>
      <c r="X514" s="2">
        <v>3</v>
      </c>
      <c r="Y514" s="2">
        <v>0</v>
      </c>
      <c r="Z514" s="2">
        <f t="shared" si="118"/>
        <v>5</v>
      </c>
      <c r="AA514" s="2">
        <f t="shared" si="119"/>
        <v>46</v>
      </c>
      <c r="AB514" s="2">
        <v>2665</v>
      </c>
      <c r="AC514" s="20">
        <f t="shared" si="120"/>
        <v>1.72607879924953</v>
      </c>
      <c r="AD514" s="2" t="s">
        <v>44</v>
      </c>
      <c r="AE514" s="2">
        <v>125</v>
      </c>
      <c r="AF514" s="21">
        <f t="shared" si="121"/>
        <v>2.59602251407129</v>
      </c>
      <c r="AG514" s="4">
        <f t="shared" si="122"/>
        <v>1.53846153846154</v>
      </c>
      <c r="AH514" s="4">
        <f t="shared" si="123"/>
        <v>0.187617260787992</v>
      </c>
    </row>
    <row r="515" spans="1:34">
      <c r="A515" s="2">
        <v>20260305</v>
      </c>
      <c r="B515" s="2" t="s">
        <v>1073</v>
      </c>
      <c r="C515" s="2" t="s">
        <v>1074</v>
      </c>
      <c r="D515" s="2">
        <v>1</v>
      </c>
      <c r="E515" s="2">
        <v>4</v>
      </c>
      <c r="F515" s="2">
        <v>3</v>
      </c>
      <c r="G515" s="2">
        <v>4</v>
      </c>
      <c r="H515" s="2">
        <v>2</v>
      </c>
      <c r="I515" s="3">
        <v>5</v>
      </c>
      <c r="J515" s="2">
        <v>7</v>
      </c>
      <c r="K515" s="2">
        <v>0</v>
      </c>
      <c r="L515" s="2">
        <v>0</v>
      </c>
      <c r="M515" s="2">
        <v>3</v>
      </c>
      <c r="N515" s="2">
        <v>6</v>
      </c>
      <c r="O515" s="2">
        <v>2</v>
      </c>
      <c r="P515" s="3">
        <v>3</v>
      </c>
      <c r="Q515" s="2">
        <v>4</v>
      </c>
      <c r="R515" s="2">
        <v>523</v>
      </c>
      <c r="S515" s="2">
        <v>4</v>
      </c>
      <c r="T515" s="2">
        <v>3</v>
      </c>
      <c r="U515" s="2">
        <v>0</v>
      </c>
      <c r="V515" s="2">
        <f t="shared" ref="V515:V551" si="124">AA515-Y515-X515-W515-U515</f>
        <v>25</v>
      </c>
      <c r="W515" s="2">
        <v>0</v>
      </c>
      <c r="X515" s="2">
        <v>2</v>
      </c>
      <c r="Y515" s="2">
        <v>0</v>
      </c>
      <c r="Z515" s="2">
        <f t="shared" si="118"/>
        <v>2</v>
      </c>
      <c r="AA515" s="2">
        <f t="shared" si="119"/>
        <v>27</v>
      </c>
      <c r="AB515" s="2">
        <v>2106</v>
      </c>
      <c r="AC515" s="20">
        <f t="shared" si="120"/>
        <v>1.28205128205128</v>
      </c>
      <c r="AD515" s="2" t="s">
        <v>44</v>
      </c>
      <c r="AE515" s="2">
        <v>125</v>
      </c>
      <c r="AF515" s="21">
        <f t="shared" si="121"/>
        <v>1.92820512820513</v>
      </c>
      <c r="AG515" s="4">
        <f t="shared" si="122"/>
        <v>1.18708452041785</v>
      </c>
      <c r="AH515" s="4">
        <f t="shared" si="123"/>
        <v>0.0949667616334283</v>
      </c>
    </row>
    <row r="516" spans="1:34">
      <c r="A516" s="2">
        <v>20260305</v>
      </c>
      <c r="B516" s="8" t="s">
        <v>1075</v>
      </c>
      <c r="C516" s="2" t="s">
        <v>1076</v>
      </c>
      <c r="D516" s="2">
        <v>2</v>
      </c>
      <c r="E516" s="2">
        <v>20</v>
      </c>
      <c r="F516" s="2">
        <v>6</v>
      </c>
      <c r="G516" s="2">
        <v>1</v>
      </c>
      <c r="H516" s="2">
        <v>3</v>
      </c>
      <c r="I516" s="3">
        <v>7</v>
      </c>
      <c r="J516" s="2">
        <v>5</v>
      </c>
      <c r="K516" s="2">
        <v>6</v>
      </c>
      <c r="L516" s="2">
        <v>0</v>
      </c>
      <c r="M516" s="2">
        <v>1</v>
      </c>
      <c r="N516" s="2">
        <v>23</v>
      </c>
      <c r="O516" s="2">
        <v>1</v>
      </c>
      <c r="P516" s="3">
        <v>2</v>
      </c>
      <c r="Q516" s="2">
        <v>13</v>
      </c>
      <c r="R516" s="2">
        <v>112</v>
      </c>
      <c r="S516" s="2">
        <v>2</v>
      </c>
      <c r="T516" s="2">
        <v>2</v>
      </c>
      <c r="U516" s="2">
        <v>0</v>
      </c>
      <c r="V516" s="2">
        <f t="shared" si="124"/>
        <v>26</v>
      </c>
      <c r="W516" s="2">
        <v>0</v>
      </c>
      <c r="X516" s="2">
        <v>1</v>
      </c>
      <c r="Y516" s="2">
        <v>0</v>
      </c>
      <c r="Z516" s="2">
        <f t="shared" si="118"/>
        <v>1</v>
      </c>
      <c r="AA516" s="2">
        <f t="shared" si="119"/>
        <v>27</v>
      </c>
      <c r="AB516" s="2">
        <v>2665</v>
      </c>
      <c r="AC516" s="20">
        <f t="shared" si="120"/>
        <v>1.01313320825516</v>
      </c>
      <c r="AD516" s="2" t="s">
        <v>44</v>
      </c>
      <c r="AE516" s="2">
        <v>125</v>
      </c>
      <c r="AF516" s="21">
        <f t="shared" si="121"/>
        <v>1.52375234521576</v>
      </c>
      <c r="AG516" s="4">
        <f t="shared" si="122"/>
        <v>0.975609756097561</v>
      </c>
      <c r="AH516" s="4">
        <f t="shared" si="123"/>
        <v>0.0375234521575985</v>
      </c>
    </row>
    <row r="517" spans="1:34">
      <c r="A517" s="2">
        <v>20260305</v>
      </c>
      <c r="B517" s="8" t="s">
        <v>1077</v>
      </c>
      <c r="C517" s="2" t="s">
        <v>1078</v>
      </c>
      <c r="D517" s="2">
        <v>4</v>
      </c>
      <c r="E517" s="2">
        <v>10</v>
      </c>
      <c r="F517" s="2">
        <v>10</v>
      </c>
      <c r="G517" s="2">
        <v>1</v>
      </c>
      <c r="H517" s="2">
        <v>4</v>
      </c>
      <c r="I517" s="3">
        <v>14</v>
      </c>
      <c r="J517" s="2">
        <v>33</v>
      </c>
      <c r="K517" s="2">
        <v>10</v>
      </c>
      <c r="L517" s="2">
        <v>0</v>
      </c>
      <c r="M517" s="2">
        <v>1</v>
      </c>
      <c r="N517" s="2">
        <v>29</v>
      </c>
      <c r="O517" s="2">
        <v>5</v>
      </c>
      <c r="P517" s="3">
        <v>4</v>
      </c>
      <c r="Q517" s="2">
        <v>15</v>
      </c>
      <c r="R517" s="2">
        <v>275</v>
      </c>
      <c r="S517" s="2">
        <v>1</v>
      </c>
      <c r="T517" s="2">
        <v>0</v>
      </c>
      <c r="U517" s="2">
        <v>0</v>
      </c>
      <c r="V517" s="2">
        <f t="shared" si="124"/>
        <v>65</v>
      </c>
      <c r="W517" s="2">
        <v>1</v>
      </c>
      <c r="X517" s="2">
        <v>1</v>
      </c>
      <c r="Y517" s="2">
        <v>0</v>
      </c>
      <c r="Z517" s="2">
        <f t="shared" ref="Z517:Z528" si="125">Y517+X517+W517+U517</f>
        <v>2</v>
      </c>
      <c r="AA517" s="2">
        <f t="shared" si="119"/>
        <v>67</v>
      </c>
      <c r="AB517" s="2">
        <v>2705</v>
      </c>
      <c r="AC517" s="20">
        <f t="shared" si="120"/>
        <v>2.47689463955638</v>
      </c>
      <c r="AD517" s="2" t="s">
        <v>44</v>
      </c>
      <c r="AE517" s="2">
        <v>125</v>
      </c>
      <c r="AF517" s="21">
        <f t="shared" si="121"/>
        <v>3.72524953789279</v>
      </c>
      <c r="AG517" s="4">
        <f t="shared" si="122"/>
        <v>2.40295748613678</v>
      </c>
      <c r="AH517" s="4">
        <f t="shared" si="123"/>
        <v>0.0739371534195933</v>
      </c>
    </row>
    <row r="518" spans="1:34">
      <c r="A518" s="2">
        <v>20260305</v>
      </c>
      <c r="B518" s="8" t="s">
        <v>1079</v>
      </c>
      <c r="C518" s="2" t="s">
        <v>1080</v>
      </c>
      <c r="D518" s="2">
        <v>0</v>
      </c>
      <c r="E518" s="2">
        <v>19</v>
      </c>
      <c r="F518" s="2">
        <v>2</v>
      </c>
      <c r="G518" s="2">
        <v>0</v>
      </c>
      <c r="H518" s="2">
        <v>1</v>
      </c>
      <c r="I518" s="3">
        <v>13</v>
      </c>
      <c r="J518" s="2">
        <v>8</v>
      </c>
      <c r="K518" s="2">
        <v>3</v>
      </c>
      <c r="L518" s="2">
        <v>0</v>
      </c>
      <c r="M518" s="2">
        <v>1</v>
      </c>
      <c r="N518" s="2">
        <v>18</v>
      </c>
      <c r="O518" s="2">
        <v>3</v>
      </c>
      <c r="P518" s="3">
        <v>1</v>
      </c>
      <c r="Q518" s="2">
        <v>5</v>
      </c>
      <c r="R518" s="2">
        <v>104</v>
      </c>
      <c r="S518" s="2">
        <v>0</v>
      </c>
      <c r="T518" s="2">
        <v>1</v>
      </c>
      <c r="U518" s="2">
        <v>0</v>
      </c>
      <c r="V518" s="2">
        <f t="shared" ref="V518:V527" si="126">AA518-Y518-X518-W518-U518</f>
        <v>15</v>
      </c>
      <c r="W518" s="2">
        <v>5</v>
      </c>
      <c r="X518" s="2">
        <v>8</v>
      </c>
      <c r="Y518" s="2">
        <v>0</v>
      </c>
      <c r="Z518" s="2">
        <f t="shared" si="125"/>
        <v>13</v>
      </c>
      <c r="AA518" s="2">
        <f t="shared" ref="AA518:AA525" si="127">G518+H518+I518+J518+K518+L518+M518+P518+T518+U518</f>
        <v>28</v>
      </c>
      <c r="AB518" s="2">
        <v>2106</v>
      </c>
      <c r="AC518" s="20">
        <f t="shared" si="120"/>
        <v>1.329534662868</v>
      </c>
      <c r="AD518" s="2" t="s">
        <v>44</v>
      </c>
      <c r="AE518" s="2">
        <v>125</v>
      </c>
      <c r="AF518" s="21">
        <f t="shared" si="121"/>
        <v>1.99962013295347</v>
      </c>
      <c r="AG518" s="4">
        <f t="shared" si="122"/>
        <v>0.712250712250712</v>
      </c>
      <c r="AH518" s="4">
        <f t="shared" ref="AH518:AH525" si="128">Z518/AB518*100</f>
        <v>0.617283950617284</v>
      </c>
    </row>
    <row r="519" spans="1:34">
      <c r="A519" s="2">
        <v>20260305</v>
      </c>
      <c r="B519" s="8" t="s">
        <v>1081</v>
      </c>
      <c r="C519" s="2" t="s">
        <v>1082</v>
      </c>
      <c r="D519" s="2">
        <v>6</v>
      </c>
      <c r="E519" s="2">
        <v>17</v>
      </c>
      <c r="F519" s="2">
        <v>3</v>
      </c>
      <c r="G519" s="2">
        <v>0</v>
      </c>
      <c r="H519" s="2">
        <v>7</v>
      </c>
      <c r="I519" s="3">
        <v>11</v>
      </c>
      <c r="J519" s="2">
        <v>5</v>
      </c>
      <c r="K519" s="2">
        <v>11</v>
      </c>
      <c r="L519" s="2">
        <v>0</v>
      </c>
      <c r="M519" s="2">
        <v>5</v>
      </c>
      <c r="N519" s="2">
        <v>24</v>
      </c>
      <c r="O519" s="2">
        <v>6</v>
      </c>
      <c r="P519" s="3">
        <v>2</v>
      </c>
      <c r="Q519" s="2">
        <v>6</v>
      </c>
      <c r="R519" s="2">
        <v>376</v>
      </c>
      <c r="S519" s="2">
        <v>1</v>
      </c>
      <c r="T519" s="2">
        <v>7</v>
      </c>
      <c r="U519" s="2">
        <v>0</v>
      </c>
      <c r="V519" s="2">
        <f t="shared" si="126"/>
        <v>42</v>
      </c>
      <c r="W519" s="2">
        <v>5</v>
      </c>
      <c r="X519" s="2">
        <v>1</v>
      </c>
      <c r="Y519" s="2">
        <v>0</v>
      </c>
      <c r="Z519" s="2">
        <f t="shared" si="125"/>
        <v>6</v>
      </c>
      <c r="AA519" s="2">
        <f t="shared" si="127"/>
        <v>48</v>
      </c>
      <c r="AB519" s="2">
        <v>2306</v>
      </c>
      <c r="AC519" s="20">
        <f t="shared" si="120"/>
        <v>2.081526452732</v>
      </c>
      <c r="AD519" s="2" t="s">
        <v>44</v>
      </c>
      <c r="AE519" s="2">
        <v>125</v>
      </c>
      <c r="AF519" s="21">
        <f t="shared" si="121"/>
        <v>3.13061578490893</v>
      </c>
      <c r="AG519" s="4">
        <f t="shared" si="122"/>
        <v>1.8213356461405</v>
      </c>
      <c r="AH519" s="4">
        <f t="shared" si="128"/>
        <v>0.2601908065915</v>
      </c>
    </row>
    <row r="520" spans="1:34">
      <c r="A520" s="2">
        <v>20260305</v>
      </c>
      <c r="B520" s="2" t="s">
        <v>1083</v>
      </c>
      <c r="C520" s="2" t="s">
        <v>1084</v>
      </c>
      <c r="D520" s="2">
        <v>1</v>
      </c>
      <c r="E520" s="2">
        <v>15</v>
      </c>
      <c r="F520" s="2">
        <v>7</v>
      </c>
      <c r="G520" s="2">
        <v>3</v>
      </c>
      <c r="H520" s="2">
        <v>4</v>
      </c>
      <c r="I520" s="3">
        <v>10</v>
      </c>
      <c r="J520" s="2">
        <v>11</v>
      </c>
      <c r="K520" s="2">
        <v>1</v>
      </c>
      <c r="L520" s="2">
        <v>0</v>
      </c>
      <c r="M520" s="2">
        <v>3</v>
      </c>
      <c r="N520" s="2">
        <v>10</v>
      </c>
      <c r="O520" s="2">
        <v>1</v>
      </c>
      <c r="P520" s="3">
        <v>3</v>
      </c>
      <c r="Q520" s="2">
        <v>12</v>
      </c>
      <c r="R520" s="2">
        <v>138</v>
      </c>
      <c r="S520" s="2">
        <v>0</v>
      </c>
      <c r="T520" s="2">
        <v>3</v>
      </c>
      <c r="U520" s="2">
        <v>0</v>
      </c>
      <c r="V520" s="2">
        <f t="shared" si="126"/>
        <v>35</v>
      </c>
      <c r="W520" s="2">
        <v>2</v>
      </c>
      <c r="X520" s="2">
        <v>1</v>
      </c>
      <c r="Y520" s="2">
        <v>0</v>
      </c>
      <c r="Z520" s="2">
        <f t="shared" si="125"/>
        <v>3</v>
      </c>
      <c r="AA520" s="2">
        <f t="shared" si="127"/>
        <v>38</v>
      </c>
      <c r="AB520" s="2">
        <v>2606</v>
      </c>
      <c r="AC520" s="20">
        <f t="shared" si="120"/>
        <v>1.45817344589409</v>
      </c>
      <c r="AD520" s="2" t="s">
        <v>44</v>
      </c>
      <c r="AE520" s="2">
        <v>125</v>
      </c>
      <c r="AF520" s="21">
        <f t="shared" si="121"/>
        <v>2.19309286262471</v>
      </c>
      <c r="AG520" s="4">
        <f t="shared" si="122"/>
        <v>1.34305448963929</v>
      </c>
      <c r="AH520" s="4">
        <f t="shared" si="128"/>
        <v>0.115118956254797</v>
      </c>
    </row>
    <row r="521" spans="1:34">
      <c r="A521" s="2">
        <v>20260305</v>
      </c>
      <c r="B521" s="2" t="s">
        <v>1085</v>
      </c>
      <c r="C521" s="2" t="s">
        <v>1086</v>
      </c>
      <c r="D521" s="2">
        <v>2</v>
      </c>
      <c r="E521" s="2">
        <v>10</v>
      </c>
      <c r="F521" s="2">
        <v>1</v>
      </c>
      <c r="G521" s="2">
        <v>0</v>
      </c>
      <c r="H521" s="2">
        <v>2</v>
      </c>
      <c r="I521" s="3">
        <v>6</v>
      </c>
      <c r="J521" s="2">
        <v>3</v>
      </c>
      <c r="K521" s="2">
        <v>1</v>
      </c>
      <c r="L521" s="2">
        <v>0</v>
      </c>
      <c r="M521" s="2">
        <v>0</v>
      </c>
      <c r="N521" s="2">
        <v>8</v>
      </c>
      <c r="O521" s="2">
        <v>3</v>
      </c>
      <c r="P521" s="3">
        <v>4</v>
      </c>
      <c r="Q521" s="2">
        <v>7</v>
      </c>
      <c r="R521" s="2">
        <v>229</v>
      </c>
      <c r="S521" s="2">
        <v>1</v>
      </c>
      <c r="T521" s="2">
        <v>2</v>
      </c>
      <c r="U521" s="2">
        <v>0</v>
      </c>
      <c r="V521" s="2">
        <f t="shared" si="126"/>
        <v>17</v>
      </c>
      <c r="W521" s="2">
        <v>1</v>
      </c>
      <c r="X521" s="2">
        <v>0</v>
      </c>
      <c r="Y521" s="2">
        <v>0</v>
      </c>
      <c r="Z521" s="2">
        <f t="shared" si="125"/>
        <v>1</v>
      </c>
      <c r="AA521" s="2">
        <f t="shared" si="127"/>
        <v>18</v>
      </c>
      <c r="AB521" s="2">
        <v>2254</v>
      </c>
      <c r="AC521" s="20">
        <f t="shared" si="120"/>
        <v>0.798580301685892</v>
      </c>
      <c r="AD521" s="2" t="s">
        <v>44</v>
      </c>
      <c r="AE521" s="2">
        <v>125</v>
      </c>
      <c r="AF521" s="21">
        <f t="shared" ref="AF521:AF526" si="129">188/AE521*AC521</f>
        <v>1.20106477373558</v>
      </c>
      <c r="AG521" s="4">
        <f t="shared" ref="AG521:AG526" si="130">V521/AB521*100</f>
        <v>0.754214729370009</v>
      </c>
      <c r="AH521" s="4">
        <f t="shared" si="128"/>
        <v>0.0443655723158829</v>
      </c>
    </row>
    <row r="522" spans="1:34">
      <c r="A522" s="2">
        <v>20260305</v>
      </c>
      <c r="B522" s="2" t="s">
        <v>1087</v>
      </c>
      <c r="C522" s="2" t="s">
        <v>1088</v>
      </c>
      <c r="D522" s="2">
        <v>5</v>
      </c>
      <c r="E522" s="2">
        <v>4</v>
      </c>
      <c r="F522" s="2">
        <v>5</v>
      </c>
      <c r="G522" s="2">
        <v>3</v>
      </c>
      <c r="H522" s="2">
        <v>5</v>
      </c>
      <c r="I522" s="3">
        <v>7</v>
      </c>
      <c r="J522" s="2">
        <v>7</v>
      </c>
      <c r="K522" s="2">
        <v>10</v>
      </c>
      <c r="L522" s="2">
        <v>0</v>
      </c>
      <c r="M522" s="2">
        <v>2</v>
      </c>
      <c r="N522" s="2">
        <v>37</v>
      </c>
      <c r="O522" s="2">
        <v>11</v>
      </c>
      <c r="P522" s="3">
        <v>3</v>
      </c>
      <c r="Q522" s="2">
        <v>12</v>
      </c>
      <c r="R522" s="2">
        <v>69</v>
      </c>
      <c r="S522" s="2">
        <v>4</v>
      </c>
      <c r="T522" s="2">
        <v>2</v>
      </c>
      <c r="U522" s="2">
        <v>0</v>
      </c>
      <c r="V522" s="2">
        <f t="shared" si="126"/>
        <v>33</v>
      </c>
      <c r="W522" s="2">
        <v>4</v>
      </c>
      <c r="X522" s="2">
        <v>2</v>
      </c>
      <c r="Y522" s="2">
        <v>0</v>
      </c>
      <c r="Z522" s="2">
        <f t="shared" si="125"/>
        <v>6</v>
      </c>
      <c r="AA522" s="2">
        <f t="shared" si="127"/>
        <v>39</v>
      </c>
      <c r="AB522" s="2">
        <v>2106</v>
      </c>
      <c r="AC522" s="20">
        <f t="shared" ref="AC522:AC540" si="131">AA522/AB522*100</f>
        <v>1.85185185185185</v>
      </c>
      <c r="AD522" s="2" t="s">
        <v>44</v>
      </c>
      <c r="AE522" s="2">
        <v>125</v>
      </c>
      <c r="AF522" s="21">
        <f t="shared" si="129"/>
        <v>2.78518518518518</v>
      </c>
      <c r="AG522" s="4">
        <f t="shared" si="130"/>
        <v>1.56695156695157</v>
      </c>
      <c r="AH522" s="4">
        <f t="shared" si="128"/>
        <v>0.284900284900285</v>
      </c>
    </row>
    <row r="523" spans="1:34">
      <c r="A523" s="2">
        <v>20260305</v>
      </c>
      <c r="B523" s="2" t="s">
        <v>1089</v>
      </c>
      <c r="C523" s="2" t="s">
        <v>1090</v>
      </c>
      <c r="D523" s="2">
        <v>2</v>
      </c>
      <c r="E523" s="2">
        <v>7</v>
      </c>
      <c r="F523" s="2">
        <v>8</v>
      </c>
      <c r="G523" s="2">
        <v>2</v>
      </c>
      <c r="H523" s="2">
        <v>3</v>
      </c>
      <c r="I523" s="3">
        <v>9</v>
      </c>
      <c r="J523" s="2">
        <v>7</v>
      </c>
      <c r="K523" s="2">
        <v>3</v>
      </c>
      <c r="L523" s="2">
        <v>1</v>
      </c>
      <c r="M523" s="2">
        <v>1</v>
      </c>
      <c r="N523" s="2">
        <v>28</v>
      </c>
      <c r="O523" s="2">
        <v>24</v>
      </c>
      <c r="P523" s="3">
        <v>4</v>
      </c>
      <c r="Q523" s="2">
        <v>25</v>
      </c>
      <c r="R523" s="2">
        <v>179</v>
      </c>
      <c r="S523" s="2">
        <v>1</v>
      </c>
      <c r="T523" s="2">
        <v>3</v>
      </c>
      <c r="U523" s="2">
        <v>0</v>
      </c>
      <c r="V523" s="2">
        <f t="shared" si="126"/>
        <v>27</v>
      </c>
      <c r="W523" s="2">
        <v>1</v>
      </c>
      <c r="X523" s="2">
        <v>5</v>
      </c>
      <c r="Y523" s="2">
        <v>0</v>
      </c>
      <c r="Z523" s="2">
        <f t="shared" si="125"/>
        <v>6</v>
      </c>
      <c r="AA523" s="2">
        <f t="shared" si="127"/>
        <v>33</v>
      </c>
      <c r="AB523" s="2">
        <v>4175</v>
      </c>
      <c r="AC523" s="20">
        <f t="shared" si="131"/>
        <v>0.790419161676647</v>
      </c>
      <c r="AD523" s="2" t="s">
        <v>44</v>
      </c>
      <c r="AE523" s="2">
        <v>125</v>
      </c>
      <c r="AF523" s="21">
        <f t="shared" si="129"/>
        <v>1.18879041916168</v>
      </c>
      <c r="AG523" s="4">
        <f t="shared" si="130"/>
        <v>0.646706586826347</v>
      </c>
      <c r="AH523" s="4">
        <f t="shared" si="128"/>
        <v>0.143712574850299</v>
      </c>
    </row>
    <row r="524" spans="1:34">
      <c r="A524" s="2">
        <v>20260305</v>
      </c>
      <c r="B524" s="2" t="s">
        <v>1091</v>
      </c>
      <c r="C524" s="2" t="s">
        <v>1092</v>
      </c>
      <c r="D524" s="2">
        <v>1</v>
      </c>
      <c r="E524" s="2">
        <v>1</v>
      </c>
      <c r="F524" s="2">
        <v>2</v>
      </c>
      <c r="G524" s="2">
        <v>9</v>
      </c>
      <c r="H524" s="2">
        <v>0</v>
      </c>
      <c r="I524" s="3">
        <v>3</v>
      </c>
      <c r="J524" s="2">
        <v>22</v>
      </c>
      <c r="K524" s="2">
        <v>6</v>
      </c>
      <c r="L524" s="2">
        <v>12</v>
      </c>
      <c r="M524" s="2">
        <v>0</v>
      </c>
      <c r="N524" s="2">
        <v>1</v>
      </c>
      <c r="O524" s="2">
        <v>33</v>
      </c>
      <c r="P524" s="3">
        <v>5</v>
      </c>
      <c r="Q524" s="2">
        <v>3</v>
      </c>
      <c r="R524" s="2">
        <v>20</v>
      </c>
      <c r="S524" s="2">
        <v>480</v>
      </c>
      <c r="T524" s="2">
        <v>0</v>
      </c>
      <c r="U524" s="2">
        <v>3</v>
      </c>
      <c r="V524" s="2">
        <f t="shared" si="126"/>
        <v>55</v>
      </c>
      <c r="W524" s="2">
        <v>0</v>
      </c>
      <c r="X524" s="2">
        <v>2</v>
      </c>
      <c r="Y524" s="2">
        <v>0</v>
      </c>
      <c r="Z524" s="2">
        <f t="shared" si="125"/>
        <v>5</v>
      </c>
      <c r="AA524" s="2">
        <f t="shared" si="127"/>
        <v>60</v>
      </c>
      <c r="AB524" s="2">
        <v>4162</v>
      </c>
      <c r="AC524" s="20">
        <f t="shared" si="131"/>
        <v>1.44161460836136</v>
      </c>
      <c r="AD524" s="2" t="s">
        <v>44</v>
      </c>
      <c r="AE524" s="2">
        <v>125</v>
      </c>
      <c r="AF524" s="21">
        <f t="shared" ref="AF524:AF536" si="132">188/AE524*AC524</f>
        <v>2.16818837097549</v>
      </c>
      <c r="AG524" s="4">
        <f t="shared" ref="AG524:AG536" si="133">V524/AB524*100</f>
        <v>1.32148005766458</v>
      </c>
      <c r="AH524" s="4">
        <f t="shared" ref="AH524:AH536" si="134">Z524/AB524*100</f>
        <v>0.12013455069678</v>
      </c>
    </row>
    <row r="525" spans="1:34">
      <c r="A525" s="2">
        <v>20260305</v>
      </c>
      <c r="B525" s="2" t="s">
        <v>1093</v>
      </c>
      <c r="C525" s="2" t="s">
        <v>1094</v>
      </c>
      <c r="D525" s="2">
        <v>6</v>
      </c>
      <c r="E525" s="2">
        <v>1</v>
      </c>
      <c r="F525" s="2">
        <v>10</v>
      </c>
      <c r="G525" s="2">
        <v>0</v>
      </c>
      <c r="H525" s="2">
        <v>0</v>
      </c>
      <c r="I525" s="3">
        <v>13</v>
      </c>
      <c r="J525" s="2">
        <v>6</v>
      </c>
      <c r="K525" s="2">
        <v>0</v>
      </c>
      <c r="L525" s="2">
        <v>0</v>
      </c>
      <c r="M525" s="2">
        <v>4</v>
      </c>
      <c r="N525" s="2">
        <v>9</v>
      </c>
      <c r="O525" s="2">
        <v>10</v>
      </c>
      <c r="P525" s="3">
        <v>1</v>
      </c>
      <c r="Q525" s="2">
        <v>14</v>
      </c>
      <c r="R525" s="2">
        <v>303</v>
      </c>
      <c r="S525" s="2">
        <v>1</v>
      </c>
      <c r="T525" s="2">
        <v>5</v>
      </c>
      <c r="U525" s="2">
        <v>1</v>
      </c>
      <c r="V525" s="2">
        <f t="shared" si="126"/>
        <v>29</v>
      </c>
      <c r="W525" s="2">
        <v>0</v>
      </c>
      <c r="X525" s="2">
        <v>0</v>
      </c>
      <c r="Y525" s="2">
        <v>0</v>
      </c>
      <c r="Z525" s="2">
        <f t="shared" si="125"/>
        <v>1</v>
      </c>
      <c r="AA525" s="2">
        <f t="shared" ref="AA525:AA532" si="135">G525+H525+I525+J525+K525+L525+M525+P525+T525+U525</f>
        <v>30</v>
      </c>
      <c r="AB525" s="2">
        <v>4142</v>
      </c>
      <c r="AC525" s="20">
        <f t="shared" si="131"/>
        <v>0.724287783679382</v>
      </c>
      <c r="AD525" s="2" t="s">
        <v>44</v>
      </c>
      <c r="AE525" s="2">
        <v>125</v>
      </c>
      <c r="AF525" s="21">
        <f t="shared" si="132"/>
        <v>1.08932882665379</v>
      </c>
      <c r="AG525" s="4">
        <f t="shared" si="133"/>
        <v>0.700144857556736</v>
      </c>
      <c r="AH525" s="4">
        <f t="shared" si="134"/>
        <v>0.0241429261226461</v>
      </c>
    </row>
    <row r="526" spans="1:34">
      <c r="A526" s="2">
        <v>20260305</v>
      </c>
      <c r="B526" s="2" t="s">
        <v>1095</v>
      </c>
      <c r="C526" s="2" t="s">
        <v>1096</v>
      </c>
      <c r="D526" s="2">
        <v>2</v>
      </c>
      <c r="E526" s="2">
        <v>6</v>
      </c>
      <c r="F526" s="2">
        <v>7</v>
      </c>
      <c r="G526" s="2">
        <v>1</v>
      </c>
      <c r="H526" s="2">
        <v>4</v>
      </c>
      <c r="I526" s="3">
        <v>15</v>
      </c>
      <c r="J526" s="2">
        <v>5</v>
      </c>
      <c r="K526" s="2">
        <v>15</v>
      </c>
      <c r="L526" s="2">
        <v>0</v>
      </c>
      <c r="M526" s="2">
        <v>6</v>
      </c>
      <c r="N526" s="2">
        <v>39</v>
      </c>
      <c r="O526" s="2">
        <v>5</v>
      </c>
      <c r="P526" s="3">
        <v>3</v>
      </c>
      <c r="Q526" s="2">
        <v>11</v>
      </c>
      <c r="R526" s="2">
        <v>375</v>
      </c>
      <c r="S526" s="2">
        <v>4</v>
      </c>
      <c r="T526" s="2">
        <v>4</v>
      </c>
      <c r="U526" s="2">
        <v>1</v>
      </c>
      <c r="V526" s="2">
        <f t="shared" si="126"/>
        <v>51</v>
      </c>
      <c r="W526" s="2">
        <v>2</v>
      </c>
      <c r="X526" s="2">
        <v>0</v>
      </c>
      <c r="Y526" s="2">
        <v>0</v>
      </c>
      <c r="Z526" s="2">
        <f t="shared" si="125"/>
        <v>3</v>
      </c>
      <c r="AA526" s="2">
        <f t="shared" si="135"/>
        <v>54</v>
      </c>
      <c r="AB526" s="2">
        <v>3118</v>
      </c>
      <c r="AC526" s="20">
        <f t="shared" si="131"/>
        <v>1.73187940987813</v>
      </c>
      <c r="AD526" s="2" t="s">
        <v>44</v>
      </c>
      <c r="AE526" s="2">
        <v>100</v>
      </c>
      <c r="AF526" s="21">
        <f t="shared" si="132"/>
        <v>3.25593329057088</v>
      </c>
      <c r="AG526" s="4">
        <f t="shared" si="133"/>
        <v>1.63566388710712</v>
      </c>
      <c r="AH526" s="4">
        <f t="shared" si="134"/>
        <v>0.0962155227710071</v>
      </c>
    </row>
    <row r="527" spans="1:34">
      <c r="A527" s="2">
        <v>20260306</v>
      </c>
      <c r="B527" s="2" t="s">
        <v>1097</v>
      </c>
      <c r="C527" s="2" t="s">
        <v>1098</v>
      </c>
      <c r="D527" s="2">
        <v>8</v>
      </c>
      <c r="E527" s="2">
        <v>7</v>
      </c>
      <c r="F527" s="2">
        <v>14</v>
      </c>
      <c r="G527" s="2">
        <v>4</v>
      </c>
      <c r="H527" s="2">
        <v>8</v>
      </c>
      <c r="I527" s="3">
        <v>26</v>
      </c>
      <c r="J527" s="2">
        <v>13</v>
      </c>
      <c r="K527" s="2">
        <v>4</v>
      </c>
      <c r="L527" s="2">
        <v>0</v>
      </c>
      <c r="M527" s="2">
        <v>24</v>
      </c>
      <c r="N527" s="2">
        <v>72</v>
      </c>
      <c r="O527" s="2">
        <v>12</v>
      </c>
      <c r="P527" s="3">
        <v>7</v>
      </c>
      <c r="Q527" s="2">
        <v>17</v>
      </c>
      <c r="R527" s="2">
        <v>527</v>
      </c>
      <c r="S527" s="2">
        <v>4</v>
      </c>
      <c r="T527" s="2">
        <v>3</v>
      </c>
      <c r="U527" s="2">
        <v>4</v>
      </c>
      <c r="V527" s="2">
        <f t="shared" si="126"/>
        <v>88</v>
      </c>
      <c r="W527" s="2">
        <v>0</v>
      </c>
      <c r="X527" s="2">
        <v>1</v>
      </c>
      <c r="Y527" s="2">
        <v>0</v>
      </c>
      <c r="Z527" s="2">
        <f t="shared" si="125"/>
        <v>5</v>
      </c>
      <c r="AA527" s="2">
        <f t="shared" si="135"/>
        <v>93</v>
      </c>
      <c r="AB527" s="2">
        <v>6129</v>
      </c>
      <c r="AC527" s="20">
        <f t="shared" si="131"/>
        <v>1.51737640724425</v>
      </c>
      <c r="AD527" s="2" t="s">
        <v>44</v>
      </c>
      <c r="AE527" s="2">
        <v>100</v>
      </c>
      <c r="AF527" s="21">
        <f t="shared" si="132"/>
        <v>2.85266764561919</v>
      </c>
      <c r="AG527" s="4">
        <f t="shared" si="133"/>
        <v>1.43579703051069</v>
      </c>
      <c r="AH527" s="4">
        <f t="shared" si="134"/>
        <v>0.0815793767335618</v>
      </c>
    </row>
    <row r="528" spans="1:34">
      <c r="A528" s="2">
        <v>20260306</v>
      </c>
      <c r="B528" s="2" t="s">
        <v>1099</v>
      </c>
      <c r="C528" s="2" t="s">
        <v>1100</v>
      </c>
      <c r="D528" s="2">
        <v>1</v>
      </c>
      <c r="E528" s="2">
        <v>4</v>
      </c>
      <c r="F528" s="2">
        <v>8</v>
      </c>
      <c r="G528" s="2">
        <v>0</v>
      </c>
      <c r="H528" s="2">
        <v>3</v>
      </c>
      <c r="I528" s="3">
        <v>40</v>
      </c>
      <c r="J528" s="2">
        <v>12</v>
      </c>
      <c r="K528" s="2">
        <v>6</v>
      </c>
      <c r="L528" s="2">
        <v>1</v>
      </c>
      <c r="M528" s="2">
        <v>24</v>
      </c>
      <c r="N528" s="2">
        <v>41</v>
      </c>
      <c r="O528" s="2">
        <v>6</v>
      </c>
      <c r="P528" s="3">
        <v>0</v>
      </c>
      <c r="Q528" s="2">
        <v>13</v>
      </c>
      <c r="R528" s="2">
        <v>295</v>
      </c>
      <c r="S528" s="2">
        <v>3</v>
      </c>
      <c r="T528" s="2">
        <v>4</v>
      </c>
      <c r="U528" s="2">
        <v>1</v>
      </c>
      <c r="V528" s="2">
        <f t="shared" si="124"/>
        <v>77</v>
      </c>
      <c r="W528" s="2">
        <v>4</v>
      </c>
      <c r="X528" s="2">
        <v>9</v>
      </c>
      <c r="Y528" s="2">
        <v>0</v>
      </c>
      <c r="Z528" s="2">
        <f t="shared" si="125"/>
        <v>14</v>
      </c>
      <c r="AA528" s="2">
        <f t="shared" si="135"/>
        <v>91</v>
      </c>
      <c r="AB528" s="2">
        <v>6164</v>
      </c>
      <c r="AC528" s="20">
        <f t="shared" si="131"/>
        <v>1.47631408176509</v>
      </c>
      <c r="AD528" s="2" t="s">
        <v>44</v>
      </c>
      <c r="AE528" s="2">
        <v>100</v>
      </c>
      <c r="AF528" s="21">
        <f t="shared" si="132"/>
        <v>2.77547047371836</v>
      </c>
      <c r="AG528" s="4">
        <f t="shared" si="133"/>
        <v>1.24918883841661</v>
      </c>
      <c r="AH528" s="4">
        <f t="shared" si="134"/>
        <v>0.227125243348475</v>
      </c>
    </row>
    <row r="529" spans="1:34">
      <c r="A529" s="2">
        <v>20260306</v>
      </c>
      <c r="B529" s="2" t="s">
        <v>1101</v>
      </c>
      <c r="C529" s="2" t="s">
        <v>1102</v>
      </c>
      <c r="D529" s="2">
        <v>1</v>
      </c>
      <c r="E529" s="2">
        <v>7</v>
      </c>
      <c r="F529" s="2">
        <v>11</v>
      </c>
      <c r="G529" s="2">
        <v>2</v>
      </c>
      <c r="H529" s="2">
        <v>10</v>
      </c>
      <c r="I529" s="3">
        <v>33</v>
      </c>
      <c r="J529" s="2">
        <v>9</v>
      </c>
      <c r="K529" s="2">
        <v>6</v>
      </c>
      <c r="L529" s="2">
        <v>1</v>
      </c>
      <c r="M529" s="2">
        <v>22</v>
      </c>
      <c r="N529" s="2">
        <v>47</v>
      </c>
      <c r="O529" s="2">
        <v>6</v>
      </c>
      <c r="P529" s="3">
        <v>8</v>
      </c>
      <c r="Q529" s="2">
        <v>3</v>
      </c>
      <c r="R529" s="2">
        <v>409</v>
      </c>
      <c r="S529" s="2">
        <v>0</v>
      </c>
      <c r="T529" s="2">
        <v>3</v>
      </c>
      <c r="U529" s="2">
        <v>0</v>
      </c>
      <c r="V529" s="2">
        <f t="shared" si="124"/>
        <v>88</v>
      </c>
      <c r="W529" s="2">
        <v>3</v>
      </c>
      <c r="X529" s="2">
        <v>3</v>
      </c>
      <c r="Y529" s="2">
        <v>0</v>
      </c>
      <c r="Z529" s="2">
        <f t="shared" ref="Z529:Z537" si="136">Y529+X529+W529+U529</f>
        <v>6</v>
      </c>
      <c r="AA529" s="2">
        <f t="shared" si="135"/>
        <v>94</v>
      </c>
      <c r="AB529" s="2">
        <v>6165</v>
      </c>
      <c r="AC529" s="20">
        <f t="shared" si="131"/>
        <v>1.52473641524736</v>
      </c>
      <c r="AD529" s="2" t="s">
        <v>44</v>
      </c>
      <c r="AE529" s="2">
        <v>100</v>
      </c>
      <c r="AF529" s="21">
        <f t="shared" si="132"/>
        <v>2.86650446066504</v>
      </c>
      <c r="AG529" s="4">
        <f t="shared" si="133"/>
        <v>1.42741281427413</v>
      </c>
      <c r="AH529" s="4">
        <f t="shared" si="134"/>
        <v>0.097323600973236</v>
      </c>
    </row>
    <row r="530" spans="1:34">
      <c r="A530" s="2">
        <v>20260306</v>
      </c>
      <c r="B530" s="2" t="s">
        <v>1103</v>
      </c>
      <c r="C530" s="2" t="s">
        <v>1104</v>
      </c>
      <c r="D530" s="2">
        <v>2</v>
      </c>
      <c r="E530" s="2">
        <v>4</v>
      </c>
      <c r="F530" s="2">
        <v>14</v>
      </c>
      <c r="G530" s="2">
        <v>8</v>
      </c>
      <c r="H530" s="2">
        <v>18</v>
      </c>
      <c r="I530" s="3">
        <v>32</v>
      </c>
      <c r="J530" s="2">
        <v>17</v>
      </c>
      <c r="K530" s="2">
        <v>18</v>
      </c>
      <c r="L530" s="2">
        <v>2</v>
      </c>
      <c r="M530" s="2">
        <v>104</v>
      </c>
      <c r="N530" s="2">
        <v>109</v>
      </c>
      <c r="O530" s="2">
        <v>5</v>
      </c>
      <c r="P530" s="3">
        <v>3</v>
      </c>
      <c r="Q530" s="2">
        <v>23</v>
      </c>
      <c r="R530" s="2">
        <v>223</v>
      </c>
      <c r="S530" s="2">
        <v>2</v>
      </c>
      <c r="T530" s="2">
        <v>7</v>
      </c>
      <c r="U530" s="2">
        <v>0</v>
      </c>
      <c r="V530" s="2">
        <f t="shared" si="124"/>
        <v>196</v>
      </c>
      <c r="W530" s="2">
        <v>10</v>
      </c>
      <c r="X530" s="2">
        <v>2</v>
      </c>
      <c r="Y530" s="2">
        <v>1</v>
      </c>
      <c r="Z530" s="2">
        <f t="shared" si="136"/>
        <v>13</v>
      </c>
      <c r="AA530" s="2">
        <f t="shared" si="135"/>
        <v>209</v>
      </c>
      <c r="AB530" s="2">
        <v>6165</v>
      </c>
      <c r="AC530" s="20">
        <f t="shared" si="131"/>
        <v>3.39010543390105</v>
      </c>
      <c r="AD530" s="2" t="s">
        <v>44</v>
      </c>
      <c r="AE530" s="2">
        <v>100</v>
      </c>
      <c r="AF530" s="21">
        <f t="shared" si="132"/>
        <v>6.37339821573398</v>
      </c>
      <c r="AG530" s="4">
        <f t="shared" si="133"/>
        <v>3.17923763179238</v>
      </c>
      <c r="AH530" s="4">
        <f t="shared" si="134"/>
        <v>0.210867802108678</v>
      </c>
    </row>
    <row r="531" spans="1:34">
      <c r="A531" s="2">
        <v>20260306</v>
      </c>
      <c r="B531" s="2" t="s">
        <v>1105</v>
      </c>
      <c r="C531" s="2" t="s">
        <v>1106</v>
      </c>
      <c r="D531" s="2">
        <v>1</v>
      </c>
      <c r="E531" s="2">
        <v>4</v>
      </c>
      <c r="F531" s="2">
        <v>2</v>
      </c>
      <c r="G531" s="2">
        <v>2</v>
      </c>
      <c r="H531" s="2">
        <v>5</v>
      </c>
      <c r="I531" s="3">
        <v>9</v>
      </c>
      <c r="J531" s="2">
        <v>5</v>
      </c>
      <c r="K531" s="2">
        <v>2</v>
      </c>
      <c r="L531" s="2">
        <v>4</v>
      </c>
      <c r="M531" s="2">
        <v>20</v>
      </c>
      <c r="N531" s="2">
        <v>21</v>
      </c>
      <c r="O531" s="2">
        <v>1</v>
      </c>
      <c r="P531" s="3">
        <v>2</v>
      </c>
      <c r="Q531" s="2">
        <v>104</v>
      </c>
      <c r="R531" s="2">
        <v>1</v>
      </c>
      <c r="S531" s="2">
        <v>1</v>
      </c>
      <c r="T531" s="2">
        <v>2</v>
      </c>
      <c r="U531" s="2">
        <v>0</v>
      </c>
      <c r="V531" s="2">
        <f t="shared" si="124"/>
        <v>41</v>
      </c>
      <c r="W531" s="2">
        <v>9</v>
      </c>
      <c r="X531" s="2">
        <v>1</v>
      </c>
      <c r="Y531" s="2">
        <v>0</v>
      </c>
      <c r="Z531" s="2">
        <f t="shared" si="136"/>
        <v>10</v>
      </c>
      <c r="AA531" s="2">
        <f t="shared" si="135"/>
        <v>51</v>
      </c>
      <c r="AB531" s="2">
        <v>3118</v>
      </c>
      <c r="AC531" s="20">
        <f t="shared" si="131"/>
        <v>1.63566388710712</v>
      </c>
      <c r="AD531" s="2" t="s">
        <v>44</v>
      </c>
      <c r="AE531" s="2">
        <v>100</v>
      </c>
      <c r="AF531" s="21">
        <f t="shared" si="132"/>
        <v>3.07504810776139</v>
      </c>
      <c r="AG531" s="4">
        <f t="shared" si="133"/>
        <v>1.31494547787043</v>
      </c>
      <c r="AH531" s="4">
        <f t="shared" si="134"/>
        <v>0.32071840923669</v>
      </c>
    </row>
    <row r="532" spans="1:34">
      <c r="A532" s="2">
        <v>20260306</v>
      </c>
      <c r="B532" s="2" t="s">
        <v>1107</v>
      </c>
      <c r="C532" s="2" t="s">
        <v>1108</v>
      </c>
      <c r="D532" s="2">
        <v>2</v>
      </c>
      <c r="E532" s="2">
        <v>34</v>
      </c>
      <c r="F532" s="2">
        <v>4</v>
      </c>
      <c r="G532" s="2">
        <v>4</v>
      </c>
      <c r="H532" s="2">
        <v>14</v>
      </c>
      <c r="I532" s="3">
        <v>33</v>
      </c>
      <c r="J532" s="2">
        <v>15</v>
      </c>
      <c r="K532" s="2">
        <v>16</v>
      </c>
      <c r="L532" s="2">
        <v>0</v>
      </c>
      <c r="M532" s="2">
        <v>53</v>
      </c>
      <c r="N532" s="2">
        <v>63</v>
      </c>
      <c r="O532" s="2">
        <v>9</v>
      </c>
      <c r="P532" s="3">
        <v>7</v>
      </c>
      <c r="Q532" s="2">
        <v>10</v>
      </c>
      <c r="R532" s="2">
        <v>17</v>
      </c>
      <c r="S532" s="2">
        <v>3</v>
      </c>
      <c r="T532" s="2">
        <v>8</v>
      </c>
      <c r="U532" s="2">
        <v>1</v>
      </c>
      <c r="V532" s="2">
        <f t="shared" si="124"/>
        <v>150</v>
      </c>
      <c r="W532" s="2">
        <v>0</v>
      </c>
      <c r="X532" s="2">
        <v>0</v>
      </c>
      <c r="Y532" s="2">
        <v>0</v>
      </c>
      <c r="Z532" s="2">
        <f t="shared" si="136"/>
        <v>1</v>
      </c>
      <c r="AA532" s="2">
        <f t="shared" si="135"/>
        <v>151</v>
      </c>
      <c r="AB532" s="2">
        <v>4218</v>
      </c>
      <c r="AC532" s="20">
        <f t="shared" si="131"/>
        <v>3.57989568515884</v>
      </c>
      <c r="AD532" s="2" t="s">
        <v>44</v>
      </c>
      <c r="AE532" s="2">
        <v>100</v>
      </c>
      <c r="AF532" s="21">
        <f t="shared" si="132"/>
        <v>6.73020388809862</v>
      </c>
      <c r="AG532" s="4">
        <f t="shared" si="133"/>
        <v>3.55618776671408</v>
      </c>
      <c r="AH532" s="4">
        <f t="shared" si="134"/>
        <v>0.0237079184447605</v>
      </c>
    </row>
    <row r="533" spans="1:34">
      <c r="A533" s="2">
        <v>20260306</v>
      </c>
      <c r="B533" s="2" t="s">
        <v>1109</v>
      </c>
      <c r="C533" s="2" t="s">
        <v>1110</v>
      </c>
      <c r="D533" s="2">
        <v>2</v>
      </c>
      <c r="E533" s="2">
        <v>5</v>
      </c>
      <c r="F533" s="2">
        <v>5</v>
      </c>
      <c r="G533" s="2">
        <v>2</v>
      </c>
      <c r="H533" s="2">
        <v>9</v>
      </c>
      <c r="I533" s="3">
        <v>13</v>
      </c>
      <c r="J533" s="2">
        <v>10</v>
      </c>
      <c r="K533" s="2">
        <v>4</v>
      </c>
      <c r="L533" s="2">
        <v>0</v>
      </c>
      <c r="M533" s="2">
        <v>30</v>
      </c>
      <c r="N533" s="2">
        <v>22</v>
      </c>
      <c r="O533" s="2">
        <v>1</v>
      </c>
      <c r="P533" s="3">
        <v>2</v>
      </c>
      <c r="Q533" s="2">
        <v>7</v>
      </c>
      <c r="R533" s="2">
        <v>124</v>
      </c>
      <c r="S533" s="2">
        <v>1</v>
      </c>
      <c r="T533" s="2">
        <v>1</v>
      </c>
      <c r="U533" s="2">
        <v>1</v>
      </c>
      <c r="V533" s="2">
        <f t="shared" si="124"/>
        <v>69</v>
      </c>
      <c r="W533" s="2">
        <v>0</v>
      </c>
      <c r="X533" s="2">
        <v>2</v>
      </c>
      <c r="Y533" s="2">
        <v>0</v>
      </c>
      <c r="Z533" s="2">
        <f t="shared" si="136"/>
        <v>3</v>
      </c>
      <c r="AA533" s="2">
        <f t="shared" ref="AA533:AA539" si="137">G533+H533+I533+J533+K533+L533+M533+P533+T533+U533</f>
        <v>72</v>
      </c>
      <c r="AB533" s="2">
        <v>3128</v>
      </c>
      <c r="AC533" s="20">
        <f t="shared" si="131"/>
        <v>2.30179028132992</v>
      </c>
      <c r="AD533" s="2" t="s">
        <v>44</v>
      </c>
      <c r="AE533" s="2">
        <v>100</v>
      </c>
      <c r="AF533" s="21">
        <f t="shared" si="132"/>
        <v>4.32736572890026</v>
      </c>
      <c r="AG533" s="4">
        <f t="shared" si="133"/>
        <v>2.20588235294118</v>
      </c>
      <c r="AH533" s="4">
        <f t="shared" si="134"/>
        <v>0.0959079283887468</v>
      </c>
    </row>
    <row r="534" spans="1:34">
      <c r="A534" s="2">
        <v>20260306</v>
      </c>
      <c r="B534" s="2" t="s">
        <v>1111</v>
      </c>
      <c r="C534" s="2" t="s">
        <v>1112</v>
      </c>
      <c r="D534" s="2">
        <v>0</v>
      </c>
      <c r="E534" s="2">
        <v>10</v>
      </c>
      <c r="F534" s="2">
        <v>0</v>
      </c>
      <c r="G534" s="2">
        <v>2</v>
      </c>
      <c r="H534" s="2">
        <v>2</v>
      </c>
      <c r="I534" s="3">
        <v>16</v>
      </c>
      <c r="J534" s="2">
        <v>8</v>
      </c>
      <c r="K534" s="2">
        <v>2</v>
      </c>
      <c r="L534" s="2">
        <v>0</v>
      </c>
      <c r="M534" s="2">
        <v>10</v>
      </c>
      <c r="N534" s="2">
        <v>4</v>
      </c>
      <c r="O534" s="2">
        <v>6</v>
      </c>
      <c r="P534" s="3">
        <v>5</v>
      </c>
      <c r="Q534" s="2">
        <v>3</v>
      </c>
      <c r="R534" s="2">
        <v>5</v>
      </c>
      <c r="S534" s="2">
        <v>2</v>
      </c>
      <c r="T534" s="2">
        <v>0</v>
      </c>
      <c r="U534" s="2">
        <v>0</v>
      </c>
      <c r="V534" s="2">
        <f t="shared" si="124"/>
        <v>31</v>
      </c>
      <c r="W534" s="2">
        <v>7</v>
      </c>
      <c r="X534" s="2">
        <v>7</v>
      </c>
      <c r="Y534" s="2">
        <v>0</v>
      </c>
      <c r="Z534" s="2">
        <f t="shared" si="136"/>
        <v>14</v>
      </c>
      <c r="AA534" s="2">
        <f t="shared" si="137"/>
        <v>45</v>
      </c>
      <c r="AB534" s="2">
        <v>1417</v>
      </c>
      <c r="AC534" s="20">
        <f t="shared" si="131"/>
        <v>3.1757233592096</v>
      </c>
      <c r="AD534" s="2" t="s">
        <v>58</v>
      </c>
      <c r="AE534" s="2">
        <v>250</v>
      </c>
      <c r="AF534" s="21">
        <f t="shared" si="132"/>
        <v>2.38814396612562</v>
      </c>
      <c r="AG534" s="4">
        <f t="shared" si="133"/>
        <v>2.18772053634439</v>
      </c>
      <c r="AH534" s="4">
        <f t="shared" si="134"/>
        <v>0.988002822865208</v>
      </c>
    </row>
    <row r="535" spans="1:34">
      <c r="A535" s="2">
        <v>20260306</v>
      </c>
      <c r="B535" s="2" t="s">
        <v>1113</v>
      </c>
      <c r="C535" s="2" t="s">
        <v>1114</v>
      </c>
      <c r="D535" s="2">
        <v>2</v>
      </c>
      <c r="E535" s="2">
        <v>7</v>
      </c>
      <c r="F535" s="2">
        <v>11</v>
      </c>
      <c r="G535" s="2">
        <v>1</v>
      </c>
      <c r="H535" s="2">
        <v>5</v>
      </c>
      <c r="I535" s="3">
        <v>21</v>
      </c>
      <c r="J535" s="2">
        <v>5</v>
      </c>
      <c r="K535" s="2">
        <v>2</v>
      </c>
      <c r="L535" s="2">
        <v>2</v>
      </c>
      <c r="M535" s="2">
        <v>0</v>
      </c>
      <c r="N535" s="2">
        <v>4</v>
      </c>
      <c r="O535" s="2">
        <v>6</v>
      </c>
      <c r="P535" s="3">
        <v>1</v>
      </c>
      <c r="Q535" s="2">
        <v>1</v>
      </c>
      <c r="R535" s="2">
        <v>3</v>
      </c>
      <c r="S535" s="2">
        <v>0</v>
      </c>
      <c r="T535" s="2">
        <v>1</v>
      </c>
      <c r="U535" s="2">
        <v>0</v>
      </c>
      <c r="V535" s="2">
        <f t="shared" si="124"/>
        <v>18</v>
      </c>
      <c r="W535" s="2">
        <v>7</v>
      </c>
      <c r="X535" s="2">
        <v>13</v>
      </c>
      <c r="Y535" s="2">
        <v>0</v>
      </c>
      <c r="Z535" s="2">
        <f t="shared" si="136"/>
        <v>20</v>
      </c>
      <c r="AA535" s="2">
        <f t="shared" si="137"/>
        <v>38</v>
      </c>
      <c r="AB535" s="2">
        <v>1266</v>
      </c>
      <c r="AC535" s="20">
        <f t="shared" si="131"/>
        <v>3.00157977883096</v>
      </c>
      <c r="AD535" s="2" t="s">
        <v>58</v>
      </c>
      <c r="AE535" s="2">
        <v>250</v>
      </c>
      <c r="AF535" s="21">
        <f t="shared" si="132"/>
        <v>2.25718799368088</v>
      </c>
      <c r="AG535" s="4">
        <f t="shared" si="133"/>
        <v>1.4218009478673</v>
      </c>
      <c r="AH535" s="4">
        <f t="shared" si="134"/>
        <v>1.57977883096366</v>
      </c>
    </row>
    <row r="536" spans="1:34">
      <c r="A536" s="2">
        <v>20260306</v>
      </c>
      <c r="B536" s="2" t="s">
        <v>1115</v>
      </c>
      <c r="C536" s="2" t="s">
        <v>1116</v>
      </c>
      <c r="D536" s="2">
        <v>3</v>
      </c>
      <c r="E536" s="2">
        <v>7</v>
      </c>
      <c r="F536" s="2">
        <v>3</v>
      </c>
      <c r="G536" s="2">
        <v>0</v>
      </c>
      <c r="H536" s="2">
        <v>2</v>
      </c>
      <c r="I536" s="3">
        <v>11</v>
      </c>
      <c r="J536" s="2">
        <v>12</v>
      </c>
      <c r="K536" s="2">
        <v>0</v>
      </c>
      <c r="L536" s="2">
        <v>0</v>
      </c>
      <c r="M536" s="2">
        <v>6</v>
      </c>
      <c r="N536" s="2">
        <v>1</v>
      </c>
      <c r="O536" s="2">
        <v>17</v>
      </c>
      <c r="P536" s="3">
        <v>5</v>
      </c>
      <c r="Q536" s="2">
        <v>2</v>
      </c>
      <c r="R536" s="2">
        <v>5</v>
      </c>
      <c r="S536" s="2">
        <v>0</v>
      </c>
      <c r="T536" s="2">
        <v>3</v>
      </c>
      <c r="U536" s="2">
        <v>0</v>
      </c>
      <c r="V536" s="2">
        <f t="shared" si="124"/>
        <v>30</v>
      </c>
      <c r="W536" s="2">
        <v>6</v>
      </c>
      <c r="X536" s="2">
        <v>3</v>
      </c>
      <c r="Y536" s="2">
        <v>0</v>
      </c>
      <c r="Z536" s="2">
        <f t="shared" si="136"/>
        <v>9</v>
      </c>
      <c r="AA536" s="2">
        <f t="shared" si="137"/>
        <v>39</v>
      </c>
      <c r="AB536" s="2">
        <v>1266</v>
      </c>
      <c r="AC536" s="20">
        <f t="shared" si="131"/>
        <v>3.08056872037915</v>
      </c>
      <c r="AD536" s="2" t="s">
        <v>58</v>
      </c>
      <c r="AE536" s="2">
        <v>250</v>
      </c>
      <c r="AF536" s="21">
        <f t="shared" si="132"/>
        <v>2.31658767772512</v>
      </c>
      <c r="AG536" s="4">
        <f t="shared" si="133"/>
        <v>2.3696682464455</v>
      </c>
      <c r="AH536" s="4">
        <f t="shared" si="134"/>
        <v>0.710900473933649</v>
      </c>
    </row>
    <row r="537" spans="1:34">
      <c r="A537" s="2">
        <v>20260306</v>
      </c>
      <c r="B537" s="2" t="s">
        <v>1117</v>
      </c>
      <c r="C537" s="2" t="s">
        <v>1118</v>
      </c>
      <c r="D537" s="2">
        <v>2</v>
      </c>
      <c r="E537" s="2">
        <v>11</v>
      </c>
      <c r="F537" s="2">
        <v>8</v>
      </c>
      <c r="G537" s="2">
        <v>1</v>
      </c>
      <c r="H537" s="2">
        <v>16</v>
      </c>
      <c r="I537" s="3">
        <v>3</v>
      </c>
      <c r="J537" s="2">
        <v>0</v>
      </c>
      <c r="K537" s="2">
        <v>0</v>
      </c>
      <c r="L537" s="2">
        <v>1</v>
      </c>
      <c r="M537" s="2">
        <v>8</v>
      </c>
      <c r="N537" s="2">
        <v>10</v>
      </c>
      <c r="O537" s="2">
        <v>2</v>
      </c>
      <c r="P537" s="3">
        <v>3</v>
      </c>
      <c r="Q537" s="2">
        <v>4</v>
      </c>
      <c r="R537" s="2">
        <v>0</v>
      </c>
      <c r="S537" s="2">
        <v>0</v>
      </c>
      <c r="T537" s="2">
        <v>0</v>
      </c>
      <c r="U537" s="2">
        <v>0</v>
      </c>
      <c r="V537" s="2">
        <f t="shared" si="124"/>
        <v>19</v>
      </c>
      <c r="W537" s="2">
        <v>0</v>
      </c>
      <c r="X537" s="2">
        <v>13</v>
      </c>
      <c r="Y537" s="2">
        <v>0</v>
      </c>
      <c r="Z537" s="2">
        <f t="shared" si="136"/>
        <v>13</v>
      </c>
      <c r="AA537" s="2">
        <f t="shared" si="137"/>
        <v>32</v>
      </c>
      <c r="AB537" s="2">
        <v>1266</v>
      </c>
      <c r="AC537" s="20">
        <f t="shared" si="131"/>
        <v>2.52764612954186</v>
      </c>
      <c r="AD537" s="2" t="s">
        <v>58</v>
      </c>
      <c r="AE537" s="2">
        <v>250</v>
      </c>
      <c r="AF537" s="21">
        <f t="shared" ref="AF537:AF568" si="138">188/AE537*AC537</f>
        <v>1.90078988941548</v>
      </c>
      <c r="AG537" s="4">
        <f t="shared" ref="AG537:AG568" si="139">V537/AB537*100</f>
        <v>1.50078988941548</v>
      </c>
      <c r="AH537" s="4">
        <f t="shared" ref="AH537:AH568" si="140">Z537/AB537*100</f>
        <v>1.02685624012638</v>
      </c>
    </row>
    <row r="538" spans="1:34">
      <c r="A538" s="2">
        <v>20260306</v>
      </c>
      <c r="B538" s="2" t="s">
        <v>1119</v>
      </c>
      <c r="C538" s="2" t="s">
        <v>1120</v>
      </c>
      <c r="D538" s="2">
        <v>7</v>
      </c>
      <c r="E538" s="2">
        <v>39</v>
      </c>
      <c r="F538" s="2">
        <v>42</v>
      </c>
      <c r="G538" s="2">
        <v>6</v>
      </c>
      <c r="H538" s="2">
        <v>22</v>
      </c>
      <c r="I538" s="3">
        <v>17</v>
      </c>
      <c r="J538" s="2">
        <v>87</v>
      </c>
      <c r="K538" s="2">
        <v>22</v>
      </c>
      <c r="L538" s="2">
        <v>1</v>
      </c>
      <c r="M538" s="2">
        <v>3</v>
      </c>
      <c r="N538" s="2">
        <v>9</v>
      </c>
      <c r="O538" s="2">
        <v>58</v>
      </c>
      <c r="P538" s="3">
        <v>10</v>
      </c>
      <c r="Q538" s="2">
        <v>6</v>
      </c>
      <c r="R538" s="2">
        <v>12</v>
      </c>
      <c r="S538" s="2">
        <v>0</v>
      </c>
      <c r="T538" s="2">
        <v>31</v>
      </c>
      <c r="U538" s="2">
        <v>1</v>
      </c>
      <c r="V538" s="2">
        <f t="shared" si="124"/>
        <v>193</v>
      </c>
      <c r="W538" s="2">
        <v>1</v>
      </c>
      <c r="X538" s="2">
        <v>5</v>
      </c>
      <c r="Y538" s="2">
        <v>0</v>
      </c>
      <c r="Z538" s="2">
        <f t="shared" ref="Z538:Z551" si="141">Y538+X538+W538+U538</f>
        <v>7</v>
      </c>
      <c r="AA538" s="2">
        <f t="shared" si="137"/>
        <v>200</v>
      </c>
      <c r="AB538" s="2">
        <v>1826</v>
      </c>
      <c r="AC538" s="20">
        <f t="shared" si="131"/>
        <v>10.9529025191676</v>
      </c>
      <c r="AD538" s="2" t="s">
        <v>58</v>
      </c>
      <c r="AE538" s="2">
        <v>250</v>
      </c>
      <c r="AF538" s="21">
        <f t="shared" si="138"/>
        <v>8.23658269441402</v>
      </c>
      <c r="AG538" s="4">
        <f t="shared" si="139"/>
        <v>10.5695509309967</v>
      </c>
      <c r="AH538" s="4">
        <f t="shared" si="140"/>
        <v>0.383351588170865</v>
      </c>
    </row>
    <row r="539" spans="1:34">
      <c r="A539" s="2">
        <v>20260306</v>
      </c>
      <c r="B539" s="2" t="s">
        <v>1121</v>
      </c>
      <c r="C539" s="2" t="s">
        <v>1122</v>
      </c>
      <c r="D539" s="2">
        <v>1</v>
      </c>
      <c r="E539" s="2">
        <v>10</v>
      </c>
      <c r="F539" s="2">
        <v>7</v>
      </c>
      <c r="G539" s="2">
        <v>0</v>
      </c>
      <c r="H539" s="2">
        <v>3</v>
      </c>
      <c r="I539" s="3">
        <v>16</v>
      </c>
      <c r="J539" s="2">
        <v>10</v>
      </c>
      <c r="K539" s="2">
        <v>1</v>
      </c>
      <c r="L539" s="2">
        <v>0</v>
      </c>
      <c r="M539" s="2">
        <v>1</v>
      </c>
      <c r="N539" s="2">
        <v>7</v>
      </c>
      <c r="O539" s="2">
        <v>12</v>
      </c>
      <c r="P539" s="3">
        <v>6</v>
      </c>
      <c r="Q539" s="2">
        <v>1</v>
      </c>
      <c r="R539" s="2">
        <v>10</v>
      </c>
      <c r="S539" s="2">
        <v>3</v>
      </c>
      <c r="T539" s="2">
        <v>1</v>
      </c>
      <c r="U539" s="2">
        <v>0</v>
      </c>
      <c r="V539" s="2">
        <f t="shared" si="124"/>
        <v>24</v>
      </c>
      <c r="W539" s="2">
        <v>6</v>
      </c>
      <c r="X539" s="2">
        <v>8</v>
      </c>
      <c r="Y539" s="2">
        <v>0</v>
      </c>
      <c r="Z539" s="2">
        <f t="shared" si="141"/>
        <v>14</v>
      </c>
      <c r="AA539" s="2">
        <f t="shared" si="137"/>
        <v>38</v>
      </c>
      <c r="AB539" s="2">
        <v>1666</v>
      </c>
      <c r="AC539" s="20">
        <f t="shared" si="131"/>
        <v>2.28091236494598</v>
      </c>
      <c r="AD539" s="2" t="s">
        <v>58</v>
      </c>
      <c r="AE539" s="2">
        <v>250</v>
      </c>
      <c r="AF539" s="21">
        <f t="shared" si="138"/>
        <v>1.71524609843938</v>
      </c>
      <c r="AG539" s="4">
        <f t="shared" si="139"/>
        <v>1.4405762304922</v>
      </c>
      <c r="AH539" s="4">
        <f t="shared" si="140"/>
        <v>0.840336134453782</v>
      </c>
    </row>
    <row r="540" spans="1:34">
      <c r="A540" s="2">
        <v>20260306</v>
      </c>
      <c r="B540" s="2" t="s">
        <v>1123</v>
      </c>
      <c r="C540" s="2" t="s">
        <v>1124</v>
      </c>
      <c r="D540" s="2">
        <v>6</v>
      </c>
      <c r="E540" s="2">
        <v>44</v>
      </c>
      <c r="F540" s="2">
        <v>35</v>
      </c>
      <c r="G540" s="2">
        <v>11</v>
      </c>
      <c r="H540" s="2">
        <v>29</v>
      </c>
      <c r="I540" s="3">
        <v>43</v>
      </c>
      <c r="J540" s="2">
        <v>16</v>
      </c>
      <c r="K540" s="2">
        <v>35</v>
      </c>
      <c r="L540" s="2">
        <v>1</v>
      </c>
      <c r="M540" s="2">
        <v>10</v>
      </c>
      <c r="N540" s="2">
        <v>16</v>
      </c>
      <c r="O540" s="2">
        <v>50</v>
      </c>
      <c r="P540" s="3">
        <v>10</v>
      </c>
      <c r="Q540" s="2">
        <v>11</v>
      </c>
      <c r="R540" s="2">
        <v>18</v>
      </c>
      <c r="S540" s="2">
        <v>5</v>
      </c>
      <c r="T540" s="2">
        <v>21</v>
      </c>
      <c r="U540" s="2">
        <v>3</v>
      </c>
      <c r="V540" s="2">
        <f t="shared" si="124"/>
        <v>161</v>
      </c>
      <c r="W540" s="2">
        <v>4</v>
      </c>
      <c r="X540" s="2">
        <v>11</v>
      </c>
      <c r="Y540" s="2">
        <v>0</v>
      </c>
      <c r="Z540" s="2">
        <f t="shared" si="141"/>
        <v>18</v>
      </c>
      <c r="AA540" s="2">
        <f t="shared" ref="AA540:AA552" si="142">G540+H540+I540+J540+K540+L540+M540+P540+T540+U540</f>
        <v>179</v>
      </c>
      <c r="AB540" s="2">
        <v>1996</v>
      </c>
      <c r="AC540" s="20">
        <f t="shared" ref="AC540:AC552" si="143">AA540/AB540*100</f>
        <v>8.96793587174349</v>
      </c>
      <c r="AD540" s="2" t="s">
        <v>58</v>
      </c>
      <c r="AE540" s="2">
        <v>250</v>
      </c>
      <c r="AF540" s="21">
        <f t="shared" si="138"/>
        <v>6.7438877755511</v>
      </c>
      <c r="AG540" s="4">
        <f t="shared" si="139"/>
        <v>8.06613226452906</v>
      </c>
      <c r="AH540" s="4">
        <f t="shared" si="140"/>
        <v>0.901803607214429</v>
      </c>
    </row>
    <row r="541" spans="1:34">
      <c r="A541" s="2">
        <v>20260306</v>
      </c>
      <c r="B541" s="2" t="s">
        <v>1125</v>
      </c>
      <c r="C541" s="2" t="s">
        <v>1126</v>
      </c>
      <c r="D541" s="2">
        <v>1</v>
      </c>
      <c r="E541" s="2">
        <v>18</v>
      </c>
      <c r="F541" s="2">
        <v>6</v>
      </c>
      <c r="G541" s="2">
        <v>2</v>
      </c>
      <c r="H541" s="2">
        <v>6</v>
      </c>
      <c r="I541" s="3">
        <v>16</v>
      </c>
      <c r="J541" s="2">
        <v>9</v>
      </c>
      <c r="K541" s="2">
        <v>4</v>
      </c>
      <c r="L541" s="2">
        <v>0</v>
      </c>
      <c r="M541" s="2">
        <v>3</v>
      </c>
      <c r="N541" s="2">
        <v>1</v>
      </c>
      <c r="O541" s="2">
        <v>16</v>
      </c>
      <c r="P541" s="3">
        <v>3</v>
      </c>
      <c r="Q541" s="2">
        <v>3</v>
      </c>
      <c r="R541" s="2">
        <v>11</v>
      </c>
      <c r="S541" s="2">
        <v>2</v>
      </c>
      <c r="T541" s="2">
        <v>3</v>
      </c>
      <c r="U541" s="2">
        <v>1</v>
      </c>
      <c r="V541" s="2">
        <f t="shared" si="124"/>
        <v>32</v>
      </c>
      <c r="W541" s="2">
        <v>6</v>
      </c>
      <c r="X541" s="2">
        <v>8</v>
      </c>
      <c r="Y541" s="2">
        <v>0</v>
      </c>
      <c r="Z541" s="2">
        <f t="shared" si="141"/>
        <v>15</v>
      </c>
      <c r="AA541" s="2">
        <f t="shared" si="142"/>
        <v>47</v>
      </c>
      <c r="AB541" s="2">
        <v>1876</v>
      </c>
      <c r="AC541" s="20">
        <f t="shared" si="143"/>
        <v>2.50533049040512</v>
      </c>
      <c r="AD541" s="2" t="s">
        <v>58</v>
      </c>
      <c r="AE541" s="2">
        <v>250</v>
      </c>
      <c r="AF541" s="21">
        <f t="shared" si="138"/>
        <v>1.88400852878465</v>
      </c>
      <c r="AG541" s="4">
        <f t="shared" si="139"/>
        <v>1.70575692963753</v>
      </c>
      <c r="AH541" s="4">
        <f t="shared" si="140"/>
        <v>0.799573560767591</v>
      </c>
    </row>
    <row r="542" spans="1:34">
      <c r="A542" s="2">
        <v>20260306</v>
      </c>
      <c r="B542" s="2" t="s">
        <v>1127</v>
      </c>
      <c r="C542" s="2" t="s">
        <v>1128</v>
      </c>
      <c r="D542" s="2">
        <v>4</v>
      </c>
      <c r="E542" s="2">
        <v>56</v>
      </c>
      <c r="F542" s="2">
        <v>14</v>
      </c>
      <c r="G542" s="2">
        <v>3</v>
      </c>
      <c r="H542" s="2">
        <v>19</v>
      </c>
      <c r="I542" s="3">
        <v>35</v>
      </c>
      <c r="J542" s="2">
        <v>26</v>
      </c>
      <c r="K542" s="2">
        <v>7</v>
      </c>
      <c r="L542" s="2">
        <v>1</v>
      </c>
      <c r="M542" s="2">
        <v>10</v>
      </c>
      <c r="N542" s="2">
        <v>170</v>
      </c>
      <c r="O542" s="2">
        <v>20</v>
      </c>
      <c r="P542" s="3">
        <v>4</v>
      </c>
      <c r="Q542" s="2">
        <v>9</v>
      </c>
      <c r="R542" s="2">
        <v>17</v>
      </c>
      <c r="S542" s="2">
        <v>7</v>
      </c>
      <c r="T542" s="2">
        <v>7</v>
      </c>
      <c r="U542" s="2">
        <v>2</v>
      </c>
      <c r="V542" s="2">
        <f t="shared" si="124"/>
        <v>97</v>
      </c>
      <c r="W542" s="2">
        <v>6</v>
      </c>
      <c r="X542" s="2">
        <v>9</v>
      </c>
      <c r="Y542" s="2">
        <v>0</v>
      </c>
      <c r="Z542" s="2">
        <f t="shared" si="141"/>
        <v>17</v>
      </c>
      <c r="AA542" s="2">
        <f t="shared" si="142"/>
        <v>114</v>
      </c>
      <c r="AB542" s="2">
        <v>1876</v>
      </c>
      <c r="AC542" s="20">
        <f t="shared" si="143"/>
        <v>6.07675906183369</v>
      </c>
      <c r="AD542" s="2" t="s">
        <v>49</v>
      </c>
      <c r="AE542" s="2">
        <v>250</v>
      </c>
      <c r="AF542" s="21">
        <f t="shared" si="138"/>
        <v>4.56972281449893</v>
      </c>
      <c r="AG542" s="4">
        <f t="shared" si="139"/>
        <v>5.17057569296375</v>
      </c>
      <c r="AH542" s="4">
        <f t="shared" si="140"/>
        <v>0.906183368869936</v>
      </c>
    </row>
    <row r="543" spans="1:34">
      <c r="A543" s="2">
        <v>20260306</v>
      </c>
      <c r="B543" s="2" t="s">
        <v>1129</v>
      </c>
      <c r="C543" s="2" t="s">
        <v>1130</v>
      </c>
      <c r="D543" s="2">
        <v>0</v>
      </c>
      <c r="E543" s="2">
        <v>18</v>
      </c>
      <c r="F543" s="2">
        <v>11</v>
      </c>
      <c r="G543" s="2">
        <v>1</v>
      </c>
      <c r="H543" s="2">
        <v>3</v>
      </c>
      <c r="I543" s="3">
        <v>8</v>
      </c>
      <c r="J543" s="2">
        <v>9</v>
      </c>
      <c r="K543" s="2">
        <v>0</v>
      </c>
      <c r="L543" s="2">
        <v>0</v>
      </c>
      <c r="M543" s="2">
        <v>5</v>
      </c>
      <c r="N543" s="2">
        <v>4</v>
      </c>
      <c r="O543" s="2">
        <v>5</v>
      </c>
      <c r="P543" s="3">
        <v>3</v>
      </c>
      <c r="Q543" s="2">
        <v>1</v>
      </c>
      <c r="R543" s="2">
        <v>8</v>
      </c>
      <c r="S543" s="2">
        <v>5</v>
      </c>
      <c r="T543" s="2">
        <v>1</v>
      </c>
      <c r="U543" s="2">
        <v>0</v>
      </c>
      <c r="V543" s="2">
        <f t="shared" si="124"/>
        <v>21</v>
      </c>
      <c r="W543" s="2">
        <v>5</v>
      </c>
      <c r="X543" s="2">
        <v>4</v>
      </c>
      <c r="Y543" s="2">
        <v>0</v>
      </c>
      <c r="Z543" s="2">
        <f t="shared" si="141"/>
        <v>9</v>
      </c>
      <c r="AA543" s="2">
        <f t="shared" si="142"/>
        <v>30</v>
      </c>
      <c r="AB543" s="2">
        <v>1976</v>
      </c>
      <c r="AC543" s="20">
        <f t="shared" si="143"/>
        <v>1.51821862348178</v>
      </c>
      <c r="AD543" s="2" t="s">
        <v>49</v>
      </c>
      <c r="AE543" s="2">
        <v>250</v>
      </c>
      <c r="AF543" s="21">
        <f t="shared" si="138"/>
        <v>1.1417004048583</v>
      </c>
      <c r="AG543" s="4">
        <f t="shared" si="139"/>
        <v>1.06275303643725</v>
      </c>
      <c r="AH543" s="4">
        <f t="shared" si="140"/>
        <v>0.455465587044534</v>
      </c>
    </row>
    <row r="544" spans="1:34">
      <c r="A544" s="2">
        <v>20260307</v>
      </c>
      <c r="B544" s="2" t="s">
        <v>1131</v>
      </c>
      <c r="C544" s="2" t="s">
        <v>1132</v>
      </c>
      <c r="D544" s="2">
        <v>3</v>
      </c>
      <c r="E544" s="2">
        <v>9</v>
      </c>
      <c r="F544" s="2">
        <v>15</v>
      </c>
      <c r="G544" s="2">
        <v>1</v>
      </c>
      <c r="H544" s="2">
        <v>1</v>
      </c>
      <c r="I544" s="3">
        <v>21</v>
      </c>
      <c r="J544" s="2">
        <v>2</v>
      </c>
      <c r="K544" s="2">
        <v>0</v>
      </c>
      <c r="L544" s="2">
        <v>1</v>
      </c>
      <c r="M544" s="2">
        <v>5</v>
      </c>
      <c r="N544" s="2">
        <v>10</v>
      </c>
      <c r="O544" s="2">
        <v>15</v>
      </c>
      <c r="P544" s="3">
        <v>8</v>
      </c>
      <c r="Q544" s="2">
        <v>6</v>
      </c>
      <c r="R544" s="2">
        <v>4</v>
      </c>
      <c r="S544" s="2">
        <v>1</v>
      </c>
      <c r="T544" s="2">
        <v>2</v>
      </c>
      <c r="U544" s="2">
        <v>1</v>
      </c>
      <c r="V544" s="2">
        <f t="shared" si="124"/>
        <v>22</v>
      </c>
      <c r="W544" s="2">
        <v>5</v>
      </c>
      <c r="X544" s="2">
        <v>14</v>
      </c>
      <c r="Y544" s="2">
        <v>0</v>
      </c>
      <c r="Z544" s="2">
        <f t="shared" si="141"/>
        <v>20</v>
      </c>
      <c r="AA544" s="2">
        <f t="shared" si="142"/>
        <v>42</v>
      </c>
      <c r="AB544" s="2">
        <v>1876</v>
      </c>
      <c r="AC544" s="20">
        <f t="shared" si="143"/>
        <v>2.23880597014925</v>
      </c>
      <c r="AD544" s="2" t="s">
        <v>49</v>
      </c>
      <c r="AE544" s="2">
        <v>250</v>
      </c>
      <c r="AF544" s="21">
        <f t="shared" si="138"/>
        <v>1.68358208955224</v>
      </c>
      <c r="AG544" s="4">
        <f t="shared" si="139"/>
        <v>1.1727078891258</v>
      </c>
      <c r="AH544" s="4">
        <f t="shared" si="140"/>
        <v>1.06609808102345</v>
      </c>
    </row>
    <row r="545" spans="1:34">
      <c r="A545" s="2">
        <v>20260307</v>
      </c>
      <c r="B545" s="2" t="s">
        <v>1133</v>
      </c>
      <c r="C545" s="2" t="s">
        <v>1134</v>
      </c>
      <c r="D545" s="2">
        <v>3</v>
      </c>
      <c r="E545" s="2">
        <v>17</v>
      </c>
      <c r="F545" s="2">
        <v>17</v>
      </c>
      <c r="G545" s="2">
        <v>1</v>
      </c>
      <c r="H545" s="2">
        <v>1</v>
      </c>
      <c r="I545" s="3">
        <v>19</v>
      </c>
      <c r="J545" s="2">
        <v>14</v>
      </c>
      <c r="K545" s="2">
        <v>2</v>
      </c>
      <c r="L545" s="2">
        <v>0</v>
      </c>
      <c r="M545" s="2">
        <v>5</v>
      </c>
      <c r="N545" s="2">
        <v>7</v>
      </c>
      <c r="O545" s="2">
        <v>20</v>
      </c>
      <c r="P545" s="3">
        <v>6</v>
      </c>
      <c r="Q545" s="2">
        <v>5</v>
      </c>
      <c r="R545" s="2">
        <v>7</v>
      </c>
      <c r="S545" s="2">
        <v>2</v>
      </c>
      <c r="T545" s="2">
        <v>4</v>
      </c>
      <c r="U545" s="2">
        <v>1</v>
      </c>
      <c r="V545" s="2">
        <f t="shared" si="124"/>
        <v>39</v>
      </c>
      <c r="W545" s="2">
        <v>4</v>
      </c>
      <c r="X545" s="2">
        <v>9</v>
      </c>
      <c r="Y545" s="2">
        <v>0</v>
      </c>
      <c r="Z545" s="2">
        <f t="shared" si="141"/>
        <v>14</v>
      </c>
      <c r="AA545" s="2">
        <f t="shared" si="142"/>
        <v>53</v>
      </c>
      <c r="AB545" s="2">
        <v>2076</v>
      </c>
      <c r="AC545" s="20">
        <f t="shared" si="143"/>
        <v>2.55298651252408</v>
      </c>
      <c r="AD545" s="2" t="s">
        <v>49</v>
      </c>
      <c r="AE545" s="2">
        <v>250</v>
      </c>
      <c r="AF545" s="21">
        <f t="shared" si="138"/>
        <v>1.91984585741811</v>
      </c>
      <c r="AG545" s="4">
        <f t="shared" si="139"/>
        <v>1.87861271676301</v>
      </c>
      <c r="AH545" s="4">
        <f t="shared" si="140"/>
        <v>0.674373795761079</v>
      </c>
    </row>
    <row r="546" spans="1:34">
      <c r="A546" s="2">
        <v>20260307</v>
      </c>
      <c r="B546" s="2" t="s">
        <v>1135</v>
      </c>
      <c r="C546" s="2" t="s">
        <v>1136</v>
      </c>
      <c r="D546" s="2">
        <v>4</v>
      </c>
      <c r="E546" s="2">
        <v>29</v>
      </c>
      <c r="F546" s="2">
        <v>25</v>
      </c>
      <c r="G546" s="2">
        <v>1</v>
      </c>
      <c r="H546" s="2">
        <v>4</v>
      </c>
      <c r="I546" s="3">
        <v>18</v>
      </c>
      <c r="J546" s="2">
        <v>15</v>
      </c>
      <c r="K546" s="2">
        <v>1</v>
      </c>
      <c r="L546" s="2">
        <v>1</v>
      </c>
      <c r="M546" s="2">
        <v>5</v>
      </c>
      <c r="N546" s="2">
        <v>20</v>
      </c>
      <c r="O546" s="2">
        <v>19</v>
      </c>
      <c r="P546" s="3">
        <v>7</v>
      </c>
      <c r="Q546" s="2">
        <v>19</v>
      </c>
      <c r="R546" s="2">
        <v>4</v>
      </c>
      <c r="S546" s="2">
        <v>5</v>
      </c>
      <c r="T546" s="2">
        <v>4</v>
      </c>
      <c r="U546" s="2">
        <v>0</v>
      </c>
      <c r="V546" s="2">
        <f t="shared" si="124"/>
        <v>33</v>
      </c>
      <c r="W546" s="2">
        <v>15</v>
      </c>
      <c r="X546" s="2">
        <v>8</v>
      </c>
      <c r="Y546" s="2">
        <v>0</v>
      </c>
      <c r="Z546" s="2">
        <f t="shared" si="141"/>
        <v>23</v>
      </c>
      <c r="AA546" s="2">
        <f t="shared" si="142"/>
        <v>56</v>
      </c>
      <c r="AB546" s="2">
        <v>1976</v>
      </c>
      <c r="AC546" s="20">
        <f t="shared" si="143"/>
        <v>2.83400809716599</v>
      </c>
      <c r="AD546" s="2" t="s">
        <v>49</v>
      </c>
      <c r="AE546" s="2">
        <v>250</v>
      </c>
      <c r="AF546" s="21">
        <f t="shared" si="138"/>
        <v>2.13117408906883</v>
      </c>
      <c r="AG546" s="4">
        <f t="shared" si="139"/>
        <v>1.67004048582996</v>
      </c>
      <c r="AH546" s="4">
        <f t="shared" si="140"/>
        <v>1.16396761133603</v>
      </c>
    </row>
    <row r="547" spans="1:34">
      <c r="A547" s="2">
        <v>20260307</v>
      </c>
      <c r="B547" s="2" t="s">
        <v>1137</v>
      </c>
      <c r="C547" s="2" t="s">
        <v>1138</v>
      </c>
      <c r="D547" s="2">
        <v>9</v>
      </c>
      <c r="E547" s="2">
        <v>46</v>
      </c>
      <c r="F547" s="2">
        <v>31</v>
      </c>
      <c r="G547" s="2">
        <v>1</v>
      </c>
      <c r="H547" s="2">
        <v>41</v>
      </c>
      <c r="I547" s="3">
        <v>43</v>
      </c>
      <c r="J547" s="2">
        <v>25</v>
      </c>
      <c r="K547" s="2">
        <v>19</v>
      </c>
      <c r="L547" s="2">
        <v>1</v>
      </c>
      <c r="M547" s="2">
        <v>5</v>
      </c>
      <c r="N547" s="2">
        <v>42</v>
      </c>
      <c r="O547" s="2">
        <v>64</v>
      </c>
      <c r="P547" s="3">
        <v>14</v>
      </c>
      <c r="Q547" s="2">
        <v>12</v>
      </c>
      <c r="R547" s="2">
        <v>9</v>
      </c>
      <c r="S547" s="2">
        <v>5</v>
      </c>
      <c r="T547" s="2">
        <v>13</v>
      </c>
      <c r="U547" s="2">
        <v>0</v>
      </c>
      <c r="V547" s="2">
        <f t="shared" si="124"/>
        <v>137</v>
      </c>
      <c r="W547" s="2">
        <v>12</v>
      </c>
      <c r="X547" s="2">
        <v>13</v>
      </c>
      <c r="Y547" s="2">
        <v>0</v>
      </c>
      <c r="Z547" s="2">
        <f t="shared" si="141"/>
        <v>25</v>
      </c>
      <c r="AA547" s="2">
        <f t="shared" si="142"/>
        <v>162</v>
      </c>
      <c r="AB547" s="2">
        <v>1536</v>
      </c>
      <c r="AC547" s="20">
        <f t="shared" si="143"/>
        <v>10.546875</v>
      </c>
      <c r="AD547" s="2" t="s">
        <v>58</v>
      </c>
      <c r="AE547" s="2">
        <v>250</v>
      </c>
      <c r="AF547" s="21">
        <f t="shared" si="138"/>
        <v>7.93125</v>
      </c>
      <c r="AG547" s="4">
        <f t="shared" si="139"/>
        <v>8.91927083333333</v>
      </c>
      <c r="AH547" s="4">
        <f t="shared" si="140"/>
        <v>1.62760416666667</v>
      </c>
    </row>
    <row r="548" spans="1:34">
      <c r="A548" s="2">
        <v>20260307</v>
      </c>
      <c r="B548" s="2" t="s">
        <v>1139</v>
      </c>
      <c r="C548" s="2" t="s">
        <v>1140</v>
      </c>
      <c r="D548" s="2">
        <v>6</v>
      </c>
      <c r="E548" s="2">
        <v>11</v>
      </c>
      <c r="F548" s="2">
        <v>12</v>
      </c>
      <c r="G548" s="2">
        <v>5</v>
      </c>
      <c r="H548" s="2">
        <v>3</v>
      </c>
      <c r="I548" s="3">
        <v>36</v>
      </c>
      <c r="J548" s="2">
        <v>12</v>
      </c>
      <c r="K548" s="2">
        <v>1</v>
      </c>
      <c r="L548" s="2">
        <v>0</v>
      </c>
      <c r="M548" s="2">
        <v>7</v>
      </c>
      <c r="N548" s="2">
        <v>7</v>
      </c>
      <c r="O548" s="2">
        <v>23</v>
      </c>
      <c r="P548" s="3">
        <v>7</v>
      </c>
      <c r="Q548" s="2">
        <v>0</v>
      </c>
      <c r="R548" s="2">
        <v>2</v>
      </c>
      <c r="S548" s="2">
        <v>0</v>
      </c>
      <c r="T548" s="2">
        <v>0</v>
      </c>
      <c r="U548" s="2">
        <v>0</v>
      </c>
      <c r="V548" s="2">
        <f t="shared" si="124"/>
        <v>13</v>
      </c>
      <c r="W548" s="2">
        <v>25</v>
      </c>
      <c r="X548" s="2">
        <v>33</v>
      </c>
      <c r="Y548" s="2">
        <v>0</v>
      </c>
      <c r="Z548" s="2">
        <f t="shared" si="141"/>
        <v>58</v>
      </c>
      <c r="AA548" s="2">
        <f t="shared" si="142"/>
        <v>71</v>
      </c>
      <c r="AB548" s="2">
        <v>2516</v>
      </c>
      <c r="AC548" s="20">
        <f t="shared" si="143"/>
        <v>2.82193958664547</v>
      </c>
      <c r="AD548" s="2" t="s">
        <v>58</v>
      </c>
      <c r="AE548" s="2">
        <v>250</v>
      </c>
      <c r="AF548" s="21">
        <f t="shared" si="138"/>
        <v>2.12209856915739</v>
      </c>
      <c r="AG548" s="4">
        <f t="shared" si="139"/>
        <v>0.516693163751987</v>
      </c>
      <c r="AH548" s="4">
        <f t="shared" si="140"/>
        <v>2.30524642289348</v>
      </c>
    </row>
    <row r="549" spans="1:34">
      <c r="A549" s="2">
        <v>20260307</v>
      </c>
      <c r="B549" s="2" t="s">
        <v>1141</v>
      </c>
      <c r="C549" s="2" t="s">
        <v>1142</v>
      </c>
      <c r="D549" s="2">
        <v>1</v>
      </c>
      <c r="E549" s="2">
        <v>2</v>
      </c>
      <c r="F549" s="2">
        <v>3</v>
      </c>
      <c r="G549" s="2">
        <v>2</v>
      </c>
      <c r="H549" s="2">
        <v>1</v>
      </c>
      <c r="I549" s="3">
        <v>10</v>
      </c>
      <c r="J549" s="2">
        <v>3</v>
      </c>
      <c r="K549" s="2">
        <v>12</v>
      </c>
      <c r="L549" s="2">
        <v>0</v>
      </c>
      <c r="M549" s="2">
        <v>1</v>
      </c>
      <c r="N549" s="2">
        <v>24</v>
      </c>
      <c r="O549" s="2">
        <v>2</v>
      </c>
      <c r="P549" s="3">
        <v>5</v>
      </c>
      <c r="Q549" s="2">
        <v>2</v>
      </c>
      <c r="R549" s="2">
        <v>47</v>
      </c>
      <c r="S549" s="2">
        <v>1</v>
      </c>
      <c r="T549" s="2">
        <v>3</v>
      </c>
      <c r="U549" s="2">
        <v>0</v>
      </c>
      <c r="V549" s="2">
        <f t="shared" si="124"/>
        <v>33</v>
      </c>
      <c r="W549" s="2">
        <v>0</v>
      </c>
      <c r="X549" s="2">
        <v>4</v>
      </c>
      <c r="Y549" s="2">
        <v>0</v>
      </c>
      <c r="Z549" s="2">
        <f t="shared" si="141"/>
        <v>4</v>
      </c>
      <c r="AA549" s="2">
        <f t="shared" si="142"/>
        <v>37</v>
      </c>
      <c r="AB549" s="2">
        <v>2105</v>
      </c>
      <c r="AC549" s="20">
        <f t="shared" si="143"/>
        <v>1.75771971496437</v>
      </c>
      <c r="AD549" s="2" t="s">
        <v>44</v>
      </c>
      <c r="AE549" s="2">
        <v>125</v>
      </c>
      <c r="AF549" s="21">
        <f t="shared" si="138"/>
        <v>2.64361045130641</v>
      </c>
      <c r="AG549" s="4">
        <f t="shared" si="139"/>
        <v>1.56769596199525</v>
      </c>
      <c r="AH549" s="4">
        <f t="shared" si="140"/>
        <v>0.190023752969121</v>
      </c>
    </row>
    <row r="550" spans="1:34">
      <c r="A550" s="2">
        <v>20260307</v>
      </c>
      <c r="B550" s="2" t="s">
        <v>1143</v>
      </c>
      <c r="C550" s="2" t="s">
        <v>1144</v>
      </c>
      <c r="D550" s="2">
        <v>0</v>
      </c>
      <c r="E550" s="2">
        <v>5</v>
      </c>
      <c r="F550" s="2">
        <v>0</v>
      </c>
      <c r="G550" s="2">
        <v>2</v>
      </c>
      <c r="H550" s="2">
        <v>4</v>
      </c>
      <c r="I550" s="3">
        <v>6</v>
      </c>
      <c r="J550" s="2">
        <v>6</v>
      </c>
      <c r="K550" s="2">
        <v>3</v>
      </c>
      <c r="L550" s="2">
        <v>0</v>
      </c>
      <c r="M550" s="2">
        <v>1</v>
      </c>
      <c r="N550" s="2">
        <v>16</v>
      </c>
      <c r="O550" s="2">
        <v>5</v>
      </c>
      <c r="P550" s="3">
        <v>5</v>
      </c>
      <c r="Q550" s="2">
        <v>6</v>
      </c>
      <c r="R550" s="2">
        <v>71</v>
      </c>
      <c r="S550" s="2">
        <v>3</v>
      </c>
      <c r="T550" s="2">
        <v>5</v>
      </c>
      <c r="U550" s="2">
        <v>0</v>
      </c>
      <c r="V550" s="2">
        <f t="shared" si="124"/>
        <v>27</v>
      </c>
      <c r="W550" s="2">
        <v>3</v>
      </c>
      <c r="X550" s="2">
        <v>2</v>
      </c>
      <c r="Y550" s="2">
        <v>0</v>
      </c>
      <c r="Z550" s="2">
        <f t="shared" si="141"/>
        <v>5</v>
      </c>
      <c r="AA550" s="2">
        <f t="shared" si="142"/>
        <v>32</v>
      </c>
      <c r="AB550" s="2">
        <v>2405</v>
      </c>
      <c r="AC550" s="20">
        <f t="shared" si="143"/>
        <v>1.33056133056133</v>
      </c>
      <c r="AD550" s="2" t="s">
        <v>44</v>
      </c>
      <c r="AE550" s="2">
        <v>125</v>
      </c>
      <c r="AF550" s="21">
        <f t="shared" si="138"/>
        <v>2.00116424116424</v>
      </c>
      <c r="AG550" s="4">
        <f t="shared" si="139"/>
        <v>1.12266112266112</v>
      </c>
      <c r="AH550" s="4">
        <f t="shared" si="140"/>
        <v>0.207900207900208</v>
      </c>
    </row>
    <row r="551" spans="1:34">
      <c r="A551" s="2">
        <v>20260307</v>
      </c>
      <c r="B551" s="2" t="s">
        <v>1145</v>
      </c>
      <c r="C551" s="2" t="s">
        <v>1146</v>
      </c>
      <c r="D551" s="2">
        <v>0</v>
      </c>
      <c r="E551" s="2">
        <v>0</v>
      </c>
      <c r="F551" s="2">
        <v>0</v>
      </c>
      <c r="G551" s="2">
        <v>1</v>
      </c>
      <c r="H551" s="2">
        <v>2</v>
      </c>
      <c r="I551" s="3">
        <v>11</v>
      </c>
      <c r="J551" s="2">
        <v>9</v>
      </c>
      <c r="K551" s="2">
        <v>0</v>
      </c>
      <c r="L551" s="2">
        <v>0</v>
      </c>
      <c r="M551" s="2">
        <v>1</v>
      </c>
      <c r="N551" s="2">
        <v>18</v>
      </c>
      <c r="O551" s="2">
        <v>0</v>
      </c>
      <c r="P551" s="3">
        <v>4</v>
      </c>
      <c r="Q551" s="2">
        <v>2</v>
      </c>
      <c r="R551" s="2">
        <v>79</v>
      </c>
      <c r="S551" s="2">
        <v>2</v>
      </c>
      <c r="T551" s="2">
        <v>2</v>
      </c>
      <c r="U551" s="2">
        <v>0</v>
      </c>
      <c r="V551" s="2">
        <f t="shared" si="124"/>
        <v>30</v>
      </c>
      <c r="W551" s="2">
        <v>0</v>
      </c>
      <c r="X551" s="2">
        <v>0</v>
      </c>
      <c r="Y551" s="2">
        <v>0</v>
      </c>
      <c r="Z551" s="2">
        <f t="shared" si="141"/>
        <v>0</v>
      </c>
      <c r="AA551" s="2">
        <f t="shared" si="142"/>
        <v>30</v>
      </c>
      <c r="AB551" s="2">
        <v>2106</v>
      </c>
      <c r="AC551" s="20">
        <f t="shared" si="143"/>
        <v>1.42450142450142</v>
      </c>
      <c r="AD551" s="2" t="s">
        <v>44</v>
      </c>
      <c r="AE551" s="2">
        <v>125</v>
      </c>
      <c r="AF551" s="21">
        <f t="shared" si="138"/>
        <v>2.14245014245014</v>
      </c>
      <c r="AG551" s="4">
        <f t="shared" si="139"/>
        <v>1.42450142450142</v>
      </c>
      <c r="AH551" s="4">
        <f t="shared" si="140"/>
        <v>0</v>
      </c>
    </row>
    <row r="552" spans="1:34">
      <c r="A552" s="2">
        <v>20260307</v>
      </c>
      <c r="B552" s="2" t="s">
        <v>1147</v>
      </c>
      <c r="C552" s="2" t="s">
        <v>1148</v>
      </c>
      <c r="D552" s="2">
        <v>0</v>
      </c>
      <c r="E552" s="2">
        <v>2645</v>
      </c>
      <c r="F552" s="2">
        <v>6</v>
      </c>
      <c r="G552" s="2">
        <v>3</v>
      </c>
      <c r="H552" s="2">
        <v>69</v>
      </c>
      <c r="I552" s="3">
        <v>24</v>
      </c>
      <c r="J552" s="2">
        <v>43</v>
      </c>
      <c r="K552" s="2">
        <v>2</v>
      </c>
      <c r="L552" s="2">
        <v>0</v>
      </c>
      <c r="M552" s="2">
        <v>1</v>
      </c>
      <c r="N552" s="2">
        <v>37</v>
      </c>
      <c r="O552" s="2">
        <v>14</v>
      </c>
      <c r="P552" s="3">
        <v>1</v>
      </c>
      <c r="Q552" s="2">
        <v>3</v>
      </c>
      <c r="R552" s="2">
        <v>334</v>
      </c>
      <c r="S552" s="2">
        <v>0</v>
      </c>
      <c r="T552" s="2">
        <v>1231</v>
      </c>
      <c r="U552" s="2">
        <v>0</v>
      </c>
      <c r="V552" s="2">
        <f t="shared" ref="V552:V583" si="144">AA552-Y552-X552-W552-U552</f>
        <v>1374</v>
      </c>
      <c r="W552" s="2">
        <v>0</v>
      </c>
      <c r="X552" s="2">
        <v>0</v>
      </c>
      <c r="Y552" s="2">
        <v>0</v>
      </c>
      <c r="Z552" s="2">
        <f t="shared" ref="Z552:Z583" si="145">Y552+X552+W552+U552</f>
        <v>0</v>
      </c>
      <c r="AA552" s="2">
        <f t="shared" ref="AA552:AA583" si="146">G552+H552+I552+J552+K552+L552+M552+P552+T552+U552</f>
        <v>1374</v>
      </c>
      <c r="AB552" s="2">
        <v>1317</v>
      </c>
      <c r="AC552" s="20">
        <f t="shared" ref="AC552:AC583" si="147">AA552/AB552*100</f>
        <v>104.328018223235</v>
      </c>
      <c r="AD552" s="2" t="s">
        <v>44</v>
      </c>
      <c r="AE552" s="2">
        <v>250</v>
      </c>
      <c r="AF552" s="21">
        <f t="shared" si="138"/>
        <v>78.4546697038724</v>
      </c>
      <c r="AG552" s="4">
        <f t="shared" si="139"/>
        <v>104.328018223235</v>
      </c>
      <c r="AH552" s="4">
        <f t="shared" si="140"/>
        <v>0</v>
      </c>
    </row>
    <row r="553" spans="1:34">
      <c r="A553" s="2">
        <v>20260307</v>
      </c>
      <c r="B553" s="2" t="s">
        <v>1149</v>
      </c>
      <c r="C553" s="2" t="s">
        <v>1150</v>
      </c>
      <c r="D553" s="2">
        <v>2</v>
      </c>
      <c r="E553" s="2">
        <v>77</v>
      </c>
      <c r="F553" s="2">
        <v>3</v>
      </c>
      <c r="G553" s="2">
        <v>2</v>
      </c>
      <c r="H553" s="2">
        <v>6</v>
      </c>
      <c r="I553" s="3">
        <v>10</v>
      </c>
      <c r="J553" s="2">
        <v>20</v>
      </c>
      <c r="K553" s="2">
        <v>0</v>
      </c>
      <c r="L553" s="2">
        <v>1</v>
      </c>
      <c r="M553" s="2">
        <v>4</v>
      </c>
      <c r="N553" s="2">
        <v>14</v>
      </c>
      <c r="O553" s="2">
        <v>4</v>
      </c>
      <c r="P553" s="3">
        <v>2</v>
      </c>
      <c r="Q553" s="2">
        <v>5</v>
      </c>
      <c r="R553" s="2">
        <v>273</v>
      </c>
      <c r="S553" s="2">
        <v>1</v>
      </c>
      <c r="T553" s="2">
        <v>2</v>
      </c>
      <c r="U553" s="2">
        <v>0</v>
      </c>
      <c r="V553" s="2">
        <f t="shared" si="144"/>
        <v>39</v>
      </c>
      <c r="W553" s="2">
        <v>3</v>
      </c>
      <c r="X553" s="2">
        <v>5</v>
      </c>
      <c r="Y553" s="2">
        <v>0</v>
      </c>
      <c r="Z553" s="2">
        <f t="shared" si="145"/>
        <v>8</v>
      </c>
      <c r="AA553" s="2">
        <f t="shared" si="146"/>
        <v>47</v>
      </c>
      <c r="AB553" s="2">
        <v>1257</v>
      </c>
      <c r="AC553" s="20">
        <f t="shared" si="147"/>
        <v>3.73906125696102</v>
      </c>
      <c r="AD553" s="2" t="s">
        <v>44</v>
      </c>
      <c r="AE553" s="2">
        <v>250</v>
      </c>
      <c r="AF553" s="21">
        <f t="shared" si="138"/>
        <v>2.81177406523469</v>
      </c>
      <c r="AG553" s="4">
        <f t="shared" si="139"/>
        <v>3.10262529832936</v>
      </c>
      <c r="AH553" s="4">
        <f t="shared" si="140"/>
        <v>0.636435958631663</v>
      </c>
    </row>
    <row r="554" spans="1:34">
      <c r="A554" s="2">
        <v>20260307</v>
      </c>
      <c r="B554" s="2" t="s">
        <v>1151</v>
      </c>
      <c r="C554" s="2" t="s">
        <v>1152</v>
      </c>
      <c r="D554" s="2">
        <v>93</v>
      </c>
      <c r="E554" s="2">
        <v>7523</v>
      </c>
      <c r="F554" s="2">
        <v>6</v>
      </c>
      <c r="G554" s="2">
        <v>2</v>
      </c>
      <c r="H554" s="2">
        <v>20</v>
      </c>
      <c r="I554" s="3">
        <v>229</v>
      </c>
      <c r="J554" s="2">
        <v>45</v>
      </c>
      <c r="K554" s="2">
        <v>1</v>
      </c>
      <c r="L554" s="2">
        <v>0</v>
      </c>
      <c r="M554" s="2">
        <v>0</v>
      </c>
      <c r="N554" s="2">
        <v>40</v>
      </c>
      <c r="O554" s="2">
        <v>19</v>
      </c>
      <c r="P554" s="3">
        <v>3</v>
      </c>
      <c r="Q554" s="2">
        <v>8</v>
      </c>
      <c r="R554" s="2">
        <v>163</v>
      </c>
      <c r="S554" s="2">
        <v>0</v>
      </c>
      <c r="T554" s="2">
        <v>303</v>
      </c>
      <c r="U554" s="2">
        <v>1</v>
      </c>
      <c r="V554" s="2">
        <f t="shared" si="144"/>
        <v>599</v>
      </c>
      <c r="W554" s="2">
        <v>3</v>
      </c>
      <c r="X554" s="2">
        <v>1</v>
      </c>
      <c r="Y554" s="2">
        <v>0</v>
      </c>
      <c r="Z554" s="2">
        <f t="shared" si="145"/>
        <v>5</v>
      </c>
      <c r="AA554" s="2">
        <f t="shared" si="146"/>
        <v>604</v>
      </c>
      <c r="AB554" s="2">
        <v>1257</v>
      </c>
      <c r="AC554" s="20">
        <f t="shared" si="147"/>
        <v>48.0509148766905</v>
      </c>
      <c r="AD554" s="2" t="s">
        <v>44</v>
      </c>
      <c r="AE554" s="2">
        <v>250</v>
      </c>
      <c r="AF554" s="21">
        <f t="shared" si="138"/>
        <v>36.1342879872713</v>
      </c>
      <c r="AG554" s="4">
        <f t="shared" si="139"/>
        <v>47.6531424025457</v>
      </c>
      <c r="AH554" s="4">
        <f t="shared" si="140"/>
        <v>0.397772474144789</v>
      </c>
    </row>
    <row r="555" spans="1:34">
      <c r="A555" s="2">
        <v>20260307</v>
      </c>
      <c r="B555" s="2" t="s">
        <v>1153</v>
      </c>
      <c r="C555" s="2" t="s">
        <v>1154</v>
      </c>
      <c r="D555" s="2">
        <v>1</v>
      </c>
      <c r="E555" s="2">
        <v>24</v>
      </c>
      <c r="F555" s="2">
        <v>7</v>
      </c>
      <c r="G555" s="2">
        <v>2</v>
      </c>
      <c r="H555" s="2">
        <v>12</v>
      </c>
      <c r="I555" s="3">
        <v>34</v>
      </c>
      <c r="J555" s="2">
        <v>7</v>
      </c>
      <c r="K555" s="2">
        <v>4</v>
      </c>
      <c r="L555" s="2">
        <v>2</v>
      </c>
      <c r="M555" s="2">
        <v>12</v>
      </c>
      <c r="N555" s="2">
        <v>4</v>
      </c>
      <c r="O555" s="2">
        <v>9</v>
      </c>
      <c r="P555" s="3">
        <v>5</v>
      </c>
      <c r="Q555" s="2">
        <v>4</v>
      </c>
      <c r="R555" s="2">
        <v>4</v>
      </c>
      <c r="S555" s="2">
        <v>2</v>
      </c>
      <c r="T555" s="2">
        <v>1</v>
      </c>
      <c r="U555" s="2">
        <v>2</v>
      </c>
      <c r="V555" s="2">
        <f t="shared" si="144"/>
        <v>63</v>
      </c>
      <c r="W555" s="2">
        <v>0</v>
      </c>
      <c r="X555" s="2">
        <v>16</v>
      </c>
      <c r="Y555" s="2">
        <v>0</v>
      </c>
      <c r="Z555" s="2">
        <f t="shared" si="145"/>
        <v>18</v>
      </c>
      <c r="AA555" s="2">
        <f t="shared" si="146"/>
        <v>81</v>
      </c>
      <c r="AB555" s="2">
        <v>1907</v>
      </c>
      <c r="AC555" s="20">
        <f t="shared" si="147"/>
        <v>4.24750917671736</v>
      </c>
      <c r="AD555" s="2" t="s">
        <v>44</v>
      </c>
      <c r="AE555" s="2">
        <v>250</v>
      </c>
      <c r="AF555" s="21">
        <f t="shared" si="138"/>
        <v>3.19412690089145</v>
      </c>
      <c r="AG555" s="4">
        <f t="shared" si="139"/>
        <v>3.30361824855794</v>
      </c>
      <c r="AH555" s="4">
        <f t="shared" si="140"/>
        <v>0.943890928159413</v>
      </c>
    </row>
    <row r="556" spans="1:34">
      <c r="A556" s="2">
        <v>20260307</v>
      </c>
      <c r="B556" s="2" t="s">
        <v>1155</v>
      </c>
      <c r="C556" s="2" t="s">
        <v>1156</v>
      </c>
      <c r="D556" s="2">
        <v>2</v>
      </c>
      <c r="E556" s="2">
        <v>2</v>
      </c>
      <c r="F556" s="2">
        <v>10</v>
      </c>
      <c r="G556" s="2">
        <v>1</v>
      </c>
      <c r="H556" s="2">
        <v>1</v>
      </c>
      <c r="I556" s="3">
        <v>5</v>
      </c>
      <c r="J556" s="2">
        <v>1</v>
      </c>
      <c r="K556" s="2">
        <v>2</v>
      </c>
      <c r="L556" s="2">
        <v>0</v>
      </c>
      <c r="M556" s="2">
        <v>2</v>
      </c>
      <c r="N556" s="2">
        <v>3</v>
      </c>
      <c r="O556" s="2">
        <v>20</v>
      </c>
      <c r="P556" s="3">
        <v>3</v>
      </c>
      <c r="Q556" s="2">
        <v>3</v>
      </c>
      <c r="R556" s="2">
        <v>1</v>
      </c>
      <c r="S556" s="2">
        <v>0</v>
      </c>
      <c r="T556" s="2">
        <v>1</v>
      </c>
      <c r="U556" s="2">
        <v>0</v>
      </c>
      <c r="V556" s="2">
        <f t="shared" si="144"/>
        <v>12</v>
      </c>
      <c r="W556" s="2">
        <v>1</v>
      </c>
      <c r="X556" s="2">
        <v>3</v>
      </c>
      <c r="Y556" s="2">
        <v>0</v>
      </c>
      <c r="Z556" s="2">
        <f t="shared" si="145"/>
        <v>4</v>
      </c>
      <c r="AA556" s="2">
        <f t="shared" si="146"/>
        <v>16</v>
      </c>
      <c r="AB556" s="2">
        <v>1267</v>
      </c>
      <c r="AC556" s="20">
        <f t="shared" si="147"/>
        <v>1.26282557221784</v>
      </c>
      <c r="AD556" s="2" t="s">
        <v>44</v>
      </c>
      <c r="AE556" s="2">
        <v>250</v>
      </c>
      <c r="AF556" s="21">
        <f t="shared" si="138"/>
        <v>0.949644830307814</v>
      </c>
      <c r="AG556" s="4">
        <f t="shared" si="139"/>
        <v>0.947119179163378</v>
      </c>
      <c r="AH556" s="4">
        <f t="shared" si="140"/>
        <v>0.315706393054459</v>
      </c>
    </row>
    <row r="557" spans="1:34">
      <c r="A557" s="2">
        <v>20260307</v>
      </c>
      <c r="B557" s="2" t="s">
        <v>1157</v>
      </c>
      <c r="C557" s="2" t="s">
        <v>1158</v>
      </c>
      <c r="D557" s="2">
        <v>1</v>
      </c>
      <c r="E557" s="2">
        <v>0</v>
      </c>
      <c r="F557" s="2">
        <v>5</v>
      </c>
      <c r="G557" s="2">
        <v>3</v>
      </c>
      <c r="H557" s="2">
        <v>2</v>
      </c>
      <c r="I557" s="3">
        <v>4</v>
      </c>
      <c r="J557" s="2">
        <v>7</v>
      </c>
      <c r="K557" s="2">
        <v>0</v>
      </c>
      <c r="L557" s="2">
        <v>0</v>
      </c>
      <c r="M557" s="2">
        <v>0</v>
      </c>
      <c r="N557" s="2">
        <v>6</v>
      </c>
      <c r="O557" s="2">
        <v>1</v>
      </c>
      <c r="P557" s="3">
        <v>0</v>
      </c>
      <c r="Q557" s="2">
        <v>1</v>
      </c>
      <c r="R557" s="2">
        <v>41</v>
      </c>
      <c r="S557" s="2">
        <v>4</v>
      </c>
      <c r="T557" s="2">
        <v>6</v>
      </c>
      <c r="U557" s="2">
        <v>0</v>
      </c>
      <c r="V557" s="2">
        <f t="shared" si="144"/>
        <v>17</v>
      </c>
      <c r="W557" s="2">
        <v>0</v>
      </c>
      <c r="X557" s="2">
        <v>5</v>
      </c>
      <c r="Y557" s="2">
        <v>0</v>
      </c>
      <c r="Z557" s="2">
        <f t="shared" si="145"/>
        <v>5</v>
      </c>
      <c r="AA557" s="2">
        <f t="shared" si="146"/>
        <v>22</v>
      </c>
      <c r="AB557" s="2">
        <v>1840</v>
      </c>
      <c r="AC557" s="20">
        <f t="shared" si="147"/>
        <v>1.19565217391304</v>
      </c>
      <c r="AD557" s="2" t="s">
        <v>44</v>
      </c>
      <c r="AE557" s="2">
        <v>125</v>
      </c>
      <c r="AF557" s="21">
        <f t="shared" si="138"/>
        <v>1.79826086956522</v>
      </c>
      <c r="AG557" s="4">
        <f t="shared" si="139"/>
        <v>0.923913043478261</v>
      </c>
      <c r="AH557" s="4">
        <f t="shared" si="140"/>
        <v>0.271739130434783</v>
      </c>
    </row>
    <row r="558" spans="1:34">
      <c r="A558" s="2">
        <v>20260307</v>
      </c>
      <c r="B558" s="2" t="s">
        <v>1159</v>
      </c>
      <c r="C558" s="2" t="s">
        <v>1160</v>
      </c>
      <c r="D558" s="2">
        <v>8</v>
      </c>
      <c r="E558" s="2">
        <v>6</v>
      </c>
      <c r="F558" s="2">
        <v>20</v>
      </c>
      <c r="G558" s="2">
        <v>15</v>
      </c>
      <c r="H558" s="2">
        <v>25</v>
      </c>
      <c r="I558" s="3">
        <v>21</v>
      </c>
      <c r="J558" s="2">
        <v>21</v>
      </c>
      <c r="K558" s="2">
        <v>25</v>
      </c>
      <c r="L558" s="2">
        <v>0</v>
      </c>
      <c r="M558" s="2">
        <v>2</v>
      </c>
      <c r="N558" s="2">
        <v>37</v>
      </c>
      <c r="O558" s="2">
        <v>60</v>
      </c>
      <c r="P558" s="3">
        <v>18</v>
      </c>
      <c r="Q558" s="2">
        <v>21</v>
      </c>
      <c r="R558" s="2">
        <v>118</v>
      </c>
      <c r="S558" s="2">
        <v>3</v>
      </c>
      <c r="T558" s="2">
        <v>30</v>
      </c>
      <c r="U558" s="2">
        <v>0</v>
      </c>
      <c r="V558" s="2">
        <f t="shared" si="144"/>
        <v>149</v>
      </c>
      <c r="W558" s="2">
        <v>0</v>
      </c>
      <c r="X558" s="2">
        <v>8</v>
      </c>
      <c r="Y558" s="2">
        <v>0</v>
      </c>
      <c r="Z558" s="2">
        <f t="shared" si="145"/>
        <v>8</v>
      </c>
      <c r="AA558" s="2">
        <f t="shared" si="146"/>
        <v>157</v>
      </c>
      <c r="AB558" s="2">
        <v>4380</v>
      </c>
      <c r="AC558" s="20">
        <f t="shared" si="147"/>
        <v>3.58447488584475</v>
      </c>
      <c r="AD558" s="2" t="s">
        <v>44</v>
      </c>
      <c r="AE558" s="2">
        <v>125</v>
      </c>
      <c r="AF558" s="21">
        <f t="shared" si="138"/>
        <v>5.3910502283105</v>
      </c>
      <c r="AG558" s="4">
        <f t="shared" si="139"/>
        <v>3.40182648401826</v>
      </c>
      <c r="AH558" s="4">
        <f t="shared" si="140"/>
        <v>0.182648401826484</v>
      </c>
    </row>
    <row r="559" spans="1:34">
      <c r="A559" s="2">
        <v>20260308</v>
      </c>
      <c r="B559" s="2" t="s">
        <v>1161</v>
      </c>
      <c r="C559" s="2" t="s">
        <v>1162</v>
      </c>
      <c r="D559" s="2">
        <v>1</v>
      </c>
      <c r="E559" s="2">
        <v>3</v>
      </c>
      <c r="F559" s="2">
        <v>10</v>
      </c>
      <c r="G559" s="2">
        <v>5</v>
      </c>
      <c r="H559" s="2">
        <v>10</v>
      </c>
      <c r="I559" s="3">
        <v>16</v>
      </c>
      <c r="J559" s="2">
        <v>10</v>
      </c>
      <c r="K559" s="2">
        <v>18</v>
      </c>
      <c r="L559" s="2">
        <v>0</v>
      </c>
      <c r="M559" s="2">
        <v>2</v>
      </c>
      <c r="N559" s="2">
        <v>30</v>
      </c>
      <c r="O559" s="2">
        <v>6</v>
      </c>
      <c r="P559" s="3">
        <v>7</v>
      </c>
      <c r="Q559" s="2">
        <v>9</v>
      </c>
      <c r="R559" s="2">
        <v>95</v>
      </c>
      <c r="S559" s="2">
        <v>8</v>
      </c>
      <c r="T559" s="2">
        <v>11</v>
      </c>
      <c r="U559" s="2">
        <v>0</v>
      </c>
      <c r="V559" s="2">
        <f t="shared" si="144"/>
        <v>67</v>
      </c>
      <c r="W559" s="2">
        <v>0</v>
      </c>
      <c r="X559" s="2">
        <v>12</v>
      </c>
      <c r="Y559" s="2">
        <v>0</v>
      </c>
      <c r="Z559" s="2">
        <f t="shared" si="145"/>
        <v>12</v>
      </c>
      <c r="AA559" s="2">
        <f t="shared" si="146"/>
        <v>79</v>
      </c>
      <c r="AB559" s="2">
        <v>4360</v>
      </c>
      <c r="AC559" s="20">
        <f t="shared" si="147"/>
        <v>1.81192660550459</v>
      </c>
      <c r="AD559" s="2" t="s">
        <v>44</v>
      </c>
      <c r="AE559" s="2">
        <v>125</v>
      </c>
      <c r="AF559" s="21">
        <f t="shared" si="138"/>
        <v>2.7251376146789</v>
      </c>
      <c r="AG559" s="4">
        <f t="shared" si="139"/>
        <v>1.53669724770642</v>
      </c>
      <c r="AH559" s="4">
        <f t="shared" si="140"/>
        <v>0.275229357798165</v>
      </c>
    </row>
    <row r="560" spans="1:34">
      <c r="A560" s="2">
        <v>20260308</v>
      </c>
      <c r="B560" s="2" t="s">
        <v>1163</v>
      </c>
      <c r="C560" s="2" t="s">
        <v>1164</v>
      </c>
      <c r="D560" s="2">
        <v>0</v>
      </c>
      <c r="E560" s="2">
        <v>6</v>
      </c>
      <c r="F560" s="2">
        <v>3</v>
      </c>
      <c r="G560" s="2">
        <v>0</v>
      </c>
      <c r="H560" s="2">
        <v>2</v>
      </c>
      <c r="I560" s="3">
        <v>11</v>
      </c>
      <c r="J560" s="2">
        <v>4</v>
      </c>
      <c r="K560" s="2">
        <v>2</v>
      </c>
      <c r="L560" s="2">
        <v>0</v>
      </c>
      <c r="M560" s="2">
        <v>5</v>
      </c>
      <c r="N560" s="2">
        <v>16</v>
      </c>
      <c r="O560" s="2">
        <v>2</v>
      </c>
      <c r="P560" s="3">
        <v>2</v>
      </c>
      <c r="Q560" s="2">
        <v>5</v>
      </c>
      <c r="R560" s="2">
        <v>159</v>
      </c>
      <c r="S560" s="2">
        <v>5</v>
      </c>
      <c r="T560" s="2">
        <v>0</v>
      </c>
      <c r="U560" s="2">
        <v>0</v>
      </c>
      <c r="V560" s="2">
        <f t="shared" si="144"/>
        <v>21</v>
      </c>
      <c r="W560" s="2">
        <v>0</v>
      </c>
      <c r="X560" s="2">
        <v>5</v>
      </c>
      <c r="Y560" s="2">
        <v>0</v>
      </c>
      <c r="Z560" s="2">
        <f t="shared" si="145"/>
        <v>5</v>
      </c>
      <c r="AA560" s="2">
        <f t="shared" si="146"/>
        <v>26</v>
      </c>
      <c r="AB560" s="2">
        <v>4380</v>
      </c>
      <c r="AC560" s="20">
        <f t="shared" si="147"/>
        <v>0.593607305936073</v>
      </c>
      <c r="AD560" s="2" t="s">
        <v>44</v>
      </c>
      <c r="AE560" s="2">
        <v>125</v>
      </c>
      <c r="AF560" s="21">
        <f t="shared" si="138"/>
        <v>0.892785388127854</v>
      </c>
      <c r="AG560" s="4">
        <f t="shared" si="139"/>
        <v>0.479452054794521</v>
      </c>
      <c r="AH560" s="4">
        <f t="shared" si="140"/>
        <v>0.114155251141553</v>
      </c>
    </row>
    <row r="561" spans="1:34">
      <c r="A561" s="2">
        <v>20260308</v>
      </c>
      <c r="B561" s="2" t="s">
        <v>1165</v>
      </c>
      <c r="C561" s="2" t="s">
        <v>1166</v>
      </c>
      <c r="D561" s="2">
        <v>2</v>
      </c>
      <c r="E561" s="2">
        <v>1</v>
      </c>
      <c r="F561" s="2">
        <v>4</v>
      </c>
      <c r="G561" s="2">
        <v>0</v>
      </c>
      <c r="H561" s="2">
        <v>5</v>
      </c>
      <c r="I561" s="3">
        <v>13</v>
      </c>
      <c r="J561" s="2">
        <v>4</v>
      </c>
      <c r="K561" s="2">
        <v>7</v>
      </c>
      <c r="L561" s="2">
        <v>0</v>
      </c>
      <c r="M561" s="2">
        <v>2</v>
      </c>
      <c r="N561" s="2">
        <v>11</v>
      </c>
      <c r="O561" s="2">
        <v>1</v>
      </c>
      <c r="P561" s="3">
        <v>1</v>
      </c>
      <c r="Q561" s="2">
        <v>13</v>
      </c>
      <c r="R561" s="2">
        <v>42</v>
      </c>
      <c r="S561" s="2">
        <v>3</v>
      </c>
      <c r="T561" s="2">
        <v>0</v>
      </c>
      <c r="U561" s="2">
        <v>0</v>
      </c>
      <c r="V561" s="2">
        <f t="shared" si="144"/>
        <v>23</v>
      </c>
      <c r="W561" s="2">
        <v>0</v>
      </c>
      <c r="X561" s="2">
        <v>9</v>
      </c>
      <c r="Y561" s="2">
        <v>0</v>
      </c>
      <c r="Z561" s="2">
        <f t="shared" si="145"/>
        <v>9</v>
      </c>
      <c r="AA561" s="2">
        <f t="shared" si="146"/>
        <v>32</v>
      </c>
      <c r="AB561" s="2">
        <v>4075</v>
      </c>
      <c r="AC561" s="20">
        <f t="shared" si="147"/>
        <v>0.785276073619632</v>
      </c>
      <c r="AD561" s="2" t="s">
        <v>44</v>
      </c>
      <c r="AE561" s="2">
        <v>125</v>
      </c>
      <c r="AF561" s="21">
        <f t="shared" si="138"/>
        <v>1.18105521472393</v>
      </c>
      <c r="AG561" s="4">
        <f t="shared" si="139"/>
        <v>0.56441717791411</v>
      </c>
      <c r="AH561" s="4">
        <f t="shared" si="140"/>
        <v>0.220858895705521</v>
      </c>
    </row>
    <row r="562" spans="1:34">
      <c r="A562" s="2">
        <v>20260308</v>
      </c>
      <c r="B562" s="2" t="s">
        <v>1167</v>
      </c>
      <c r="C562" s="2" t="s">
        <v>1168</v>
      </c>
      <c r="D562" s="2">
        <v>3</v>
      </c>
      <c r="E562" s="2">
        <v>8</v>
      </c>
      <c r="F562" s="2">
        <v>2</v>
      </c>
      <c r="G562" s="2">
        <v>3</v>
      </c>
      <c r="H562" s="2">
        <v>4</v>
      </c>
      <c r="I562" s="3">
        <v>19</v>
      </c>
      <c r="J562" s="2">
        <v>9</v>
      </c>
      <c r="K562" s="2">
        <v>3</v>
      </c>
      <c r="L562" s="2">
        <v>0</v>
      </c>
      <c r="M562" s="2">
        <v>2</v>
      </c>
      <c r="N562" s="2">
        <v>31</v>
      </c>
      <c r="O562" s="2">
        <v>5</v>
      </c>
      <c r="P562" s="3">
        <v>5</v>
      </c>
      <c r="Q562" s="2">
        <v>10</v>
      </c>
      <c r="R562" s="2">
        <v>132</v>
      </c>
      <c r="S562" s="2">
        <v>1</v>
      </c>
      <c r="T562" s="2">
        <v>0</v>
      </c>
      <c r="U562" s="2">
        <v>0</v>
      </c>
      <c r="V562" s="2">
        <f t="shared" si="144"/>
        <v>35</v>
      </c>
      <c r="W562" s="2">
        <v>4</v>
      </c>
      <c r="X562" s="2">
        <v>6</v>
      </c>
      <c r="Y562" s="2">
        <v>0</v>
      </c>
      <c r="Z562" s="2">
        <f t="shared" si="145"/>
        <v>10</v>
      </c>
      <c r="AA562" s="2">
        <f t="shared" si="146"/>
        <v>45</v>
      </c>
      <c r="AB562" s="2">
        <v>4162</v>
      </c>
      <c r="AC562" s="20">
        <f t="shared" si="147"/>
        <v>1.08121095627102</v>
      </c>
      <c r="AD562" s="2" t="s">
        <v>44</v>
      </c>
      <c r="AE562" s="2">
        <v>125</v>
      </c>
      <c r="AF562" s="21">
        <f t="shared" si="138"/>
        <v>1.62614127823162</v>
      </c>
      <c r="AG562" s="4">
        <f t="shared" si="139"/>
        <v>0.840941854877463</v>
      </c>
      <c r="AH562" s="4">
        <f t="shared" si="140"/>
        <v>0.240269101393561</v>
      </c>
    </row>
    <row r="563" spans="1:34">
      <c r="A563" s="2">
        <v>20260308</v>
      </c>
      <c r="B563" s="2" t="s">
        <v>1169</v>
      </c>
      <c r="C563" s="2" t="s">
        <v>1170</v>
      </c>
      <c r="D563" s="2">
        <v>0</v>
      </c>
      <c r="E563" s="2">
        <v>0</v>
      </c>
      <c r="F563" s="2">
        <v>0</v>
      </c>
      <c r="G563" s="2">
        <v>0</v>
      </c>
      <c r="H563" s="2">
        <v>2</v>
      </c>
      <c r="I563" s="3">
        <v>5</v>
      </c>
      <c r="J563" s="2">
        <v>1</v>
      </c>
      <c r="K563" s="2">
        <v>3</v>
      </c>
      <c r="L563" s="2">
        <v>0</v>
      </c>
      <c r="M563" s="2">
        <v>1</v>
      </c>
      <c r="N563" s="2">
        <v>3</v>
      </c>
      <c r="O563" s="2">
        <v>0</v>
      </c>
      <c r="P563" s="3">
        <v>0</v>
      </c>
      <c r="Q563" s="2">
        <v>4</v>
      </c>
      <c r="R563" s="2">
        <v>57</v>
      </c>
      <c r="S563" s="2">
        <v>0</v>
      </c>
      <c r="T563" s="2">
        <v>0</v>
      </c>
      <c r="U563" s="2">
        <v>0</v>
      </c>
      <c r="V563" s="2">
        <f t="shared" si="144"/>
        <v>8</v>
      </c>
      <c r="W563" s="2">
        <v>1</v>
      </c>
      <c r="X563" s="2">
        <v>3</v>
      </c>
      <c r="Y563" s="2">
        <v>0</v>
      </c>
      <c r="Z563" s="2">
        <f t="shared" si="145"/>
        <v>4</v>
      </c>
      <c r="AA563" s="2">
        <f t="shared" si="146"/>
        <v>12</v>
      </c>
      <c r="AB563" s="2">
        <v>1588</v>
      </c>
      <c r="AC563" s="20">
        <f t="shared" si="147"/>
        <v>0.755667506297229</v>
      </c>
      <c r="AD563" s="2" t="s">
        <v>44</v>
      </c>
      <c r="AE563" s="2">
        <v>125</v>
      </c>
      <c r="AF563" s="21">
        <f t="shared" si="138"/>
        <v>1.13652392947103</v>
      </c>
      <c r="AG563" s="4">
        <f t="shared" si="139"/>
        <v>0.503778337531486</v>
      </c>
      <c r="AH563" s="4">
        <f t="shared" si="140"/>
        <v>0.251889168765743</v>
      </c>
    </row>
    <row r="564" spans="1:34">
      <c r="A564" s="2">
        <v>20260308</v>
      </c>
      <c r="B564" s="2" t="s">
        <v>1171</v>
      </c>
      <c r="C564" s="2" t="s">
        <v>1172</v>
      </c>
      <c r="D564" s="2">
        <v>2</v>
      </c>
      <c r="E564" s="2">
        <v>5</v>
      </c>
      <c r="F564" s="2">
        <v>3</v>
      </c>
      <c r="G564" s="2">
        <v>2</v>
      </c>
      <c r="H564" s="2">
        <v>6</v>
      </c>
      <c r="I564" s="3">
        <v>22</v>
      </c>
      <c r="J564" s="2">
        <v>7</v>
      </c>
      <c r="K564" s="2">
        <v>6</v>
      </c>
      <c r="L564" s="2">
        <v>0</v>
      </c>
      <c r="M564" s="2">
        <v>2</v>
      </c>
      <c r="N564" s="2">
        <v>20</v>
      </c>
      <c r="O564" s="2">
        <v>4</v>
      </c>
      <c r="P564" s="3">
        <v>2</v>
      </c>
      <c r="Q564" s="2">
        <v>5</v>
      </c>
      <c r="R564" s="2">
        <v>180</v>
      </c>
      <c r="S564" s="2">
        <v>2</v>
      </c>
      <c r="T564" s="2">
        <v>3</v>
      </c>
      <c r="U564" s="2">
        <v>0</v>
      </c>
      <c r="V564" s="2">
        <f t="shared" si="144"/>
        <v>36</v>
      </c>
      <c r="W564" s="2">
        <v>1</v>
      </c>
      <c r="X564" s="2">
        <v>13</v>
      </c>
      <c r="Y564" s="2">
        <v>0</v>
      </c>
      <c r="Z564" s="2">
        <f t="shared" si="145"/>
        <v>14</v>
      </c>
      <c r="AA564" s="2">
        <f t="shared" si="146"/>
        <v>50</v>
      </c>
      <c r="AB564" s="2">
        <v>4362</v>
      </c>
      <c r="AC564" s="20">
        <f t="shared" si="147"/>
        <v>1.14626318202659</v>
      </c>
      <c r="AD564" s="2" t="s">
        <v>44</v>
      </c>
      <c r="AE564" s="2">
        <v>125</v>
      </c>
      <c r="AF564" s="21">
        <f t="shared" si="138"/>
        <v>1.723979825768</v>
      </c>
      <c r="AG564" s="4">
        <f t="shared" si="139"/>
        <v>0.825309491059147</v>
      </c>
      <c r="AH564" s="4">
        <f t="shared" si="140"/>
        <v>0.320953690967446</v>
      </c>
    </row>
    <row r="565" spans="1:34">
      <c r="A565" s="2">
        <v>20260308</v>
      </c>
      <c r="B565" s="2" t="s">
        <v>1173</v>
      </c>
      <c r="C565" s="2" t="s">
        <v>1174</v>
      </c>
      <c r="D565" s="2">
        <v>3</v>
      </c>
      <c r="E565" s="2">
        <v>0</v>
      </c>
      <c r="F565" s="2">
        <v>3</v>
      </c>
      <c r="G565" s="2">
        <v>1</v>
      </c>
      <c r="H565" s="2">
        <v>2</v>
      </c>
      <c r="I565" s="3">
        <v>11</v>
      </c>
      <c r="J565" s="2">
        <v>0</v>
      </c>
      <c r="K565" s="2">
        <v>2</v>
      </c>
      <c r="L565" s="2">
        <v>0</v>
      </c>
      <c r="M565" s="2">
        <v>2</v>
      </c>
      <c r="N565" s="2">
        <v>4</v>
      </c>
      <c r="O565" s="2">
        <v>2</v>
      </c>
      <c r="P565" s="3">
        <v>1</v>
      </c>
      <c r="Q565" s="2">
        <v>5</v>
      </c>
      <c r="R565" s="2">
        <v>87</v>
      </c>
      <c r="S565" s="2">
        <v>0</v>
      </c>
      <c r="T565" s="2">
        <v>1</v>
      </c>
      <c r="U565" s="2">
        <v>0</v>
      </c>
      <c r="V565" s="2">
        <f t="shared" si="144"/>
        <v>12</v>
      </c>
      <c r="W565" s="2">
        <v>0</v>
      </c>
      <c r="X565" s="2">
        <v>8</v>
      </c>
      <c r="Y565" s="2">
        <v>0</v>
      </c>
      <c r="Z565" s="2">
        <f t="shared" si="145"/>
        <v>8</v>
      </c>
      <c r="AA565" s="2">
        <f t="shared" si="146"/>
        <v>20</v>
      </c>
      <c r="AB565" s="2">
        <v>2005</v>
      </c>
      <c r="AC565" s="20">
        <f t="shared" si="147"/>
        <v>0.997506234413965</v>
      </c>
      <c r="AD565" s="2" t="s">
        <v>44</v>
      </c>
      <c r="AE565" s="2">
        <v>125</v>
      </c>
      <c r="AF565" s="21">
        <f t="shared" si="138"/>
        <v>1.5002493765586</v>
      </c>
      <c r="AG565" s="4">
        <f t="shared" si="139"/>
        <v>0.598503740648379</v>
      </c>
      <c r="AH565" s="4">
        <f t="shared" si="140"/>
        <v>0.399002493765586</v>
      </c>
    </row>
    <row r="566" spans="1:34">
      <c r="A566" s="2">
        <v>20260308</v>
      </c>
      <c r="B566" s="2" t="s">
        <v>1145</v>
      </c>
      <c r="C566" s="2" t="s">
        <v>1175</v>
      </c>
      <c r="D566" s="2">
        <v>0</v>
      </c>
      <c r="E566" s="2">
        <v>3</v>
      </c>
      <c r="F566" s="2">
        <v>1</v>
      </c>
      <c r="G566" s="2">
        <v>1</v>
      </c>
      <c r="H566" s="2">
        <v>5</v>
      </c>
      <c r="I566" s="3">
        <v>8</v>
      </c>
      <c r="J566" s="2">
        <v>6</v>
      </c>
      <c r="K566" s="2">
        <v>2</v>
      </c>
      <c r="L566" s="2">
        <v>0</v>
      </c>
      <c r="M566" s="2">
        <v>2</v>
      </c>
      <c r="N566" s="2">
        <v>22</v>
      </c>
      <c r="O566" s="2">
        <v>0</v>
      </c>
      <c r="P566" s="3">
        <v>2</v>
      </c>
      <c r="Q566" s="2">
        <v>3</v>
      </c>
      <c r="R566" s="2">
        <v>83</v>
      </c>
      <c r="S566" s="2">
        <v>0</v>
      </c>
      <c r="T566" s="2">
        <v>2</v>
      </c>
      <c r="U566" s="2">
        <v>1</v>
      </c>
      <c r="V566" s="2">
        <f t="shared" si="144"/>
        <v>17</v>
      </c>
      <c r="W566" s="2">
        <v>2</v>
      </c>
      <c r="X566" s="2">
        <v>9</v>
      </c>
      <c r="Y566" s="2">
        <v>0</v>
      </c>
      <c r="Z566" s="2">
        <f t="shared" si="145"/>
        <v>12</v>
      </c>
      <c r="AA566" s="2">
        <f t="shared" si="146"/>
        <v>29</v>
      </c>
      <c r="AB566" s="2">
        <v>2107</v>
      </c>
      <c r="AC566" s="20">
        <f t="shared" si="147"/>
        <v>1.37636449928809</v>
      </c>
      <c r="AD566" s="2" t="s">
        <v>44</v>
      </c>
      <c r="AE566" s="2">
        <v>125</v>
      </c>
      <c r="AF566" s="21">
        <f t="shared" si="138"/>
        <v>2.07005220692928</v>
      </c>
      <c r="AG566" s="4">
        <f t="shared" si="139"/>
        <v>0.806834361651637</v>
      </c>
      <c r="AH566" s="4">
        <f t="shared" si="140"/>
        <v>0.56953013763645</v>
      </c>
    </row>
    <row r="567" spans="1:34">
      <c r="A567" s="2">
        <v>20260308</v>
      </c>
      <c r="B567" s="2" t="s">
        <v>1176</v>
      </c>
      <c r="C567" s="2" t="s">
        <v>1177</v>
      </c>
      <c r="D567" s="2">
        <v>1</v>
      </c>
      <c r="E567" s="2">
        <v>12</v>
      </c>
      <c r="F567" s="2">
        <v>2</v>
      </c>
      <c r="G567" s="2">
        <v>1</v>
      </c>
      <c r="H567" s="2">
        <v>11</v>
      </c>
      <c r="I567" s="3">
        <v>24</v>
      </c>
      <c r="J567" s="2">
        <v>15</v>
      </c>
      <c r="K567" s="2">
        <v>3</v>
      </c>
      <c r="L567" s="2">
        <v>0</v>
      </c>
      <c r="M567" s="2">
        <v>2</v>
      </c>
      <c r="N567" s="2">
        <v>28</v>
      </c>
      <c r="O567" s="2">
        <v>1</v>
      </c>
      <c r="P567" s="3">
        <v>4</v>
      </c>
      <c r="Q567" s="2">
        <v>4</v>
      </c>
      <c r="R567" s="2">
        <v>305</v>
      </c>
      <c r="S567" s="2">
        <v>1</v>
      </c>
      <c r="T567" s="2">
        <v>3</v>
      </c>
      <c r="U567" s="2">
        <v>0</v>
      </c>
      <c r="V567" s="2">
        <f t="shared" si="144"/>
        <v>49</v>
      </c>
      <c r="W567" s="2">
        <v>1</v>
      </c>
      <c r="X567" s="2">
        <v>13</v>
      </c>
      <c r="Y567" s="2">
        <v>0</v>
      </c>
      <c r="Z567" s="2">
        <f t="shared" si="145"/>
        <v>14</v>
      </c>
      <c r="AA567" s="2">
        <f t="shared" si="146"/>
        <v>63</v>
      </c>
      <c r="AB567" s="2">
        <v>4163</v>
      </c>
      <c r="AC567" s="20">
        <f t="shared" si="147"/>
        <v>1.51333173192409</v>
      </c>
      <c r="AD567" s="2" t="s">
        <v>44</v>
      </c>
      <c r="AE567" s="2">
        <v>125</v>
      </c>
      <c r="AF567" s="21">
        <f t="shared" si="138"/>
        <v>2.27605092481384</v>
      </c>
      <c r="AG567" s="4">
        <f t="shared" si="139"/>
        <v>1.17703579149652</v>
      </c>
      <c r="AH567" s="4">
        <f t="shared" si="140"/>
        <v>0.336295940427576</v>
      </c>
    </row>
    <row r="568" spans="1:34">
      <c r="A568" s="2">
        <v>20260308</v>
      </c>
      <c r="B568" s="2" t="s">
        <v>1178</v>
      </c>
      <c r="C568" s="2" t="s">
        <v>1179</v>
      </c>
      <c r="D568" s="2">
        <v>1</v>
      </c>
      <c r="E568" s="2">
        <v>3</v>
      </c>
      <c r="F568" s="2">
        <v>0</v>
      </c>
      <c r="G568" s="2">
        <v>4</v>
      </c>
      <c r="H568" s="2">
        <v>7</v>
      </c>
      <c r="I568" s="3">
        <v>13</v>
      </c>
      <c r="J568" s="2">
        <v>6</v>
      </c>
      <c r="K568" s="2">
        <v>21</v>
      </c>
      <c r="L568" s="2">
        <v>0</v>
      </c>
      <c r="M568" s="2">
        <v>1</v>
      </c>
      <c r="N568" s="2">
        <v>34</v>
      </c>
      <c r="O568" s="2">
        <v>0</v>
      </c>
      <c r="P568" s="3">
        <v>6</v>
      </c>
      <c r="Q568" s="2">
        <v>4</v>
      </c>
      <c r="R568" s="2">
        <v>261</v>
      </c>
      <c r="S568" s="2">
        <v>5</v>
      </c>
      <c r="T568" s="2">
        <v>7</v>
      </c>
      <c r="U568" s="2">
        <v>0</v>
      </c>
      <c r="V568" s="2">
        <f t="shared" si="144"/>
        <v>56</v>
      </c>
      <c r="W568" s="2">
        <v>2</v>
      </c>
      <c r="X568" s="2">
        <v>7</v>
      </c>
      <c r="Y568" s="2">
        <v>0</v>
      </c>
      <c r="Z568" s="2">
        <f t="shared" si="145"/>
        <v>9</v>
      </c>
      <c r="AA568" s="2">
        <f t="shared" si="146"/>
        <v>65</v>
      </c>
      <c r="AB568" s="2">
        <v>3117</v>
      </c>
      <c r="AC568" s="20">
        <f t="shared" si="147"/>
        <v>2.08533846647417</v>
      </c>
      <c r="AD568" s="2" t="s">
        <v>44</v>
      </c>
      <c r="AE568" s="2">
        <v>100</v>
      </c>
      <c r="AF568" s="21">
        <f t="shared" si="138"/>
        <v>3.92043631697145</v>
      </c>
      <c r="AG568" s="4">
        <f t="shared" si="139"/>
        <v>1.79659929419313</v>
      </c>
      <c r="AH568" s="4">
        <f t="shared" si="140"/>
        <v>0.288739172281039</v>
      </c>
    </row>
    <row r="569" spans="1:34">
      <c r="A569" s="2">
        <v>20260308</v>
      </c>
      <c r="B569" s="2" t="s">
        <v>1180</v>
      </c>
      <c r="C569" s="2" t="s">
        <v>1181</v>
      </c>
      <c r="D569" s="2">
        <v>1</v>
      </c>
      <c r="E569" s="2">
        <v>31</v>
      </c>
      <c r="F569" s="2">
        <v>6</v>
      </c>
      <c r="G569" s="2">
        <v>11</v>
      </c>
      <c r="H569" s="2">
        <v>17</v>
      </c>
      <c r="I569" s="3">
        <v>22</v>
      </c>
      <c r="J569" s="2">
        <v>22</v>
      </c>
      <c r="K569" s="2">
        <v>10</v>
      </c>
      <c r="L569" s="2">
        <v>2</v>
      </c>
      <c r="M569" s="2">
        <v>16</v>
      </c>
      <c r="N569" s="2">
        <v>41</v>
      </c>
      <c r="O569" s="2">
        <v>8</v>
      </c>
      <c r="P569" s="3">
        <v>9</v>
      </c>
      <c r="Q569" s="2">
        <v>12</v>
      </c>
      <c r="R569" s="2">
        <v>308</v>
      </c>
      <c r="S569" s="2">
        <v>5</v>
      </c>
      <c r="T569" s="2">
        <v>8</v>
      </c>
      <c r="U569" s="2">
        <v>0</v>
      </c>
      <c r="V569" s="2">
        <f t="shared" si="144"/>
        <v>107</v>
      </c>
      <c r="W569" s="2">
        <v>1</v>
      </c>
      <c r="X569" s="2">
        <v>9</v>
      </c>
      <c r="Y569" s="2">
        <v>0</v>
      </c>
      <c r="Z569" s="2">
        <f t="shared" si="145"/>
        <v>10</v>
      </c>
      <c r="AA569" s="2">
        <f t="shared" si="146"/>
        <v>117</v>
      </c>
      <c r="AB569" s="2">
        <v>4016</v>
      </c>
      <c r="AC569" s="20">
        <f t="shared" si="147"/>
        <v>2.91334661354582</v>
      </c>
      <c r="AD569" s="2" t="s">
        <v>44</v>
      </c>
      <c r="AE569" s="2">
        <v>100</v>
      </c>
      <c r="AF569" s="21">
        <f t="shared" ref="AF569:AF604" si="148">188/AE569*AC569</f>
        <v>5.47709163346614</v>
      </c>
      <c r="AG569" s="4">
        <f t="shared" ref="AG569:AG604" si="149">V569/AB569*100</f>
        <v>2.66434262948207</v>
      </c>
      <c r="AH569" s="4">
        <f t="shared" ref="AH569:AH604" si="150">Z569/AB569*100</f>
        <v>0.249003984063745</v>
      </c>
    </row>
    <row r="570" spans="1:34">
      <c r="A570" s="2">
        <v>20260308</v>
      </c>
      <c r="B570" s="2" t="s">
        <v>1182</v>
      </c>
      <c r="C570" s="2" t="s">
        <v>1183</v>
      </c>
      <c r="D570" s="2">
        <v>1</v>
      </c>
      <c r="E570" s="2">
        <v>3</v>
      </c>
      <c r="F570" s="2">
        <v>3</v>
      </c>
      <c r="G570" s="2">
        <v>6</v>
      </c>
      <c r="H570" s="2">
        <v>4</v>
      </c>
      <c r="I570" s="3">
        <v>5</v>
      </c>
      <c r="J570" s="2">
        <v>11</v>
      </c>
      <c r="K570" s="2">
        <v>6</v>
      </c>
      <c r="L570" s="2">
        <v>0</v>
      </c>
      <c r="M570" s="2">
        <v>3</v>
      </c>
      <c r="N570" s="2">
        <v>42</v>
      </c>
      <c r="O570" s="2">
        <v>0</v>
      </c>
      <c r="P570" s="3">
        <v>4</v>
      </c>
      <c r="Q570" s="2">
        <v>5</v>
      </c>
      <c r="R570" s="2">
        <v>214</v>
      </c>
      <c r="S570" s="2">
        <v>2</v>
      </c>
      <c r="T570" s="2">
        <v>9</v>
      </c>
      <c r="U570" s="2">
        <v>1</v>
      </c>
      <c r="V570" s="2">
        <f t="shared" si="144"/>
        <v>41</v>
      </c>
      <c r="W570" s="2">
        <v>2</v>
      </c>
      <c r="X570" s="2">
        <v>5</v>
      </c>
      <c r="Y570" s="2">
        <v>0</v>
      </c>
      <c r="Z570" s="2">
        <f t="shared" si="145"/>
        <v>8</v>
      </c>
      <c r="AA570" s="2">
        <f t="shared" si="146"/>
        <v>49</v>
      </c>
      <c r="AB570" s="2">
        <v>3278</v>
      </c>
      <c r="AC570" s="20">
        <f t="shared" si="147"/>
        <v>1.49481391092129</v>
      </c>
      <c r="AD570" s="2" t="s">
        <v>44</v>
      </c>
      <c r="AE570" s="2">
        <v>100</v>
      </c>
      <c r="AF570" s="21">
        <f t="shared" si="148"/>
        <v>2.81025015253203</v>
      </c>
      <c r="AG570" s="4">
        <f t="shared" si="149"/>
        <v>1.25076266015863</v>
      </c>
      <c r="AH570" s="4">
        <f t="shared" si="150"/>
        <v>0.24405125076266</v>
      </c>
    </row>
    <row r="571" spans="1:34">
      <c r="A571" s="2">
        <v>20260308</v>
      </c>
      <c r="B571" s="2" t="s">
        <v>1184</v>
      </c>
      <c r="C571" s="2" t="s">
        <v>1185</v>
      </c>
      <c r="D571" s="2">
        <v>1</v>
      </c>
      <c r="E571" s="2">
        <v>0</v>
      </c>
      <c r="F571" s="2">
        <v>5</v>
      </c>
      <c r="G571" s="2">
        <v>4</v>
      </c>
      <c r="H571" s="2">
        <v>0</v>
      </c>
      <c r="I571" s="3">
        <v>4</v>
      </c>
      <c r="J571" s="2">
        <v>23</v>
      </c>
      <c r="K571" s="2">
        <v>9</v>
      </c>
      <c r="L571" s="2">
        <v>2</v>
      </c>
      <c r="M571" s="2">
        <v>0</v>
      </c>
      <c r="N571" s="2">
        <v>4</v>
      </c>
      <c r="O571" s="2">
        <v>16</v>
      </c>
      <c r="P571" s="3">
        <v>1</v>
      </c>
      <c r="Q571" s="2">
        <v>5</v>
      </c>
      <c r="R571" s="2">
        <v>12</v>
      </c>
      <c r="S571" s="2">
        <v>99</v>
      </c>
      <c r="T571" s="2">
        <v>4</v>
      </c>
      <c r="U571" s="2">
        <v>2</v>
      </c>
      <c r="V571" s="2">
        <f t="shared" si="144"/>
        <v>27</v>
      </c>
      <c r="W571" s="2">
        <v>7</v>
      </c>
      <c r="X571" s="2">
        <v>12</v>
      </c>
      <c r="Y571" s="2">
        <v>1</v>
      </c>
      <c r="Z571" s="2">
        <f t="shared" si="145"/>
        <v>22</v>
      </c>
      <c r="AA571" s="2">
        <f t="shared" si="146"/>
        <v>49</v>
      </c>
      <c r="AB571" s="2">
        <v>2605</v>
      </c>
      <c r="AC571" s="20">
        <f t="shared" si="147"/>
        <v>1.8809980806142</v>
      </c>
      <c r="AD571" s="2" t="s">
        <v>58</v>
      </c>
      <c r="AE571" s="2">
        <v>125</v>
      </c>
      <c r="AF571" s="21">
        <f t="shared" si="148"/>
        <v>2.82902111324376</v>
      </c>
      <c r="AG571" s="4">
        <f t="shared" si="149"/>
        <v>1.03646833013436</v>
      </c>
      <c r="AH571" s="4">
        <f t="shared" si="150"/>
        <v>0.844529750479846</v>
      </c>
    </row>
    <row r="572" spans="1:34">
      <c r="A572" s="2">
        <v>20260308</v>
      </c>
      <c r="B572" s="2" t="s">
        <v>1186</v>
      </c>
      <c r="C572" s="2" t="s">
        <v>1187</v>
      </c>
      <c r="D572" s="2">
        <v>3</v>
      </c>
      <c r="E572" s="2">
        <v>6</v>
      </c>
      <c r="F572" s="2">
        <v>7</v>
      </c>
      <c r="G572" s="2">
        <v>4</v>
      </c>
      <c r="H572" s="2">
        <v>12</v>
      </c>
      <c r="I572" s="3">
        <v>21</v>
      </c>
      <c r="J572" s="2">
        <v>10</v>
      </c>
      <c r="K572" s="2">
        <v>1</v>
      </c>
      <c r="L572" s="2">
        <v>0</v>
      </c>
      <c r="M572" s="2">
        <v>2</v>
      </c>
      <c r="N572" s="2">
        <v>28</v>
      </c>
      <c r="O572" s="2">
        <v>0</v>
      </c>
      <c r="P572" s="3">
        <v>4</v>
      </c>
      <c r="Q572" s="2">
        <v>12</v>
      </c>
      <c r="R572" s="2">
        <v>1</v>
      </c>
      <c r="S572" s="2">
        <v>90</v>
      </c>
      <c r="T572" s="2">
        <v>4</v>
      </c>
      <c r="U572" s="2">
        <v>11</v>
      </c>
      <c r="V572" s="2">
        <f t="shared" si="144"/>
        <v>47</v>
      </c>
      <c r="W572" s="2">
        <v>3</v>
      </c>
      <c r="X572" s="2">
        <v>8</v>
      </c>
      <c r="Y572" s="2">
        <v>0</v>
      </c>
      <c r="Z572" s="2">
        <f t="shared" si="145"/>
        <v>22</v>
      </c>
      <c r="AA572" s="2">
        <f t="shared" si="146"/>
        <v>69</v>
      </c>
      <c r="AB572" s="2">
        <v>5162</v>
      </c>
      <c r="AC572" s="20">
        <f t="shared" si="147"/>
        <v>1.33669120495932</v>
      </c>
      <c r="AD572" s="2" t="s">
        <v>58</v>
      </c>
      <c r="AE572" s="2">
        <v>100</v>
      </c>
      <c r="AF572" s="21">
        <f t="shared" si="148"/>
        <v>2.51297946532352</v>
      </c>
      <c r="AG572" s="4">
        <f t="shared" si="149"/>
        <v>0.910499806276637</v>
      </c>
      <c r="AH572" s="4">
        <f t="shared" si="150"/>
        <v>0.426191398682681</v>
      </c>
    </row>
    <row r="573" spans="1:34">
      <c r="A573" s="2">
        <v>20260308</v>
      </c>
      <c r="B573" s="2" t="s">
        <v>1188</v>
      </c>
      <c r="C573" s="2" t="s">
        <v>1189</v>
      </c>
      <c r="D573" s="2">
        <v>0</v>
      </c>
      <c r="E573" s="2">
        <v>4</v>
      </c>
      <c r="F573" s="2">
        <v>5</v>
      </c>
      <c r="G573" s="2">
        <v>4</v>
      </c>
      <c r="H573" s="2">
        <v>4</v>
      </c>
      <c r="I573" s="3">
        <v>11</v>
      </c>
      <c r="J573" s="2">
        <v>6</v>
      </c>
      <c r="K573" s="2">
        <v>1</v>
      </c>
      <c r="L573" s="2">
        <v>2</v>
      </c>
      <c r="M573" s="2">
        <v>3</v>
      </c>
      <c r="N573" s="2">
        <v>27</v>
      </c>
      <c r="O573" s="2">
        <v>8</v>
      </c>
      <c r="P573" s="3">
        <v>6</v>
      </c>
      <c r="Q573" s="2">
        <v>8</v>
      </c>
      <c r="R573" s="2">
        <v>232</v>
      </c>
      <c r="S573" s="2">
        <v>2</v>
      </c>
      <c r="T573" s="2">
        <v>7</v>
      </c>
      <c r="U573" s="2">
        <v>1</v>
      </c>
      <c r="V573" s="2">
        <f t="shared" si="144"/>
        <v>40</v>
      </c>
      <c r="W573" s="2">
        <v>4</v>
      </c>
      <c r="X573" s="2">
        <v>0</v>
      </c>
      <c r="Y573" s="2">
        <v>0</v>
      </c>
      <c r="Z573" s="2">
        <f t="shared" si="145"/>
        <v>5</v>
      </c>
      <c r="AA573" s="2">
        <f t="shared" si="146"/>
        <v>45</v>
      </c>
      <c r="AB573" s="2">
        <v>5162</v>
      </c>
      <c r="AC573" s="20">
        <f t="shared" si="147"/>
        <v>0.87175513366912</v>
      </c>
      <c r="AD573" s="2" t="s">
        <v>58</v>
      </c>
      <c r="AE573" s="2">
        <v>100</v>
      </c>
      <c r="AF573" s="21">
        <f t="shared" si="148"/>
        <v>1.63889965129795</v>
      </c>
      <c r="AG573" s="4">
        <f t="shared" si="149"/>
        <v>0.774893452150329</v>
      </c>
      <c r="AH573" s="4">
        <f t="shared" si="150"/>
        <v>0.0968616815187912</v>
      </c>
    </row>
    <row r="574" spans="1:34">
      <c r="A574" s="2">
        <v>20260308</v>
      </c>
      <c r="B574" s="2" t="s">
        <v>1190</v>
      </c>
      <c r="C574" s="2" t="s">
        <v>1191</v>
      </c>
      <c r="D574" s="2">
        <v>6</v>
      </c>
      <c r="E574" s="2">
        <v>5</v>
      </c>
      <c r="F574" s="2">
        <v>6</v>
      </c>
      <c r="G574" s="2">
        <v>2</v>
      </c>
      <c r="H574" s="2">
        <v>11</v>
      </c>
      <c r="I574" s="3">
        <v>12</v>
      </c>
      <c r="J574" s="2">
        <v>11</v>
      </c>
      <c r="K574" s="2">
        <v>13</v>
      </c>
      <c r="L574" s="2">
        <v>0</v>
      </c>
      <c r="M574" s="2">
        <v>2</v>
      </c>
      <c r="N574" s="2">
        <v>37</v>
      </c>
      <c r="O574" s="2">
        <v>20</v>
      </c>
      <c r="P574" s="3">
        <v>6</v>
      </c>
      <c r="Q574" s="2">
        <v>8</v>
      </c>
      <c r="R574" s="2">
        <v>15</v>
      </c>
      <c r="S574" s="2">
        <v>0</v>
      </c>
      <c r="T574" s="2">
        <v>4</v>
      </c>
      <c r="U574" s="2">
        <v>0</v>
      </c>
      <c r="V574" s="2">
        <f t="shared" si="144"/>
        <v>58</v>
      </c>
      <c r="W574" s="2">
        <v>0</v>
      </c>
      <c r="X574" s="2">
        <v>3</v>
      </c>
      <c r="Y574" s="2">
        <v>0</v>
      </c>
      <c r="Z574" s="2">
        <f t="shared" si="145"/>
        <v>3</v>
      </c>
      <c r="AA574" s="2">
        <f t="shared" si="146"/>
        <v>61</v>
      </c>
      <c r="AB574" s="2">
        <v>3443</v>
      </c>
      <c r="AC574" s="20">
        <f t="shared" si="147"/>
        <v>1.77171071739762</v>
      </c>
      <c r="AD574" s="2" t="s">
        <v>49</v>
      </c>
      <c r="AE574" s="2">
        <v>125</v>
      </c>
      <c r="AF574" s="21">
        <f t="shared" si="148"/>
        <v>2.66465291896602</v>
      </c>
      <c r="AG574" s="4">
        <f t="shared" si="149"/>
        <v>1.68457740342724</v>
      </c>
      <c r="AH574" s="4">
        <f t="shared" si="150"/>
        <v>0.0871333139703747</v>
      </c>
    </row>
    <row r="575" spans="1:34">
      <c r="A575" s="2">
        <v>20260308</v>
      </c>
      <c r="B575" s="2" t="s">
        <v>1192</v>
      </c>
      <c r="C575" s="2" t="s">
        <v>1193</v>
      </c>
      <c r="D575" s="2">
        <v>4</v>
      </c>
      <c r="E575" s="2">
        <v>2</v>
      </c>
      <c r="F575" s="2">
        <v>6</v>
      </c>
      <c r="G575" s="2">
        <v>3</v>
      </c>
      <c r="H575" s="2">
        <v>3</v>
      </c>
      <c r="I575" s="3">
        <v>10</v>
      </c>
      <c r="J575" s="2">
        <v>6</v>
      </c>
      <c r="K575" s="2">
        <v>4</v>
      </c>
      <c r="L575" s="2">
        <v>0</v>
      </c>
      <c r="M575" s="2">
        <v>1</v>
      </c>
      <c r="N575" s="2">
        <v>22</v>
      </c>
      <c r="O575" s="2">
        <v>3</v>
      </c>
      <c r="P575" s="3">
        <v>8</v>
      </c>
      <c r="Q575" s="2">
        <v>10</v>
      </c>
      <c r="R575" s="2">
        <v>14</v>
      </c>
      <c r="S575" s="2">
        <v>3</v>
      </c>
      <c r="T575" s="2">
        <v>2</v>
      </c>
      <c r="U575" s="2">
        <v>0</v>
      </c>
      <c r="V575" s="2">
        <f t="shared" si="144"/>
        <v>34</v>
      </c>
      <c r="W575" s="2">
        <v>0</v>
      </c>
      <c r="X575" s="2">
        <v>3</v>
      </c>
      <c r="Y575" s="2">
        <v>0</v>
      </c>
      <c r="Z575" s="2">
        <f t="shared" si="145"/>
        <v>3</v>
      </c>
      <c r="AA575" s="2">
        <f t="shared" si="146"/>
        <v>37</v>
      </c>
      <c r="AB575" s="2">
        <v>3851</v>
      </c>
      <c r="AC575" s="20">
        <f t="shared" si="147"/>
        <v>0.96078940534926</v>
      </c>
      <c r="AD575" s="2" t="s">
        <v>49</v>
      </c>
      <c r="AE575" s="2">
        <v>125</v>
      </c>
      <c r="AF575" s="21">
        <f t="shared" si="148"/>
        <v>1.44502726564529</v>
      </c>
      <c r="AG575" s="4">
        <f t="shared" si="149"/>
        <v>0.882887561672293</v>
      </c>
      <c r="AH575" s="4">
        <f t="shared" si="150"/>
        <v>0.077901843676967</v>
      </c>
    </row>
    <row r="576" spans="1:34">
      <c r="A576" s="2">
        <v>20260308</v>
      </c>
      <c r="B576" s="2" t="s">
        <v>1194</v>
      </c>
      <c r="C576" s="2" t="s">
        <v>1195</v>
      </c>
      <c r="D576" s="2">
        <v>16</v>
      </c>
      <c r="E576" s="2">
        <v>817</v>
      </c>
      <c r="F576" s="2">
        <v>31</v>
      </c>
      <c r="G576" s="2">
        <v>6</v>
      </c>
      <c r="H576" s="2">
        <v>24</v>
      </c>
      <c r="I576" s="3">
        <v>43</v>
      </c>
      <c r="J576" s="2">
        <v>25</v>
      </c>
      <c r="K576" s="2">
        <v>19</v>
      </c>
      <c r="L576" s="2">
        <v>0</v>
      </c>
      <c r="M576" s="2">
        <v>2</v>
      </c>
      <c r="N576" s="2">
        <v>66</v>
      </c>
      <c r="O576" s="2">
        <v>110</v>
      </c>
      <c r="P576" s="3">
        <v>10</v>
      </c>
      <c r="Q576" s="2">
        <v>42</v>
      </c>
      <c r="R576" s="2">
        <v>55</v>
      </c>
      <c r="S576" s="2">
        <v>2</v>
      </c>
      <c r="T576" s="2">
        <v>26</v>
      </c>
      <c r="U576" s="2">
        <v>0</v>
      </c>
      <c r="V576" s="2">
        <f t="shared" si="144"/>
        <v>144</v>
      </c>
      <c r="W576" s="2">
        <v>0</v>
      </c>
      <c r="X576" s="2">
        <v>11</v>
      </c>
      <c r="Y576" s="2">
        <v>0</v>
      </c>
      <c r="Z576" s="2">
        <f t="shared" si="145"/>
        <v>11</v>
      </c>
      <c r="AA576" s="2">
        <f t="shared" si="146"/>
        <v>155</v>
      </c>
      <c r="AB576" s="2">
        <v>3451</v>
      </c>
      <c r="AC576" s="20">
        <f t="shared" si="147"/>
        <v>4.49145175311504</v>
      </c>
      <c r="AD576" s="2" t="s">
        <v>44</v>
      </c>
      <c r="AE576" s="2">
        <v>125</v>
      </c>
      <c r="AF576" s="21">
        <f t="shared" si="148"/>
        <v>6.75514343668502</v>
      </c>
      <c r="AG576" s="4">
        <f t="shared" si="149"/>
        <v>4.17270356418429</v>
      </c>
      <c r="AH576" s="4">
        <f t="shared" si="150"/>
        <v>0.318748188930745</v>
      </c>
    </row>
    <row r="577" spans="1:34">
      <c r="A577" s="2">
        <v>20260309</v>
      </c>
      <c r="B577" s="2" t="s">
        <v>1196</v>
      </c>
      <c r="C577" s="2" t="s">
        <v>1197</v>
      </c>
      <c r="D577" s="2">
        <v>1</v>
      </c>
      <c r="E577" s="2">
        <v>17</v>
      </c>
      <c r="F577" s="2">
        <v>0</v>
      </c>
      <c r="G577" s="2">
        <v>3</v>
      </c>
      <c r="H577" s="2">
        <v>6</v>
      </c>
      <c r="I577" s="3">
        <v>18</v>
      </c>
      <c r="J577" s="2">
        <v>6</v>
      </c>
      <c r="K577" s="2">
        <v>5</v>
      </c>
      <c r="L577" s="2">
        <v>0</v>
      </c>
      <c r="M577" s="2">
        <v>5</v>
      </c>
      <c r="N577" s="2">
        <v>19</v>
      </c>
      <c r="O577" s="2">
        <v>0</v>
      </c>
      <c r="P577" s="3">
        <v>5</v>
      </c>
      <c r="Q577" s="2">
        <v>5</v>
      </c>
      <c r="R577" s="2">
        <v>44</v>
      </c>
      <c r="S577" s="2">
        <v>1</v>
      </c>
      <c r="T577" s="2">
        <v>1</v>
      </c>
      <c r="U577" s="2">
        <v>0</v>
      </c>
      <c r="V577" s="2">
        <f t="shared" si="144"/>
        <v>47</v>
      </c>
      <c r="W577" s="2">
        <v>0</v>
      </c>
      <c r="X577" s="2">
        <v>2</v>
      </c>
      <c r="Y577" s="2">
        <v>0</v>
      </c>
      <c r="Z577" s="2">
        <f t="shared" si="145"/>
        <v>2</v>
      </c>
      <c r="AA577" s="2">
        <f t="shared" si="146"/>
        <v>49</v>
      </c>
      <c r="AB577" s="2">
        <v>2990</v>
      </c>
      <c r="AC577" s="20">
        <f t="shared" si="147"/>
        <v>1.63879598662207</v>
      </c>
      <c r="AD577" s="2" t="s">
        <v>44</v>
      </c>
      <c r="AE577" s="2">
        <v>125</v>
      </c>
      <c r="AF577" s="21">
        <f t="shared" si="148"/>
        <v>2.4647491638796</v>
      </c>
      <c r="AG577" s="4">
        <f t="shared" si="149"/>
        <v>1.57190635451505</v>
      </c>
      <c r="AH577" s="4">
        <f t="shared" si="150"/>
        <v>0.0668896321070234</v>
      </c>
    </row>
    <row r="578" spans="1:34">
      <c r="A578" s="2">
        <v>20260309</v>
      </c>
      <c r="B578" s="2" t="s">
        <v>1198</v>
      </c>
      <c r="C578" s="2" t="s">
        <v>1199</v>
      </c>
      <c r="D578" s="2">
        <v>2</v>
      </c>
      <c r="E578" s="2">
        <v>2</v>
      </c>
      <c r="F578" s="2">
        <v>7</v>
      </c>
      <c r="G578" s="2">
        <v>3</v>
      </c>
      <c r="H578" s="2">
        <v>9</v>
      </c>
      <c r="I578" s="3">
        <v>19</v>
      </c>
      <c r="J578" s="2">
        <v>6</v>
      </c>
      <c r="K578" s="2">
        <v>9</v>
      </c>
      <c r="L578" s="2">
        <v>0</v>
      </c>
      <c r="M578" s="2">
        <v>8</v>
      </c>
      <c r="N578" s="2">
        <v>50</v>
      </c>
      <c r="O578" s="2">
        <v>11</v>
      </c>
      <c r="P578" s="3">
        <v>6</v>
      </c>
      <c r="Q578" s="2">
        <v>18</v>
      </c>
      <c r="R578" s="2">
        <v>18</v>
      </c>
      <c r="S578" s="2">
        <v>4</v>
      </c>
      <c r="T578" s="2">
        <v>8</v>
      </c>
      <c r="U578" s="2">
        <v>1</v>
      </c>
      <c r="V578" s="2">
        <f t="shared" si="144"/>
        <v>57</v>
      </c>
      <c r="W578" s="2">
        <v>0</v>
      </c>
      <c r="X578" s="2">
        <v>11</v>
      </c>
      <c r="Y578" s="2">
        <v>0</v>
      </c>
      <c r="Z578" s="2">
        <f t="shared" si="145"/>
        <v>12</v>
      </c>
      <c r="AA578" s="2">
        <f t="shared" si="146"/>
        <v>69</v>
      </c>
      <c r="AB578" s="2">
        <v>5148</v>
      </c>
      <c r="AC578" s="20">
        <f t="shared" si="147"/>
        <v>1.34032634032634</v>
      </c>
      <c r="AD578" s="2" t="s">
        <v>44</v>
      </c>
      <c r="AE578" s="2">
        <v>125</v>
      </c>
      <c r="AF578" s="21">
        <f t="shared" si="148"/>
        <v>2.01585081585082</v>
      </c>
      <c r="AG578" s="4">
        <f t="shared" si="149"/>
        <v>1.10722610722611</v>
      </c>
      <c r="AH578" s="4">
        <f t="shared" si="150"/>
        <v>0.233100233100233</v>
      </c>
    </row>
    <row r="579" spans="1:34">
      <c r="A579" s="2">
        <v>20260309</v>
      </c>
      <c r="B579" s="2" t="s">
        <v>1200</v>
      </c>
      <c r="C579" s="2" t="s">
        <v>1201</v>
      </c>
      <c r="D579" s="2">
        <v>1</v>
      </c>
      <c r="E579" s="2">
        <v>8</v>
      </c>
      <c r="F579" s="2">
        <v>4</v>
      </c>
      <c r="G579" s="2">
        <v>2</v>
      </c>
      <c r="H579" s="2">
        <v>25</v>
      </c>
      <c r="I579" s="3">
        <v>15</v>
      </c>
      <c r="J579" s="2">
        <v>7</v>
      </c>
      <c r="K579" s="2">
        <v>10</v>
      </c>
      <c r="L579" s="2">
        <v>1</v>
      </c>
      <c r="M579" s="2">
        <v>7</v>
      </c>
      <c r="N579" s="2">
        <v>47</v>
      </c>
      <c r="O579" s="2">
        <v>3</v>
      </c>
      <c r="P579" s="3">
        <v>5</v>
      </c>
      <c r="Q579" s="2">
        <v>8</v>
      </c>
      <c r="R579" s="2">
        <v>144</v>
      </c>
      <c r="S579" s="2">
        <v>5</v>
      </c>
      <c r="T579" s="2">
        <v>3</v>
      </c>
      <c r="U579" s="2">
        <v>0</v>
      </c>
      <c r="V579" s="2">
        <f t="shared" si="144"/>
        <v>74</v>
      </c>
      <c r="W579" s="2">
        <v>0</v>
      </c>
      <c r="X579" s="2">
        <v>1</v>
      </c>
      <c r="Y579" s="2">
        <v>0</v>
      </c>
      <c r="Z579" s="2">
        <f t="shared" si="145"/>
        <v>1</v>
      </c>
      <c r="AA579" s="2">
        <f t="shared" si="146"/>
        <v>75</v>
      </c>
      <c r="AB579" s="2">
        <v>3408</v>
      </c>
      <c r="AC579" s="20">
        <f t="shared" si="147"/>
        <v>2.20070422535211</v>
      </c>
      <c r="AD579" s="2" t="s">
        <v>44</v>
      </c>
      <c r="AE579" s="2">
        <v>125</v>
      </c>
      <c r="AF579" s="21">
        <f t="shared" si="148"/>
        <v>3.30985915492958</v>
      </c>
      <c r="AG579" s="4">
        <f t="shared" si="149"/>
        <v>2.17136150234742</v>
      </c>
      <c r="AH579" s="4">
        <f t="shared" si="150"/>
        <v>0.0293427230046948</v>
      </c>
    </row>
    <row r="580" spans="1:34">
      <c r="A580" s="2">
        <v>20260309</v>
      </c>
      <c r="B580" s="2" t="s">
        <v>1202</v>
      </c>
      <c r="C580" s="2" t="s">
        <v>1203</v>
      </c>
      <c r="D580" s="2">
        <v>1</v>
      </c>
      <c r="E580" s="2">
        <v>23</v>
      </c>
      <c r="F580" s="2">
        <v>1</v>
      </c>
      <c r="G580" s="2">
        <v>4</v>
      </c>
      <c r="H580" s="2">
        <v>2</v>
      </c>
      <c r="I580" s="3">
        <v>10</v>
      </c>
      <c r="J580" s="2">
        <v>6</v>
      </c>
      <c r="K580" s="2">
        <v>4</v>
      </c>
      <c r="L580" s="2">
        <v>0</v>
      </c>
      <c r="M580" s="2">
        <v>2</v>
      </c>
      <c r="N580" s="2">
        <v>24</v>
      </c>
      <c r="O580" s="2">
        <v>5</v>
      </c>
      <c r="P580" s="3">
        <v>1</v>
      </c>
      <c r="Q580" s="2">
        <v>18</v>
      </c>
      <c r="R580" s="2">
        <v>3</v>
      </c>
      <c r="S580" s="2">
        <v>4</v>
      </c>
      <c r="T580" s="2">
        <v>0</v>
      </c>
      <c r="U580" s="2">
        <v>0</v>
      </c>
      <c r="V580" s="2">
        <f t="shared" si="144"/>
        <v>27</v>
      </c>
      <c r="W580" s="2">
        <v>0</v>
      </c>
      <c r="X580" s="2">
        <v>2</v>
      </c>
      <c r="Y580" s="2">
        <v>0</v>
      </c>
      <c r="Z580" s="2">
        <f t="shared" si="145"/>
        <v>2</v>
      </c>
      <c r="AA580" s="2">
        <f t="shared" si="146"/>
        <v>29</v>
      </c>
      <c r="AB580" s="2">
        <v>2601</v>
      </c>
      <c r="AC580" s="20">
        <f t="shared" si="147"/>
        <v>1.11495578623606</v>
      </c>
      <c r="AD580" s="2" t="s">
        <v>44</v>
      </c>
      <c r="AE580" s="2">
        <v>125</v>
      </c>
      <c r="AF580" s="21">
        <f t="shared" si="148"/>
        <v>1.67689350249904</v>
      </c>
      <c r="AG580" s="4">
        <f t="shared" si="149"/>
        <v>1.03806228373702</v>
      </c>
      <c r="AH580" s="4">
        <f t="shared" si="150"/>
        <v>0.0768935024990388</v>
      </c>
    </row>
    <row r="581" spans="1:34">
      <c r="A581" s="2">
        <v>20260309</v>
      </c>
      <c r="B581" s="2" t="s">
        <v>1204</v>
      </c>
      <c r="C581" s="2" t="s">
        <v>1205</v>
      </c>
      <c r="D581" s="2">
        <v>7</v>
      </c>
      <c r="E581" s="2">
        <v>0</v>
      </c>
      <c r="F581" s="2">
        <v>5</v>
      </c>
      <c r="G581" s="2">
        <v>2</v>
      </c>
      <c r="H581" s="2">
        <v>5</v>
      </c>
      <c r="I581" s="3">
        <v>16</v>
      </c>
      <c r="J581" s="2">
        <v>5</v>
      </c>
      <c r="K581" s="2">
        <v>8</v>
      </c>
      <c r="L581" s="2">
        <v>0</v>
      </c>
      <c r="M581" s="2">
        <v>0</v>
      </c>
      <c r="N581" s="2">
        <v>23</v>
      </c>
      <c r="O581" s="2">
        <v>2</v>
      </c>
      <c r="P581" s="3">
        <v>6</v>
      </c>
      <c r="Q581" s="2">
        <v>4</v>
      </c>
      <c r="R581" s="2">
        <v>11</v>
      </c>
      <c r="S581" s="2">
        <v>2</v>
      </c>
      <c r="T581" s="2">
        <v>6</v>
      </c>
      <c r="U581" s="2">
        <v>0</v>
      </c>
      <c r="V581" s="2">
        <f t="shared" ref="V581:V586" si="151">AA581-Y581-X581-W581-U581</f>
        <v>30</v>
      </c>
      <c r="W581" s="2">
        <v>0</v>
      </c>
      <c r="X581" s="2">
        <v>10</v>
      </c>
      <c r="Y581" s="2">
        <v>8</v>
      </c>
      <c r="Z581" s="2">
        <v>0</v>
      </c>
      <c r="AA581" s="2">
        <f t="shared" si="146"/>
        <v>48</v>
      </c>
      <c r="AB581" s="2">
        <v>5146</v>
      </c>
      <c r="AC581" s="20">
        <f t="shared" si="147"/>
        <v>0.932763311309755</v>
      </c>
      <c r="AD581" s="2" t="s">
        <v>44</v>
      </c>
      <c r="AE581" s="2">
        <v>125</v>
      </c>
      <c r="AF581" s="21">
        <f t="shared" si="148"/>
        <v>1.40287602020987</v>
      </c>
      <c r="AG581" s="4">
        <f t="shared" si="149"/>
        <v>0.582977069568597</v>
      </c>
      <c r="AH581" s="4">
        <f t="shared" si="150"/>
        <v>0</v>
      </c>
    </row>
    <row r="582" spans="1:34">
      <c r="A582" s="2">
        <v>20260309</v>
      </c>
      <c r="B582" s="2" t="s">
        <v>1206</v>
      </c>
      <c r="C582" s="2" t="s">
        <v>1207</v>
      </c>
      <c r="D582" s="2">
        <v>16</v>
      </c>
      <c r="E582" s="2">
        <v>21</v>
      </c>
      <c r="F582" s="2">
        <v>12</v>
      </c>
      <c r="G582" s="2">
        <v>6</v>
      </c>
      <c r="H582" s="2">
        <v>17</v>
      </c>
      <c r="I582" s="3">
        <v>32</v>
      </c>
      <c r="J582" s="2">
        <v>9</v>
      </c>
      <c r="K582" s="2">
        <v>24</v>
      </c>
      <c r="L582" s="2">
        <v>2</v>
      </c>
      <c r="M582" s="2">
        <v>1</v>
      </c>
      <c r="N582" s="2">
        <v>70</v>
      </c>
      <c r="O582" s="2">
        <v>53</v>
      </c>
      <c r="P582" s="3">
        <v>13</v>
      </c>
      <c r="Q582" s="2">
        <v>25</v>
      </c>
      <c r="R582" s="2">
        <v>17</v>
      </c>
      <c r="S582" s="2">
        <v>3</v>
      </c>
      <c r="T582" s="2">
        <v>0</v>
      </c>
      <c r="U582" s="2">
        <v>0</v>
      </c>
      <c r="V582" s="2">
        <f t="shared" si="151"/>
        <v>104</v>
      </c>
      <c r="W582" s="2">
        <v>0</v>
      </c>
      <c r="X582" s="2">
        <v>0</v>
      </c>
      <c r="Y582" s="2">
        <v>0</v>
      </c>
      <c r="Z582" s="2">
        <f t="shared" si="145"/>
        <v>0</v>
      </c>
      <c r="AA582" s="2">
        <f t="shared" si="146"/>
        <v>104</v>
      </c>
      <c r="AB582" s="2">
        <v>3250</v>
      </c>
      <c r="AC582" s="20">
        <f t="shared" si="147"/>
        <v>3.2</v>
      </c>
      <c r="AD582" s="2" t="s">
        <v>44</v>
      </c>
      <c r="AE582" s="2">
        <v>125</v>
      </c>
      <c r="AF582" s="21">
        <f t="shared" si="148"/>
        <v>4.8128</v>
      </c>
      <c r="AG582" s="4">
        <f t="shared" si="149"/>
        <v>3.2</v>
      </c>
      <c r="AH582" s="4">
        <f t="shared" si="150"/>
        <v>0</v>
      </c>
    </row>
    <row r="583" spans="1:34">
      <c r="A583" s="2">
        <v>20260309</v>
      </c>
      <c r="B583" s="2" t="s">
        <v>1208</v>
      </c>
      <c r="C583" s="2" t="s">
        <v>1209</v>
      </c>
      <c r="D583" s="2">
        <v>3</v>
      </c>
      <c r="E583" s="2">
        <v>3</v>
      </c>
      <c r="F583" s="2">
        <v>6</v>
      </c>
      <c r="G583" s="2">
        <v>0</v>
      </c>
      <c r="H583" s="2">
        <v>2</v>
      </c>
      <c r="I583" s="3">
        <v>8</v>
      </c>
      <c r="J583" s="2">
        <v>5</v>
      </c>
      <c r="K583" s="2">
        <v>4</v>
      </c>
      <c r="L583" s="2">
        <v>1</v>
      </c>
      <c r="M583" s="2">
        <v>1</v>
      </c>
      <c r="N583" s="2">
        <v>19</v>
      </c>
      <c r="O583" s="2">
        <v>2</v>
      </c>
      <c r="P583" s="3">
        <v>0</v>
      </c>
      <c r="Q583" s="2">
        <v>8</v>
      </c>
      <c r="R583" s="2">
        <v>9</v>
      </c>
      <c r="S583" s="2">
        <v>0</v>
      </c>
      <c r="T583" s="2">
        <v>8</v>
      </c>
      <c r="U583" s="2">
        <v>1</v>
      </c>
      <c r="V583" s="2">
        <f t="shared" si="151"/>
        <v>25</v>
      </c>
      <c r="W583" s="2">
        <v>1</v>
      </c>
      <c r="X583" s="2">
        <v>3</v>
      </c>
      <c r="Y583" s="2">
        <v>0</v>
      </c>
      <c r="Z583" s="2">
        <f t="shared" si="145"/>
        <v>5</v>
      </c>
      <c r="AA583" s="2">
        <f t="shared" si="146"/>
        <v>30</v>
      </c>
      <c r="AB583" s="2">
        <v>2601</v>
      </c>
      <c r="AC583" s="20">
        <f t="shared" si="147"/>
        <v>1.15340253748558</v>
      </c>
      <c r="AD583" s="2" t="s">
        <v>58</v>
      </c>
      <c r="AE583" s="2">
        <v>125</v>
      </c>
      <c r="AF583" s="21">
        <f t="shared" si="148"/>
        <v>1.73471741637832</v>
      </c>
      <c r="AG583" s="4">
        <f t="shared" si="149"/>
        <v>0.961168781237985</v>
      </c>
      <c r="AH583" s="4">
        <f t="shared" si="150"/>
        <v>0.192233756247597</v>
      </c>
    </row>
    <row r="584" spans="1:34">
      <c r="A584" s="2">
        <v>20260309</v>
      </c>
      <c r="B584" s="2" t="s">
        <v>1210</v>
      </c>
      <c r="C584" s="2" t="s">
        <v>1211</v>
      </c>
      <c r="D584" s="2">
        <v>0</v>
      </c>
      <c r="E584" s="2">
        <v>0</v>
      </c>
      <c r="F584" s="2">
        <v>1</v>
      </c>
      <c r="G584" s="2">
        <v>2</v>
      </c>
      <c r="H584" s="2">
        <v>2</v>
      </c>
      <c r="I584" s="3">
        <v>3</v>
      </c>
      <c r="J584" s="2">
        <v>3</v>
      </c>
      <c r="K584" s="2">
        <v>2</v>
      </c>
      <c r="L584" s="2">
        <v>0</v>
      </c>
      <c r="M584" s="2">
        <v>1</v>
      </c>
      <c r="N584" s="2">
        <v>11</v>
      </c>
      <c r="O584" s="2">
        <v>2</v>
      </c>
      <c r="P584" s="3">
        <v>4</v>
      </c>
      <c r="Q584" s="2">
        <v>2</v>
      </c>
      <c r="R584" s="2">
        <v>3</v>
      </c>
      <c r="S584" s="2">
        <v>1</v>
      </c>
      <c r="T584" s="2">
        <v>5</v>
      </c>
      <c r="U584" s="2">
        <v>0</v>
      </c>
      <c r="V584" s="2">
        <f t="shared" si="151"/>
        <v>21</v>
      </c>
      <c r="W584" s="2">
        <v>0</v>
      </c>
      <c r="X584" s="2">
        <v>1</v>
      </c>
      <c r="Y584" s="2">
        <v>0</v>
      </c>
      <c r="Z584" s="2">
        <f t="shared" ref="Z584:Z610" si="152">Y584+X584+W584+U584</f>
        <v>1</v>
      </c>
      <c r="AA584" s="2">
        <f t="shared" ref="AA584:AA610" si="153">G584+H584+I584+J584+K584+L584+M584+P584+T584+U584</f>
        <v>22</v>
      </c>
      <c r="AB584" s="2">
        <v>2630</v>
      </c>
      <c r="AC584" s="20">
        <f t="shared" ref="AC584:AC610" si="154">AA584/AB584*100</f>
        <v>0.836501901140684</v>
      </c>
      <c r="AD584" s="2" t="s">
        <v>58</v>
      </c>
      <c r="AE584" s="2">
        <v>125</v>
      </c>
      <c r="AF584" s="21">
        <f t="shared" si="148"/>
        <v>1.25809885931559</v>
      </c>
      <c r="AG584" s="4">
        <f t="shared" si="149"/>
        <v>0.798479087452472</v>
      </c>
      <c r="AH584" s="4">
        <f t="shared" si="150"/>
        <v>0.0380228136882129</v>
      </c>
    </row>
    <row r="585" spans="1:34">
      <c r="A585" s="2">
        <v>20260309</v>
      </c>
      <c r="B585" s="2" t="s">
        <v>1212</v>
      </c>
      <c r="C585" s="2" t="s">
        <v>1213</v>
      </c>
      <c r="D585" s="2">
        <v>4</v>
      </c>
      <c r="E585" s="2">
        <v>31</v>
      </c>
      <c r="F585" s="2">
        <v>4</v>
      </c>
      <c r="G585" s="2">
        <v>1</v>
      </c>
      <c r="H585" s="2">
        <v>2</v>
      </c>
      <c r="I585" s="3">
        <v>13</v>
      </c>
      <c r="J585" s="2">
        <v>5</v>
      </c>
      <c r="K585" s="2">
        <v>5</v>
      </c>
      <c r="L585" s="2">
        <v>0</v>
      </c>
      <c r="M585" s="2">
        <v>2</v>
      </c>
      <c r="N585" s="2">
        <v>17</v>
      </c>
      <c r="O585" s="2">
        <v>2</v>
      </c>
      <c r="P585" s="2">
        <v>2</v>
      </c>
      <c r="Q585" s="3">
        <v>9</v>
      </c>
      <c r="R585" s="2">
        <v>21</v>
      </c>
      <c r="S585" s="2">
        <v>1</v>
      </c>
      <c r="T585" s="2">
        <v>6</v>
      </c>
      <c r="U585" s="2">
        <v>1</v>
      </c>
      <c r="V585" s="2">
        <f t="shared" si="151"/>
        <v>31</v>
      </c>
      <c r="W585" s="2">
        <v>0</v>
      </c>
      <c r="X585" s="2">
        <v>5</v>
      </c>
      <c r="Y585" s="2">
        <v>0</v>
      </c>
      <c r="Z585" s="2">
        <f t="shared" si="152"/>
        <v>6</v>
      </c>
      <c r="AA585" s="2">
        <f t="shared" si="153"/>
        <v>37</v>
      </c>
      <c r="AB585" s="2">
        <v>2931</v>
      </c>
      <c r="AC585" s="20">
        <f t="shared" si="154"/>
        <v>1.26236779256227</v>
      </c>
      <c r="AD585" s="2" t="s">
        <v>58</v>
      </c>
      <c r="AE585" s="2">
        <v>125</v>
      </c>
      <c r="AF585" s="21">
        <f t="shared" si="148"/>
        <v>1.89860116001365</v>
      </c>
      <c r="AG585" s="4">
        <f t="shared" si="149"/>
        <v>1.05765950187649</v>
      </c>
      <c r="AH585" s="4">
        <f t="shared" si="150"/>
        <v>0.204708290685773</v>
      </c>
    </row>
    <row r="586" spans="1:34">
      <c r="A586" s="2">
        <v>20260309</v>
      </c>
      <c r="B586" s="2" t="s">
        <v>1214</v>
      </c>
      <c r="C586" s="2" t="s">
        <v>1215</v>
      </c>
      <c r="D586" s="2">
        <v>4</v>
      </c>
      <c r="E586" s="2">
        <v>1</v>
      </c>
      <c r="F586" s="2">
        <v>9</v>
      </c>
      <c r="G586" s="2">
        <v>2</v>
      </c>
      <c r="H586" s="2">
        <v>8</v>
      </c>
      <c r="I586" s="3">
        <v>16</v>
      </c>
      <c r="J586" s="2">
        <v>11</v>
      </c>
      <c r="K586" s="2">
        <v>14</v>
      </c>
      <c r="L586" s="2">
        <v>0</v>
      </c>
      <c r="M586" s="2">
        <v>3</v>
      </c>
      <c r="N586" s="2">
        <v>36</v>
      </c>
      <c r="O586" s="2">
        <v>4</v>
      </c>
      <c r="P586" s="3">
        <v>7</v>
      </c>
      <c r="Q586" s="2">
        <v>6</v>
      </c>
      <c r="R586" s="2">
        <v>7</v>
      </c>
      <c r="S586" s="2">
        <v>5</v>
      </c>
      <c r="T586" s="2">
        <v>9</v>
      </c>
      <c r="U586" s="2">
        <v>0</v>
      </c>
      <c r="V586" s="2">
        <f t="shared" si="151"/>
        <v>67</v>
      </c>
      <c r="W586" s="2">
        <v>0</v>
      </c>
      <c r="X586" s="2">
        <v>3</v>
      </c>
      <c r="Y586" s="2">
        <v>0</v>
      </c>
      <c r="Z586" s="2">
        <f t="shared" si="152"/>
        <v>3</v>
      </c>
      <c r="AA586" s="2">
        <f t="shared" si="153"/>
        <v>70</v>
      </c>
      <c r="AB586" s="2">
        <v>5260</v>
      </c>
      <c r="AC586" s="20">
        <f t="shared" si="154"/>
        <v>1.33079847908745</v>
      </c>
      <c r="AD586" s="2" t="s">
        <v>58</v>
      </c>
      <c r="AE586" s="2">
        <v>125</v>
      </c>
      <c r="AF586" s="21">
        <f t="shared" si="148"/>
        <v>2.00152091254753</v>
      </c>
      <c r="AG586" s="4">
        <f t="shared" si="149"/>
        <v>1.27376425855513</v>
      </c>
      <c r="AH586" s="4">
        <f t="shared" si="150"/>
        <v>0.0570342205323194</v>
      </c>
    </row>
    <row r="587" spans="1:34">
      <c r="A587" s="2">
        <v>20260309</v>
      </c>
      <c r="B587" s="2" t="s">
        <v>1216</v>
      </c>
      <c r="C587" s="2" t="s">
        <v>1217</v>
      </c>
      <c r="D587" s="2">
        <v>9</v>
      </c>
      <c r="E587" s="2">
        <v>41</v>
      </c>
      <c r="F587" s="2">
        <v>22</v>
      </c>
      <c r="G587" s="2">
        <v>13</v>
      </c>
      <c r="H587" s="2">
        <v>21</v>
      </c>
      <c r="I587" s="3">
        <v>11</v>
      </c>
      <c r="J587" s="2">
        <v>9</v>
      </c>
      <c r="K587" s="2">
        <v>29</v>
      </c>
      <c r="L587" s="2">
        <v>0</v>
      </c>
      <c r="M587" s="2">
        <v>3</v>
      </c>
      <c r="N587" s="2">
        <v>21</v>
      </c>
      <c r="O587" s="2">
        <v>49</v>
      </c>
      <c r="P587" s="3">
        <v>14</v>
      </c>
      <c r="Q587" s="2">
        <v>11</v>
      </c>
      <c r="R587" s="2">
        <v>333</v>
      </c>
      <c r="S587" s="2">
        <v>2</v>
      </c>
      <c r="T587" s="2">
        <v>14</v>
      </c>
      <c r="U587" s="2">
        <v>3</v>
      </c>
      <c r="V587" s="2">
        <f t="shared" ref="V584:V610" si="155">AA587-Y587-X587-W587-U587</f>
        <v>110</v>
      </c>
      <c r="W587" s="2">
        <v>1</v>
      </c>
      <c r="X587" s="2">
        <v>3</v>
      </c>
      <c r="Y587" s="2">
        <v>0</v>
      </c>
      <c r="Z587" s="2">
        <f t="shared" si="152"/>
        <v>7</v>
      </c>
      <c r="AA587" s="2">
        <f t="shared" si="153"/>
        <v>117</v>
      </c>
      <c r="AB587" s="2">
        <v>2962</v>
      </c>
      <c r="AC587" s="20">
        <f t="shared" si="154"/>
        <v>3.95003376097232</v>
      </c>
      <c r="AD587" s="2" t="s">
        <v>58</v>
      </c>
      <c r="AE587" s="2">
        <v>125</v>
      </c>
      <c r="AF587" s="21">
        <f t="shared" si="148"/>
        <v>5.94085077650236</v>
      </c>
      <c r="AG587" s="4">
        <f t="shared" si="149"/>
        <v>3.7137069547603</v>
      </c>
      <c r="AH587" s="4">
        <f t="shared" si="150"/>
        <v>0.236326806212019</v>
      </c>
    </row>
    <row r="588" spans="1:34">
      <c r="A588" s="2">
        <v>20260309</v>
      </c>
      <c r="B588" s="2" t="s">
        <v>1218</v>
      </c>
      <c r="C588" s="2" t="s">
        <v>1219</v>
      </c>
      <c r="D588" s="2">
        <v>7</v>
      </c>
      <c r="E588" s="2">
        <v>5</v>
      </c>
      <c r="F588" s="2">
        <v>17</v>
      </c>
      <c r="G588" s="2">
        <v>15</v>
      </c>
      <c r="H588" s="2">
        <v>9</v>
      </c>
      <c r="I588" s="3">
        <v>8</v>
      </c>
      <c r="J588" s="3">
        <v>8</v>
      </c>
      <c r="K588" s="2">
        <v>23</v>
      </c>
      <c r="L588" s="2">
        <v>1</v>
      </c>
      <c r="M588" s="2">
        <v>3</v>
      </c>
      <c r="N588" s="2">
        <v>48</v>
      </c>
      <c r="O588" s="2">
        <v>42</v>
      </c>
      <c r="P588" s="2">
        <v>8</v>
      </c>
      <c r="Q588" s="3">
        <v>15</v>
      </c>
      <c r="R588" s="2">
        <v>6</v>
      </c>
      <c r="S588" s="2">
        <v>6</v>
      </c>
      <c r="T588" s="2">
        <v>7</v>
      </c>
      <c r="U588" s="2">
        <v>4</v>
      </c>
      <c r="V588" s="2">
        <f t="shared" si="155"/>
        <v>79</v>
      </c>
      <c r="W588" s="2">
        <v>1</v>
      </c>
      <c r="X588" s="2">
        <v>2</v>
      </c>
      <c r="Y588" s="2">
        <v>0</v>
      </c>
      <c r="Z588" s="2">
        <f t="shared" si="152"/>
        <v>7</v>
      </c>
      <c r="AA588" s="2">
        <f t="shared" si="153"/>
        <v>86</v>
      </c>
      <c r="AB588" s="2">
        <v>3521</v>
      </c>
      <c r="AC588" s="20">
        <f t="shared" si="154"/>
        <v>2.44248792956546</v>
      </c>
      <c r="AD588" s="2" t="s">
        <v>49</v>
      </c>
      <c r="AE588" s="2">
        <v>125</v>
      </c>
      <c r="AF588" s="21">
        <f t="shared" si="148"/>
        <v>3.67350184606646</v>
      </c>
      <c r="AG588" s="4">
        <f t="shared" si="149"/>
        <v>2.24368077250781</v>
      </c>
      <c r="AH588" s="4">
        <f t="shared" si="150"/>
        <v>0.198807157057654</v>
      </c>
    </row>
    <row r="589" spans="1:34">
      <c r="A589" s="2">
        <v>20260309</v>
      </c>
      <c r="B589" s="2" t="s">
        <v>1220</v>
      </c>
      <c r="C589" s="2" t="s">
        <v>1221</v>
      </c>
      <c r="D589" s="2">
        <v>0</v>
      </c>
      <c r="E589" s="2">
        <v>1</v>
      </c>
      <c r="F589" s="2">
        <v>4</v>
      </c>
      <c r="G589" s="2">
        <v>1</v>
      </c>
      <c r="H589" s="2">
        <v>4</v>
      </c>
      <c r="I589" s="3">
        <v>7</v>
      </c>
      <c r="J589" s="2">
        <v>8</v>
      </c>
      <c r="K589" s="2">
        <v>6</v>
      </c>
      <c r="L589" s="2">
        <v>0</v>
      </c>
      <c r="M589" s="2">
        <v>2</v>
      </c>
      <c r="N589" s="2">
        <v>48</v>
      </c>
      <c r="O589" s="2">
        <v>9</v>
      </c>
      <c r="P589" s="3">
        <v>2</v>
      </c>
      <c r="Q589" s="2">
        <v>5</v>
      </c>
      <c r="R589" s="2">
        <v>5</v>
      </c>
      <c r="S589" s="2">
        <v>1</v>
      </c>
      <c r="T589" s="2">
        <v>5</v>
      </c>
      <c r="U589" s="2">
        <v>0</v>
      </c>
      <c r="V589" s="2">
        <f t="shared" si="155"/>
        <v>32</v>
      </c>
      <c r="W589" s="2">
        <v>0</v>
      </c>
      <c r="X589" s="2">
        <v>3</v>
      </c>
      <c r="Y589" s="2">
        <v>0</v>
      </c>
      <c r="Z589" s="2">
        <f t="shared" si="152"/>
        <v>3</v>
      </c>
      <c r="AA589" s="2">
        <f t="shared" si="153"/>
        <v>35</v>
      </c>
      <c r="AB589" s="2">
        <v>3666</v>
      </c>
      <c r="AC589" s="20">
        <f t="shared" si="154"/>
        <v>0.954719039825423</v>
      </c>
      <c r="AD589" s="2" t="s">
        <v>49</v>
      </c>
      <c r="AE589" s="2">
        <v>125</v>
      </c>
      <c r="AF589" s="21">
        <f t="shared" si="148"/>
        <v>1.43589743589744</v>
      </c>
      <c r="AG589" s="4">
        <f t="shared" si="149"/>
        <v>0.872885979268958</v>
      </c>
      <c r="AH589" s="4">
        <f t="shared" si="150"/>
        <v>0.0818330605564648</v>
      </c>
    </row>
    <row r="590" spans="1:34">
      <c r="A590" s="2">
        <v>20260309</v>
      </c>
      <c r="B590" s="2" t="s">
        <v>1222</v>
      </c>
      <c r="C590" s="2" t="s">
        <v>1223</v>
      </c>
      <c r="D590" s="2">
        <v>3</v>
      </c>
      <c r="E590" s="2">
        <v>18</v>
      </c>
      <c r="F590" s="2">
        <v>6</v>
      </c>
      <c r="G590" s="2">
        <v>0</v>
      </c>
      <c r="H590" s="2">
        <v>2</v>
      </c>
      <c r="I590" s="3">
        <v>7</v>
      </c>
      <c r="J590" s="2">
        <v>9</v>
      </c>
      <c r="K590" s="2">
        <v>10</v>
      </c>
      <c r="L590" s="2">
        <v>1</v>
      </c>
      <c r="M590" s="2">
        <v>3</v>
      </c>
      <c r="N590" s="2">
        <v>8</v>
      </c>
      <c r="O590" s="2">
        <v>1</v>
      </c>
      <c r="P590" s="3">
        <v>5</v>
      </c>
      <c r="Q590" s="2">
        <v>10</v>
      </c>
      <c r="R590" s="2">
        <v>1</v>
      </c>
      <c r="S590" s="2">
        <v>4</v>
      </c>
      <c r="T590" s="2">
        <v>0</v>
      </c>
      <c r="U590" s="2">
        <v>0</v>
      </c>
      <c r="V590" s="2">
        <f t="shared" si="155"/>
        <v>34</v>
      </c>
      <c r="W590" s="2">
        <v>0</v>
      </c>
      <c r="X590" s="2">
        <v>3</v>
      </c>
      <c r="Y590" s="2">
        <v>0</v>
      </c>
      <c r="Z590" s="2">
        <f t="shared" si="152"/>
        <v>3</v>
      </c>
      <c r="AA590" s="2">
        <f t="shared" si="153"/>
        <v>37</v>
      </c>
      <c r="AB590" s="2">
        <v>3460</v>
      </c>
      <c r="AC590" s="20">
        <f t="shared" si="154"/>
        <v>1.06936416184971</v>
      </c>
      <c r="AD590" s="2" t="s">
        <v>49</v>
      </c>
      <c r="AE590" s="2">
        <v>125</v>
      </c>
      <c r="AF590" s="21">
        <f t="shared" si="148"/>
        <v>1.60832369942197</v>
      </c>
      <c r="AG590" s="4">
        <f t="shared" si="149"/>
        <v>0.982658959537572</v>
      </c>
      <c r="AH590" s="4">
        <f t="shared" si="150"/>
        <v>0.0867052023121387</v>
      </c>
    </row>
    <row r="591" spans="1:34">
      <c r="A591" s="2">
        <v>20260309</v>
      </c>
      <c r="B591" s="2" t="s">
        <v>1224</v>
      </c>
      <c r="C591" s="2" t="s">
        <v>1225</v>
      </c>
      <c r="D591" s="2">
        <v>1</v>
      </c>
      <c r="E591" s="2">
        <v>1</v>
      </c>
      <c r="F591" s="2">
        <v>9</v>
      </c>
      <c r="G591" s="2">
        <v>1</v>
      </c>
      <c r="H591" s="2">
        <v>2</v>
      </c>
      <c r="I591" s="3">
        <v>20</v>
      </c>
      <c r="J591" s="2">
        <v>5</v>
      </c>
      <c r="K591" s="2">
        <v>5</v>
      </c>
      <c r="L591" s="2">
        <v>0</v>
      </c>
      <c r="M591" s="2">
        <v>2</v>
      </c>
      <c r="N591" s="2">
        <v>22</v>
      </c>
      <c r="O591" s="2">
        <v>4</v>
      </c>
      <c r="P591" s="3">
        <v>4</v>
      </c>
      <c r="Q591" s="2">
        <v>9</v>
      </c>
      <c r="R591" s="2">
        <v>1</v>
      </c>
      <c r="S591" s="2">
        <v>2</v>
      </c>
      <c r="T591" s="2">
        <v>1</v>
      </c>
      <c r="U591" s="2">
        <v>0</v>
      </c>
      <c r="V591" s="2">
        <f t="shared" si="155"/>
        <v>26</v>
      </c>
      <c r="W591" s="2">
        <v>3</v>
      </c>
      <c r="X591" s="2">
        <v>11</v>
      </c>
      <c r="Y591" s="2">
        <v>0</v>
      </c>
      <c r="Z591" s="2">
        <f t="shared" si="152"/>
        <v>14</v>
      </c>
      <c r="AA591" s="2">
        <f t="shared" si="153"/>
        <v>40</v>
      </c>
      <c r="AB591" s="2">
        <v>3320</v>
      </c>
      <c r="AC591" s="20">
        <f t="shared" si="154"/>
        <v>1.20481927710843</v>
      </c>
      <c r="AD591" s="2" t="s">
        <v>49</v>
      </c>
      <c r="AE591" s="2">
        <v>125</v>
      </c>
      <c r="AF591" s="21">
        <f t="shared" si="148"/>
        <v>1.81204819277108</v>
      </c>
      <c r="AG591" s="4">
        <f t="shared" si="149"/>
        <v>0.783132530120482</v>
      </c>
      <c r="AH591" s="4">
        <f t="shared" si="150"/>
        <v>0.421686746987952</v>
      </c>
    </row>
    <row r="592" spans="1:34">
      <c r="A592" s="2">
        <v>20260309</v>
      </c>
      <c r="B592" s="2" t="s">
        <v>1226</v>
      </c>
      <c r="C592" s="2" t="s">
        <v>1227</v>
      </c>
      <c r="D592" s="2">
        <v>5</v>
      </c>
      <c r="E592" s="2">
        <v>0</v>
      </c>
      <c r="F592" s="2">
        <v>2</v>
      </c>
      <c r="G592" s="2">
        <v>1</v>
      </c>
      <c r="H592" s="2">
        <v>1</v>
      </c>
      <c r="I592" s="3">
        <v>14</v>
      </c>
      <c r="J592" s="2">
        <v>9</v>
      </c>
      <c r="K592" s="2">
        <v>5</v>
      </c>
      <c r="L592" s="2">
        <v>0</v>
      </c>
      <c r="M592" s="2">
        <v>3</v>
      </c>
      <c r="N592" s="2">
        <v>29</v>
      </c>
      <c r="O592" s="2">
        <v>1</v>
      </c>
      <c r="P592" s="3">
        <v>5</v>
      </c>
      <c r="Q592" s="2">
        <v>8</v>
      </c>
      <c r="R592" s="2">
        <v>4</v>
      </c>
      <c r="S592" s="2">
        <v>2</v>
      </c>
      <c r="T592" s="2">
        <v>6</v>
      </c>
      <c r="U592" s="2">
        <v>0</v>
      </c>
      <c r="V592" s="2">
        <f t="shared" si="155"/>
        <v>31</v>
      </c>
      <c r="W592" s="2">
        <v>5</v>
      </c>
      <c r="X592" s="2">
        <v>8</v>
      </c>
      <c r="Y592" s="2">
        <v>0</v>
      </c>
      <c r="Z592" s="2">
        <f t="shared" si="152"/>
        <v>13</v>
      </c>
      <c r="AA592" s="2">
        <f t="shared" si="153"/>
        <v>44</v>
      </c>
      <c r="AB592" s="2">
        <v>3200</v>
      </c>
      <c r="AC592" s="20">
        <f t="shared" si="154"/>
        <v>1.375</v>
      </c>
      <c r="AD592" s="2" t="s">
        <v>49</v>
      </c>
      <c r="AE592" s="2">
        <v>125</v>
      </c>
      <c r="AF592" s="21">
        <f t="shared" si="148"/>
        <v>2.068</v>
      </c>
      <c r="AG592" s="4">
        <f t="shared" si="149"/>
        <v>0.96875</v>
      </c>
      <c r="AH592" s="4">
        <f t="shared" si="150"/>
        <v>0.40625</v>
      </c>
    </row>
    <row r="593" spans="1:34">
      <c r="A593" s="2">
        <v>20260309</v>
      </c>
      <c r="B593" s="2" t="s">
        <v>1228</v>
      </c>
      <c r="C593" s="2" t="s">
        <v>1229</v>
      </c>
      <c r="D593" s="2">
        <v>1</v>
      </c>
      <c r="E593" s="2">
        <v>0</v>
      </c>
      <c r="F593" s="2">
        <v>10</v>
      </c>
      <c r="G593" s="2">
        <v>2</v>
      </c>
      <c r="H593" s="2">
        <v>1</v>
      </c>
      <c r="I593" s="3">
        <v>7</v>
      </c>
      <c r="J593" s="2">
        <v>3</v>
      </c>
      <c r="K593" s="2">
        <v>15</v>
      </c>
      <c r="L593" s="2">
        <v>0</v>
      </c>
      <c r="M593" s="2">
        <v>0</v>
      </c>
      <c r="N593" s="2">
        <v>27</v>
      </c>
      <c r="O593" s="2">
        <v>3</v>
      </c>
      <c r="P593" s="3">
        <v>4</v>
      </c>
      <c r="Q593" s="2">
        <v>2</v>
      </c>
      <c r="R593" s="2">
        <v>1</v>
      </c>
      <c r="S593" s="2">
        <v>2</v>
      </c>
      <c r="T593" s="2">
        <v>0</v>
      </c>
      <c r="U593" s="2">
        <v>0</v>
      </c>
      <c r="V593" s="2">
        <f t="shared" si="155"/>
        <v>26</v>
      </c>
      <c r="W593" s="2">
        <v>0</v>
      </c>
      <c r="X593" s="2">
        <v>6</v>
      </c>
      <c r="Y593" s="2">
        <v>0</v>
      </c>
      <c r="Z593" s="2">
        <f t="shared" si="152"/>
        <v>6</v>
      </c>
      <c r="AA593" s="2">
        <f t="shared" si="153"/>
        <v>32</v>
      </c>
      <c r="AB593" s="2">
        <v>3200</v>
      </c>
      <c r="AC593" s="20">
        <f t="shared" si="154"/>
        <v>1</v>
      </c>
      <c r="AD593" s="2" t="s">
        <v>49</v>
      </c>
      <c r="AE593" s="2">
        <v>125</v>
      </c>
      <c r="AF593" s="21">
        <f t="shared" si="148"/>
        <v>1.504</v>
      </c>
      <c r="AG593" s="4">
        <f t="shared" si="149"/>
        <v>0.8125</v>
      </c>
      <c r="AH593" s="4">
        <f t="shared" si="150"/>
        <v>0.1875</v>
      </c>
    </row>
    <row r="594" spans="1:34">
      <c r="A594" s="2">
        <v>20260309</v>
      </c>
      <c r="B594" s="2" t="s">
        <v>1230</v>
      </c>
      <c r="C594" s="2" t="s">
        <v>1231</v>
      </c>
      <c r="D594" s="2">
        <v>5</v>
      </c>
      <c r="E594" s="2">
        <v>59</v>
      </c>
      <c r="F594" s="2">
        <v>2</v>
      </c>
      <c r="G594" s="2">
        <v>2</v>
      </c>
      <c r="H594" s="2">
        <v>6</v>
      </c>
      <c r="I594" s="3">
        <v>30</v>
      </c>
      <c r="J594" s="2">
        <v>22</v>
      </c>
      <c r="K594" s="2">
        <v>32</v>
      </c>
      <c r="L594" s="2">
        <v>0</v>
      </c>
      <c r="M594" s="2">
        <v>8</v>
      </c>
      <c r="N594" s="2">
        <v>49</v>
      </c>
      <c r="O594" s="2">
        <v>13</v>
      </c>
      <c r="P594" s="3">
        <v>9</v>
      </c>
      <c r="Q594" s="2">
        <v>12</v>
      </c>
      <c r="R594" s="2">
        <v>85</v>
      </c>
      <c r="S594" s="2">
        <v>3</v>
      </c>
      <c r="T594" s="2">
        <v>5</v>
      </c>
      <c r="U594" s="2">
        <v>0</v>
      </c>
      <c r="V594" s="2">
        <f t="shared" si="155"/>
        <v>108</v>
      </c>
      <c r="W594" s="2">
        <v>0</v>
      </c>
      <c r="X594" s="2">
        <v>6</v>
      </c>
      <c r="Y594" s="2">
        <v>0</v>
      </c>
      <c r="Z594" s="2">
        <f t="shared" si="152"/>
        <v>6</v>
      </c>
      <c r="AA594" s="2">
        <f t="shared" si="153"/>
        <v>114</v>
      </c>
      <c r="AB594" s="2">
        <v>3504</v>
      </c>
      <c r="AC594" s="20">
        <f t="shared" si="154"/>
        <v>3.25342465753425</v>
      </c>
      <c r="AD594" s="2" t="s">
        <v>49</v>
      </c>
      <c r="AE594" s="2">
        <v>125</v>
      </c>
      <c r="AF594" s="21">
        <f t="shared" si="148"/>
        <v>4.89315068493151</v>
      </c>
      <c r="AG594" s="4">
        <f t="shared" si="149"/>
        <v>3.08219178082192</v>
      </c>
      <c r="AH594" s="4">
        <f t="shared" si="150"/>
        <v>0.171232876712329</v>
      </c>
    </row>
    <row r="595" spans="1:34">
      <c r="A595" s="2">
        <v>20260309</v>
      </c>
      <c r="B595" s="2" t="s">
        <v>1232</v>
      </c>
      <c r="C595" s="2" t="s">
        <v>1233</v>
      </c>
      <c r="D595" s="2">
        <v>2</v>
      </c>
      <c r="E595" s="2">
        <v>18</v>
      </c>
      <c r="F595" s="2">
        <v>3</v>
      </c>
      <c r="G595" s="2">
        <v>0</v>
      </c>
      <c r="H595" s="2">
        <v>4</v>
      </c>
      <c r="I595" s="3">
        <v>8</v>
      </c>
      <c r="J595" s="2">
        <v>14</v>
      </c>
      <c r="K595" s="2">
        <v>3</v>
      </c>
      <c r="L595" s="2">
        <v>0</v>
      </c>
      <c r="M595" s="2">
        <v>2</v>
      </c>
      <c r="N595" s="2">
        <v>37</v>
      </c>
      <c r="O595" s="2">
        <v>4</v>
      </c>
      <c r="P595" s="3">
        <v>7</v>
      </c>
      <c r="Q595" s="2">
        <v>10</v>
      </c>
      <c r="R595" s="2">
        <v>52</v>
      </c>
      <c r="S595" s="2">
        <v>1</v>
      </c>
      <c r="T595" s="2">
        <v>3</v>
      </c>
      <c r="U595" s="2">
        <v>0</v>
      </c>
      <c r="V595" s="2">
        <f t="shared" si="155"/>
        <v>36</v>
      </c>
      <c r="W595" s="2">
        <v>1</v>
      </c>
      <c r="X595" s="2">
        <v>4</v>
      </c>
      <c r="Y595" s="2">
        <v>0</v>
      </c>
      <c r="Z595" s="2">
        <f t="shared" si="152"/>
        <v>5</v>
      </c>
      <c r="AA595" s="2">
        <f t="shared" si="153"/>
        <v>41</v>
      </c>
      <c r="AB595" s="2">
        <v>3155</v>
      </c>
      <c r="AC595" s="20">
        <f t="shared" si="154"/>
        <v>1.29952456418384</v>
      </c>
      <c r="AD595" s="2" t="s">
        <v>49</v>
      </c>
      <c r="AE595" s="2">
        <v>125</v>
      </c>
      <c r="AF595" s="21">
        <f t="shared" si="148"/>
        <v>1.95448494453249</v>
      </c>
      <c r="AG595" s="4">
        <f t="shared" si="149"/>
        <v>1.14104595879556</v>
      </c>
      <c r="AH595" s="4">
        <f t="shared" si="150"/>
        <v>0.158478605388273</v>
      </c>
    </row>
    <row r="596" spans="1:34">
      <c r="A596" s="2">
        <v>20260310</v>
      </c>
      <c r="B596" s="2" t="s">
        <v>1234</v>
      </c>
      <c r="C596" s="2" t="s">
        <v>1235</v>
      </c>
      <c r="D596" s="2">
        <v>6</v>
      </c>
      <c r="E596" s="2">
        <v>7</v>
      </c>
      <c r="F596" s="2">
        <v>5</v>
      </c>
      <c r="G596" s="2">
        <v>3</v>
      </c>
      <c r="H596" s="2">
        <v>1</v>
      </c>
      <c r="I596" s="3">
        <v>29</v>
      </c>
      <c r="J596" s="2">
        <v>14</v>
      </c>
      <c r="K596" s="2">
        <v>5</v>
      </c>
      <c r="L596" s="2">
        <v>0</v>
      </c>
      <c r="M596" s="2">
        <v>2</v>
      </c>
      <c r="N596" s="2">
        <v>45</v>
      </c>
      <c r="O596" s="2">
        <v>8</v>
      </c>
      <c r="P596" s="3">
        <v>7</v>
      </c>
      <c r="Q596" s="2">
        <v>15</v>
      </c>
      <c r="R596" s="2">
        <v>109</v>
      </c>
      <c r="S596" s="2">
        <v>2</v>
      </c>
      <c r="T596" s="2">
        <v>3</v>
      </c>
      <c r="U596" s="2">
        <v>0</v>
      </c>
      <c r="V596" s="2">
        <f t="shared" si="155"/>
        <v>41</v>
      </c>
      <c r="W596" s="2">
        <v>7</v>
      </c>
      <c r="X596" s="2">
        <v>16</v>
      </c>
      <c r="Y596" s="2">
        <v>0</v>
      </c>
      <c r="Z596" s="2">
        <f t="shared" si="152"/>
        <v>23</v>
      </c>
      <c r="AA596" s="2">
        <f t="shared" si="153"/>
        <v>64</v>
      </c>
      <c r="AB596" s="2">
        <v>5164</v>
      </c>
      <c r="AC596" s="20">
        <f t="shared" si="154"/>
        <v>1.23934934159566</v>
      </c>
      <c r="AD596" s="2" t="s">
        <v>49</v>
      </c>
      <c r="AE596" s="2">
        <v>125</v>
      </c>
      <c r="AF596" s="21">
        <f t="shared" si="148"/>
        <v>1.86398140975988</v>
      </c>
      <c r="AG596" s="4">
        <f t="shared" si="149"/>
        <v>0.793958171959721</v>
      </c>
      <c r="AH596" s="4">
        <f t="shared" si="150"/>
        <v>0.445391169635941</v>
      </c>
    </row>
    <row r="597" spans="1:34">
      <c r="A597" s="2">
        <v>20260310</v>
      </c>
      <c r="B597" s="2" t="s">
        <v>1236</v>
      </c>
      <c r="C597" s="2" t="s">
        <v>1237</v>
      </c>
      <c r="D597" s="2">
        <v>7</v>
      </c>
      <c r="E597" s="2">
        <v>0</v>
      </c>
      <c r="F597" s="2">
        <v>12</v>
      </c>
      <c r="G597" s="2">
        <v>3</v>
      </c>
      <c r="H597" s="2">
        <v>12</v>
      </c>
      <c r="I597" s="3">
        <v>11</v>
      </c>
      <c r="J597" s="2">
        <v>7</v>
      </c>
      <c r="K597" s="2">
        <v>7</v>
      </c>
      <c r="L597" s="2">
        <v>0</v>
      </c>
      <c r="M597" s="2">
        <v>2</v>
      </c>
      <c r="N597" s="2">
        <v>34</v>
      </c>
      <c r="O597" s="2">
        <v>35</v>
      </c>
      <c r="P597" s="3">
        <v>10</v>
      </c>
      <c r="Q597" s="2">
        <v>11</v>
      </c>
      <c r="R597" s="2">
        <v>46</v>
      </c>
      <c r="S597" s="2">
        <v>1</v>
      </c>
      <c r="T597" s="2">
        <v>13</v>
      </c>
      <c r="U597" s="2">
        <v>0</v>
      </c>
      <c r="V597" s="2">
        <f t="shared" si="155"/>
        <v>58</v>
      </c>
      <c r="W597" s="2">
        <v>4</v>
      </c>
      <c r="X597" s="2">
        <v>3</v>
      </c>
      <c r="Y597" s="2">
        <v>0</v>
      </c>
      <c r="Z597" s="2">
        <f t="shared" si="152"/>
        <v>7</v>
      </c>
      <c r="AA597" s="2">
        <f t="shared" si="153"/>
        <v>65</v>
      </c>
      <c r="AB597" s="2">
        <v>3305</v>
      </c>
      <c r="AC597" s="20">
        <f t="shared" si="154"/>
        <v>1.96671709531014</v>
      </c>
      <c r="AD597" s="2" t="s">
        <v>49</v>
      </c>
      <c r="AE597" s="2">
        <v>125</v>
      </c>
      <c r="AF597" s="21">
        <f t="shared" si="148"/>
        <v>2.95794251134644</v>
      </c>
      <c r="AG597" s="4">
        <f t="shared" si="149"/>
        <v>1.75491679273828</v>
      </c>
      <c r="AH597" s="4">
        <f t="shared" si="150"/>
        <v>0.211800302571861</v>
      </c>
    </row>
    <row r="598" spans="1:34">
      <c r="A598" s="2">
        <v>20260310</v>
      </c>
      <c r="B598" s="2" t="s">
        <v>1238</v>
      </c>
      <c r="C598" s="2" t="s">
        <v>1239</v>
      </c>
      <c r="D598" s="2">
        <v>1</v>
      </c>
      <c r="E598" s="2">
        <v>4</v>
      </c>
      <c r="F598" s="2">
        <v>7</v>
      </c>
      <c r="G598" s="2">
        <v>2</v>
      </c>
      <c r="H598" s="2">
        <v>3</v>
      </c>
      <c r="I598" s="3">
        <v>9</v>
      </c>
      <c r="J598" s="2">
        <v>10</v>
      </c>
      <c r="K598" s="2">
        <v>6</v>
      </c>
      <c r="L598" s="2">
        <v>0</v>
      </c>
      <c r="M598" s="2">
        <v>0</v>
      </c>
      <c r="N598" s="2">
        <v>20</v>
      </c>
      <c r="O598" s="2">
        <v>5</v>
      </c>
      <c r="P598" s="3">
        <v>1</v>
      </c>
      <c r="Q598" s="2">
        <v>8</v>
      </c>
      <c r="R598" s="2">
        <v>66</v>
      </c>
      <c r="S598" s="2">
        <v>1</v>
      </c>
      <c r="T598" s="2">
        <v>2</v>
      </c>
      <c r="U598" s="2">
        <v>0</v>
      </c>
      <c r="V598" s="2">
        <f t="shared" si="155"/>
        <v>22</v>
      </c>
      <c r="W598" s="2">
        <v>5</v>
      </c>
      <c r="X598" s="2">
        <v>6</v>
      </c>
      <c r="Y598" s="2">
        <v>0</v>
      </c>
      <c r="Z598" s="2">
        <f t="shared" si="152"/>
        <v>11</v>
      </c>
      <c r="AA598" s="2">
        <f t="shared" si="153"/>
        <v>33</v>
      </c>
      <c r="AB598" s="2">
        <v>3205</v>
      </c>
      <c r="AC598" s="20">
        <f t="shared" si="154"/>
        <v>1.02964118564743</v>
      </c>
      <c r="AD598" s="2" t="s">
        <v>49</v>
      </c>
      <c r="AE598" s="2">
        <v>125</v>
      </c>
      <c r="AF598" s="21">
        <f t="shared" si="148"/>
        <v>1.54858034321373</v>
      </c>
      <c r="AG598" s="4">
        <f t="shared" si="149"/>
        <v>0.686427457098284</v>
      </c>
      <c r="AH598" s="4">
        <f t="shared" si="150"/>
        <v>0.343213728549142</v>
      </c>
    </row>
    <row r="599" spans="1:34">
      <c r="A599" s="2">
        <v>20260310</v>
      </c>
      <c r="B599" s="2" t="s">
        <v>1240</v>
      </c>
      <c r="C599" s="2" t="s">
        <v>1241</v>
      </c>
      <c r="D599" s="2">
        <v>3</v>
      </c>
      <c r="E599" s="2">
        <v>2</v>
      </c>
      <c r="F599" s="2">
        <v>3</v>
      </c>
      <c r="G599" s="2">
        <v>1</v>
      </c>
      <c r="H599" s="2">
        <v>3</v>
      </c>
      <c r="I599" s="3">
        <v>15</v>
      </c>
      <c r="J599" s="2">
        <v>5</v>
      </c>
      <c r="K599" s="2">
        <v>1</v>
      </c>
      <c r="L599" s="2">
        <v>0</v>
      </c>
      <c r="M599" s="2">
        <v>2</v>
      </c>
      <c r="N599" s="2">
        <v>18</v>
      </c>
      <c r="O599" s="2">
        <v>2</v>
      </c>
      <c r="P599" s="3">
        <v>4</v>
      </c>
      <c r="Q599" s="2">
        <v>13</v>
      </c>
      <c r="R599" s="2">
        <v>100</v>
      </c>
      <c r="S599" s="2">
        <v>0</v>
      </c>
      <c r="T599" s="2">
        <v>4</v>
      </c>
      <c r="U599" s="2">
        <v>0</v>
      </c>
      <c r="V599" s="2">
        <f t="shared" si="155"/>
        <v>29</v>
      </c>
      <c r="W599" s="2">
        <v>5</v>
      </c>
      <c r="X599" s="2">
        <v>1</v>
      </c>
      <c r="Y599" s="2">
        <v>0</v>
      </c>
      <c r="Z599" s="2">
        <f t="shared" si="152"/>
        <v>6</v>
      </c>
      <c r="AA599" s="2">
        <f t="shared" si="153"/>
        <v>35</v>
      </c>
      <c r="AB599" s="2">
        <v>3206</v>
      </c>
      <c r="AC599" s="20">
        <f t="shared" si="154"/>
        <v>1.09170305676856</v>
      </c>
      <c r="AD599" s="2" t="s">
        <v>49</v>
      </c>
      <c r="AE599" s="2">
        <v>125</v>
      </c>
      <c r="AF599" s="21">
        <f t="shared" si="148"/>
        <v>1.64192139737991</v>
      </c>
      <c r="AG599" s="4">
        <f t="shared" si="149"/>
        <v>0.90455396132252</v>
      </c>
      <c r="AH599" s="4">
        <f t="shared" si="150"/>
        <v>0.187149095446039</v>
      </c>
    </row>
    <row r="600" spans="1:34">
      <c r="A600" s="2">
        <v>20260310</v>
      </c>
      <c r="B600" s="2" t="s">
        <v>1242</v>
      </c>
      <c r="C600" s="2" t="s">
        <v>1243</v>
      </c>
      <c r="D600" s="2">
        <v>3</v>
      </c>
      <c r="E600" s="2">
        <v>1</v>
      </c>
      <c r="F600" s="2">
        <v>6</v>
      </c>
      <c r="G600" s="2">
        <v>2</v>
      </c>
      <c r="H600" s="2">
        <v>0</v>
      </c>
      <c r="I600" s="3">
        <v>13</v>
      </c>
      <c r="J600" s="2">
        <v>14</v>
      </c>
      <c r="K600" s="2">
        <v>17</v>
      </c>
      <c r="L600" s="2">
        <v>1</v>
      </c>
      <c r="M600" s="2">
        <v>5</v>
      </c>
      <c r="N600" s="2">
        <v>50</v>
      </c>
      <c r="O600" s="2">
        <v>25</v>
      </c>
      <c r="P600" s="3">
        <v>5</v>
      </c>
      <c r="Q600" s="2">
        <v>15</v>
      </c>
      <c r="R600" s="2">
        <v>107</v>
      </c>
      <c r="S600" s="2">
        <v>2</v>
      </c>
      <c r="T600" s="2">
        <v>4</v>
      </c>
      <c r="U600" s="2">
        <v>0</v>
      </c>
      <c r="V600" s="2">
        <f t="shared" si="155"/>
        <v>50</v>
      </c>
      <c r="W600" s="2">
        <v>5</v>
      </c>
      <c r="X600" s="2">
        <v>6</v>
      </c>
      <c r="Y600" s="2">
        <v>0</v>
      </c>
      <c r="Z600" s="2">
        <f t="shared" si="152"/>
        <v>11</v>
      </c>
      <c r="AA600" s="2">
        <f t="shared" si="153"/>
        <v>61</v>
      </c>
      <c r="AB600" s="2">
        <v>3503</v>
      </c>
      <c r="AC600" s="20">
        <f t="shared" si="154"/>
        <v>1.74136454467599</v>
      </c>
      <c r="AD600" s="2" t="s">
        <v>49</v>
      </c>
      <c r="AE600" s="2">
        <v>125</v>
      </c>
      <c r="AF600" s="21">
        <f t="shared" si="148"/>
        <v>2.61901227519269</v>
      </c>
      <c r="AG600" s="4">
        <f t="shared" si="149"/>
        <v>1.42734798743934</v>
      </c>
      <c r="AH600" s="4">
        <f t="shared" si="150"/>
        <v>0.314016557236654</v>
      </c>
    </row>
    <row r="601" spans="1:34">
      <c r="A601" s="2">
        <v>20260310</v>
      </c>
      <c r="B601" s="2" t="s">
        <v>1244</v>
      </c>
      <c r="C601" s="2" t="s">
        <v>1245</v>
      </c>
      <c r="D601" s="2">
        <v>2</v>
      </c>
      <c r="E601" s="2">
        <v>1</v>
      </c>
      <c r="F601" s="2">
        <v>10</v>
      </c>
      <c r="G601" s="2">
        <v>4</v>
      </c>
      <c r="H601" s="2">
        <v>3</v>
      </c>
      <c r="I601" s="3">
        <v>36</v>
      </c>
      <c r="J601" s="2">
        <v>14</v>
      </c>
      <c r="K601" s="2">
        <v>9</v>
      </c>
      <c r="L601" s="2">
        <v>1</v>
      </c>
      <c r="M601" s="2">
        <v>6</v>
      </c>
      <c r="N601" s="2">
        <v>48</v>
      </c>
      <c r="O601" s="2">
        <v>14</v>
      </c>
      <c r="P601" s="3">
        <v>5</v>
      </c>
      <c r="Q601" s="2">
        <v>27</v>
      </c>
      <c r="R601" s="2">
        <v>73</v>
      </c>
      <c r="S601" s="2">
        <v>3</v>
      </c>
      <c r="T601" s="2">
        <v>2</v>
      </c>
      <c r="U601" s="2">
        <v>0</v>
      </c>
      <c r="V601" s="2">
        <f t="shared" si="155"/>
        <v>66</v>
      </c>
      <c r="W601" s="2">
        <v>4</v>
      </c>
      <c r="X601" s="2">
        <v>10</v>
      </c>
      <c r="Y601" s="2">
        <v>0</v>
      </c>
      <c r="Z601" s="2">
        <f t="shared" si="152"/>
        <v>14</v>
      </c>
      <c r="AA601" s="2">
        <f t="shared" si="153"/>
        <v>80</v>
      </c>
      <c r="AB601" s="2">
        <v>3124</v>
      </c>
      <c r="AC601" s="20">
        <f t="shared" si="154"/>
        <v>2.56081946222791</v>
      </c>
      <c r="AD601" s="2" t="s">
        <v>58</v>
      </c>
      <c r="AE601" s="2">
        <v>125</v>
      </c>
      <c r="AF601" s="21">
        <f t="shared" si="148"/>
        <v>3.85147247119078</v>
      </c>
      <c r="AG601" s="4">
        <f t="shared" si="149"/>
        <v>2.11267605633803</v>
      </c>
      <c r="AH601" s="4">
        <f t="shared" si="150"/>
        <v>0.448143405889885</v>
      </c>
    </row>
    <row r="602" spans="1:34">
      <c r="A602" s="2">
        <v>20260310</v>
      </c>
      <c r="B602" s="2" t="s">
        <v>1246</v>
      </c>
      <c r="C602" s="2" t="s">
        <v>1247</v>
      </c>
      <c r="D602" s="2">
        <v>0</v>
      </c>
      <c r="E602" s="2">
        <v>2</v>
      </c>
      <c r="F602" s="2">
        <v>8</v>
      </c>
      <c r="G602" s="2">
        <v>5</v>
      </c>
      <c r="H602" s="2">
        <v>0</v>
      </c>
      <c r="I602" s="3">
        <v>15</v>
      </c>
      <c r="J602" s="2">
        <v>12</v>
      </c>
      <c r="K602" s="2">
        <v>5</v>
      </c>
      <c r="L602" s="2">
        <v>0</v>
      </c>
      <c r="M602" s="2">
        <v>5</v>
      </c>
      <c r="N602" s="2">
        <v>31</v>
      </c>
      <c r="O602" s="2">
        <v>8</v>
      </c>
      <c r="P602" s="3">
        <v>5</v>
      </c>
      <c r="Q602" s="2">
        <v>19</v>
      </c>
      <c r="R602" s="2">
        <v>116</v>
      </c>
      <c r="S602" s="2">
        <v>4</v>
      </c>
      <c r="T602" s="2">
        <v>2</v>
      </c>
      <c r="U602" s="2">
        <v>0</v>
      </c>
      <c r="V602" s="2">
        <f t="shared" si="155"/>
        <v>44</v>
      </c>
      <c r="W602" s="2">
        <v>3</v>
      </c>
      <c r="X602" s="2">
        <v>2</v>
      </c>
      <c r="Y602" s="2">
        <v>0</v>
      </c>
      <c r="Z602" s="2">
        <f t="shared" si="152"/>
        <v>5</v>
      </c>
      <c r="AA602" s="2">
        <f t="shared" si="153"/>
        <v>49</v>
      </c>
      <c r="AB602" s="2">
        <v>5364</v>
      </c>
      <c r="AC602" s="20">
        <f t="shared" si="154"/>
        <v>0.913497390007457</v>
      </c>
      <c r="AD602" s="2" t="s">
        <v>58</v>
      </c>
      <c r="AE602" s="2">
        <v>125</v>
      </c>
      <c r="AF602" s="21">
        <f t="shared" si="148"/>
        <v>1.37390007457122</v>
      </c>
      <c r="AG602" s="4">
        <f t="shared" si="149"/>
        <v>0.820283370618941</v>
      </c>
      <c r="AH602" s="4">
        <f t="shared" si="150"/>
        <v>0.093214019388516</v>
      </c>
    </row>
    <row r="603" spans="1:34">
      <c r="A603" s="2">
        <v>20260310</v>
      </c>
      <c r="B603" s="2" t="s">
        <v>1248</v>
      </c>
      <c r="C603" s="2" t="s">
        <v>1249</v>
      </c>
      <c r="D603" s="2">
        <v>4</v>
      </c>
      <c r="E603" s="2">
        <v>1</v>
      </c>
      <c r="F603" s="2">
        <v>4</v>
      </c>
      <c r="G603" s="2">
        <v>2</v>
      </c>
      <c r="H603" s="2">
        <v>3</v>
      </c>
      <c r="I603" s="3">
        <v>5</v>
      </c>
      <c r="J603" s="2">
        <v>3</v>
      </c>
      <c r="K603" s="2">
        <v>0</v>
      </c>
      <c r="L603" s="2">
        <v>1</v>
      </c>
      <c r="M603" s="2">
        <v>3</v>
      </c>
      <c r="N603" s="2">
        <v>13</v>
      </c>
      <c r="O603" s="2">
        <v>7</v>
      </c>
      <c r="P603" s="3">
        <v>1</v>
      </c>
      <c r="Q603" s="2">
        <v>4</v>
      </c>
      <c r="R603" s="2">
        <v>33</v>
      </c>
      <c r="S603" s="2">
        <v>0</v>
      </c>
      <c r="T603" s="2">
        <v>2</v>
      </c>
      <c r="U603" s="2">
        <v>0</v>
      </c>
      <c r="V603" s="2">
        <f t="shared" si="155"/>
        <v>16</v>
      </c>
      <c r="W603" s="2">
        <v>3</v>
      </c>
      <c r="X603" s="2">
        <v>1</v>
      </c>
      <c r="Y603" s="2">
        <v>0</v>
      </c>
      <c r="Z603" s="2">
        <f t="shared" si="152"/>
        <v>4</v>
      </c>
      <c r="AA603" s="2">
        <f t="shared" si="153"/>
        <v>20</v>
      </c>
      <c r="AB603" s="2">
        <v>2815</v>
      </c>
      <c r="AC603" s="20">
        <f t="shared" si="154"/>
        <v>0.710479573712256</v>
      </c>
      <c r="AD603" s="2" t="s">
        <v>58</v>
      </c>
      <c r="AE603" s="2">
        <v>125</v>
      </c>
      <c r="AF603" s="21">
        <f t="shared" si="148"/>
        <v>1.06856127886323</v>
      </c>
      <c r="AG603" s="4">
        <f t="shared" si="149"/>
        <v>0.568383658969805</v>
      </c>
      <c r="AH603" s="4">
        <f t="shared" si="150"/>
        <v>0.142095914742451</v>
      </c>
    </row>
    <row r="604" spans="1:34">
      <c r="A604" s="2">
        <v>20260310</v>
      </c>
      <c r="B604" s="2" t="s">
        <v>1250</v>
      </c>
      <c r="C604" s="2" t="s">
        <v>1251</v>
      </c>
      <c r="D604" s="2">
        <v>0</v>
      </c>
      <c r="E604" s="2">
        <v>10</v>
      </c>
      <c r="F604" s="2">
        <v>3</v>
      </c>
      <c r="G604" s="2">
        <v>0</v>
      </c>
      <c r="H604" s="2">
        <v>2</v>
      </c>
      <c r="I604" s="3">
        <v>10</v>
      </c>
      <c r="J604" s="2">
        <v>5</v>
      </c>
      <c r="K604" s="2">
        <v>2</v>
      </c>
      <c r="L604" s="2">
        <v>0</v>
      </c>
      <c r="M604" s="2">
        <v>0</v>
      </c>
      <c r="N604" s="2">
        <v>18</v>
      </c>
      <c r="O604" s="2">
        <v>1</v>
      </c>
      <c r="P604" s="3">
        <v>2</v>
      </c>
      <c r="Q604" s="2">
        <v>8</v>
      </c>
      <c r="R604" s="2">
        <v>14</v>
      </c>
      <c r="S604" s="2">
        <v>1</v>
      </c>
      <c r="T604" s="2">
        <v>1</v>
      </c>
      <c r="U604" s="2">
        <v>0</v>
      </c>
      <c r="V604" s="2">
        <f t="shared" si="155"/>
        <v>15</v>
      </c>
      <c r="W604" s="2">
        <v>3</v>
      </c>
      <c r="X604" s="2">
        <v>4</v>
      </c>
      <c r="Y604" s="2">
        <v>0</v>
      </c>
      <c r="Z604" s="2">
        <f t="shared" si="152"/>
        <v>7</v>
      </c>
      <c r="AA604" s="2">
        <f t="shared" si="153"/>
        <v>22</v>
      </c>
      <c r="AB604" s="2">
        <v>2605</v>
      </c>
      <c r="AC604" s="20">
        <f t="shared" si="154"/>
        <v>0.844529750479846</v>
      </c>
      <c r="AD604" s="2" t="s">
        <v>58</v>
      </c>
      <c r="AE604" s="2">
        <v>125</v>
      </c>
      <c r="AF604" s="21">
        <f t="shared" si="148"/>
        <v>1.27017274472169</v>
      </c>
      <c r="AG604" s="4">
        <f t="shared" si="149"/>
        <v>0.575815738963532</v>
      </c>
      <c r="AH604" s="4">
        <f t="shared" si="150"/>
        <v>0.268714011516315</v>
      </c>
    </row>
    <row r="605" spans="1:34">
      <c r="A605" s="2">
        <v>20260310</v>
      </c>
      <c r="B605" s="2" t="s">
        <v>1252</v>
      </c>
      <c r="C605" s="2" t="s">
        <v>1253</v>
      </c>
      <c r="D605" s="2">
        <v>1</v>
      </c>
      <c r="E605" s="2">
        <v>3</v>
      </c>
      <c r="F605" s="2">
        <v>2</v>
      </c>
      <c r="G605" s="2">
        <v>2</v>
      </c>
      <c r="H605" s="2">
        <v>1</v>
      </c>
      <c r="I605" s="3">
        <v>13</v>
      </c>
      <c r="J605" s="2">
        <v>5</v>
      </c>
      <c r="K605" s="2">
        <v>3</v>
      </c>
      <c r="L605" s="2">
        <v>0</v>
      </c>
      <c r="M605" s="2">
        <v>0</v>
      </c>
      <c r="N605" s="2">
        <v>21</v>
      </c>
      <c r="O605" s="2">
        <v>8</v>
      </c>
      <c r="P605" s="3">
        <v>3</v>
      </c>
      <c r="Q605" s="2">
        <v>14</v>
      </c>
      <c r="R605" s="2">
        <v>53</v>
      </c>
      <c r="S605" s="2">
        <v>1</v>
      </c>
      <c r="T605" s="2">
        <v>0</v>
      </c>
      <c r="U605" s="2">
        <v>0</v>
      </c>
      <c r="V605" s="2">
        <f t="shared" si="155"/>
        <v>23</v>
      </c>
      <c r="W605" s="2">
        <v>1</v>
      </c>
      <c r="X605" s="2">
        <v>3</v>
      </c>
      <c r="Y605" s="2">
        <v>0</v>
      </c>
      <c r="Z605" s="2">
        <f t="shared" si="152"/>
        <v>4</v>
      </c>
      <c r="AA605" s="2">
        <f t="shared" si="153"/>
        <v>27</v>
      </c>
      <c r="AB605" s="2">
        <v>2606</v>
      </c>
      <c r="AC605" s="20">
        <f t="shared" si="154"/>
        <v>1.03607060629317</v>
      </c>
      <c r="AD605" s="2" t="s">
        <v>58</v>
      </c>
      <c r="AE605" s="2">
        <v>125</v>
      </c>
      <c r="AF605" s="21">
        <f t="shared" ref="AF605:AF617" si="156">188/AE605*AC605</f>
        <v>1.55825019186493</v>
      </c>
      <c r="AG605" s="4">
        <f t="shared" ref="AG605:AG617" si="157">V605/AB605*100</f>
        <v>0.882578664620107</v>
      </c>
      <c r="AH605" s="4">
        <f t="shared" ref="AH605:AH617" si="158">Z605/AB605*100</f>
        <v>0.153491941673062</v>
      </c>
    </row>
    <row r="606" spans="1:34">
      <c r="A606" s="2">
        <v>20260310</v>
      </c>
      <c r="B606" s="2" t="s">
        <v>1254</v>
      </c>
      <c r="C606" s="2" t="s">
        <v>1255</v>
      </c>
      <c r="D606" s="2">
        <v>0</v>
      </c>
      <c r="E606" s="2">
        <v>4</v>
      </c>
      <c r="F606" s="2">
        <v>4</v>
      </c>
      <c r="G606" s="2">
        <v>2</v>
      </c>
      <c r="H606" s="2">
        <v>5</v>
      </c>
      <c r="I606" s="3">
        <v>15</v>
      </c>
      <c r="J606" s="2">
        <v>6</v>
      </c>
      <c r="K606" s="2">
        <v>4</v>
      </c>
      <c r="L606" s="2">
        <v>1</v>
      </c>
      <c r="M606" s="2">
        <v>2</v>
      </c>
      <c r="N606" s="2">
        <v>33</v>
      </c>
      <c r="O606" s="2">
        <v>7</v>
      </c>
      <c r="P606" s="3">
        <v>4</v>
      </c>
      <c r="Q606" s="2">
        <v>17</v>
      </c>
      <c r="R606" s="2">
        <v>90</v>
      </c>
      <c r="S606" s="2">
        <v>4</v>
      </c>
      <c r="T606" s="2">
        <v>2</v>
      </c>
      <c r="U606" s="2">
        <v>0</v>
      </c>
      <c r="V606" s="2">
        <f t="shared" si="155"/>
        <v>34</v>
      </c>
      <c r="W606" s="2">
        <v>6</v>
      </c>
      <c r="X606" s="2">
        <v>1</v>
      </c>
      <c r="Y606" s="2">
        <v>0</v>
      </c>
      <c r="Z606" s="2">
        <f t="shared" si="152"/>
        <v>7</v>
      </c>
      <c r="AA606" s="2">
        <f t="shared" si="153"/>
        <v>41</v>
      </c>
      <c r="AB606" s="2">
        <v>5156</v>
      </c>
      <c r="AC606" s="20">
        <f t="shared" si="154"/>
        <v>0.795190069821567</v>
      </c>
      <c r="AD606" s="2" t="s">
        <v>58</v>
      </c>
      <c r="AE606" s="2">
        <v>125</v>
      </c>
      <c r="AF606" s="21">
        <f t="shared" si="156"/>
        <v>1.19596586501164</v>
      </c>
      <c r="AG606" s="4">
        <f t="shared" si="157"/>
        <v>0.659425911559348</v>
      </c>
      <c r="AH606" s="4">
        <f t="shared" si="158"/>
        <v>0.135764158262219</v>
      </c>
    </row>
    <row r="607" spans="1:34">
      <c r="A607" s="2">
        <v>20260310</v>
      </c>
      <c r="B607" s="2" t="s">
        <v>1256</v>
      </c>
      <c r="C607" s="2" t="s">
        <v>1257</v>
      </c>
      <c r="D607" s="2">
        <v>11</v>
      </c>
      <c r="E607" s="2">
        <v>14</v>
      </c>
      <c r="F607" s="2">
        <v>21</v>
      </c>
      <c r="G607" s="2">
        <v>2</v>
      </c>
      <c r="H607" s="2">
        <v>6</v>
      </c>
      <c r="I607" s="3">
        <v>29</v>
      </c>
      <c r="J607" s="2">
        <v>16</v>
      </c>
      <c r="K607" s="2">
        <v>19</v>
      </c>
      <c r="L607" s="2">
        <v>1</v>
      </c>
      <c r="M607" s="2">
        <v>5</v>
      </c>
      <c r="N607" s="2">
        <v>121</v>
      </c>
      <c r="O607" s="2">
        <v>14</v>
      </c>
      <c r="P607" s="3">
        <v>2</v>
      </c>
      <c r="Q607" s="2">
        <v>59</v>
      </c>
      <c r="R607" s="2">
        <v>75</v>
      </c>
      <c r="S607" s="2">
        <v>5</v>
      </c>
      <c r="T607" s="2">
        <v>5</v>
      </c>
      <c r="U607" s="2">
        <v>0</v>
      </c>
      <c r="V607" s="2">
        <f t="shared" si="155"/>
        <v>81</v>
      </c>
      <c r="W607" s="2">
        <v>3</v>
      </c>
      <c r="X607" s="2">
        <v>1</v>
      </c>
      <c r="Y607" s="2">
        <v>0</v>
      </c>
      <c r="Z607" s="2">
        <f t="shared" si="152"/>
        <v>4</v>
      </c>
      <c r="AA607" s="2">
        <f t="shared" si="153"/>
        <v>85</v>
      </c>
      <c r="AB607" s="2">
        <v>5156</v>
      </c>
      <c r="AC607" s="20">
        <f t="shared" si="154"/>
        <v>1.64856477889837</v>
      </c>
      <c r="AD607" s="2" t="s">
        <v>58</v>
      </c>
      <c r="AE607" s="2">
        <v>125</v>
      </c>
      <c r="AF607" s="21">
        <f t="shared" si="156"/>
        <v>2.47944142746315</v>
      </c>
      <c r="AG607" s="4">
        <f t="shared" si="157"/>
        <v>1.57098525989139</v>
      </c>
      <c r="AH607" s="4">
        <f t="shared" si="158"/>
        <v>0.0775795190069822</v>
      </c>
    </row>
    <row r="608" spans="1:34">
      <c r="A608" s="2">
        <v>20260310</v>
      </c>
      <c r="B608" s="2" t="s">
        <v>1258</v>
      </c>
      <c r="C608" s="2" t="s">
        <v>1259</v>
      </c>
      <c r="D608" s="2">
        <v>3</v>
      </c>
      <c r="E608" s="2">
        <v>3</v>
      </c>
      <c r="F608" s="2">
        <v>13</v>
      </c>
      <c r="G608" s="2">
        <v>2</v>
      </c>
      <c r="H608" s="2">
        <v>6</v>
      </c>
      <c r="I608" s="3">
        <v>26</v>
      </c>
      <c r="J608" s="2">
        <v>7</v>
      </c>
      <c r="K608" s="2">
        <v>12</v>
      </c>
      <c r="L608" s="2">
        <v>0</v>
      </c>
      <c r="M608" s="2">
        <v>5</v>
      </c>
      <c r="N608" s="2">
        <v>24</v>
      </c>
      <c r="O608" s="3">
        <v>14</v>
      </c>
      <c r="P608" s="2">
        <v>5</v>
      </c>
      <c r="Q608" s="2">
        <v>18</v>
      </c>
      <c r="R608" s="2">
        <v>33</v>
      </c>
      <c r="S608" s="2">
        <v>0</v>
      </c>
      <c r="T608" s="2">
        <v>4</v>
      </c>
      <c r="U608" s="2">
        <v>1</v>
      </c>
      <c r="V608" s="2">
        <f t="shared" si="155"/>
        <v>67</v>
      </c>
      <c r="W608" s="2">
        <v>0</v>
      </c>
      <c r="X608" s="2">
        <v>0</v>
      </c>
      <c r="Y608" s="2">
        <v>0</v>
      </c>
      <c r="Z608" s="2">
        <f t="shared" si="152"/>
        <v>1</v>
      </c>
      <c r="AA608" s="2">
        <f t="shared" si="153"/>
        <v>68</v>
      </c>
      <c r="AB608" s="2">
        <v>3555</v>
      </c>
      <c r="AC608" s="20">
        <f t="shared" si="154"/>
        <v>1.91279887482419</v>
      </c>
      <c r="AD608" s="2" t="s">
        <v>49</v>
      </c>
      <c r="AE608" s="2">
        <v>125</v>
      </c>
      <c r="AF608" s="21">
        <f t="shared" si="156"/>
        <v>2.87684950773558</v>
      </c>
      <c r="AG608" s="4">
        <f t="shared" si="157"/>
        <v>1.88466947960619</v>
      </c>
      <c r="AH608" s="4">
        <f t="shared" si="158"/>
        <v>0.0281293952180028</v>
      </c>
    </row>
    <row r="609" spans="1:34">
      <c r="A609" s="2">
        <v>20260310</v>
      </c>
      <c r="B609" s="2" t="s">
        <v>1260</v>
      </c>
      <c r="C609" s="2" t="s">
        <v>1261</v>
      </c>
      <c r="D609" s="2">
        <v>2</v>
      </c>
      <c r="E609" s="2">
        <v>14</v>
      </c>
      <c r="F609" s="2">
        <v>18</v>
      </c>
      <c r="G609" s="2">
        <v>3</v>
      </c>
      <c r="H609" s="2">
        <v>4</v>
      </c>
      <c r="I609" s="3">
        <v>14</v>
      </c>
      <c r="J609" s="2">
        <v>7</v>
      </c>
      <c r="K609" s="2">
        <v>2</v>
      </c>
      <c r="L609" s="2">
        <v>0</v>
      </c>
      <c r="M609" s="2">
        <v>6</v>
      </c>
      <c r="N609" s="2">
        <v>37</v>
      </c>
      <c r="O609" s="2">
        <v>23</v>
      </c>
      <c r="P609" s="3">
        <v>2</v>
      </c>
      <c r="Q609" s="2">
        <v>21</v>
      </c>
      <c r="R609" s="2">
        <v>12</v>
      </c>
      <c r="S609" s="2">
        <v>1</v>
      </c>
      <c r="T609" s="2">
        <v>0</v>
      </c>
      <c r="U609" s="2">
        <v>0</v>
      </c>
      <c r="V609" s="2">
        <f t="shared" si="155"/>
        <v>34</v>
      </c>
      <c r="W609" s="2">
        <v>0</v>
      </c>
      <c r="X609" s="2">
        <v>4</v>
      </c>
      <c r="Y609" s="2">
        <v>0</v>
      </c>
      <c r="Z609" s="2">
        <f t="shared" si="152"/>
        <v>4</v>
      </c>
      <c r="AA609" s="2">
        <f t="shared" si="153"/>
        <v>38</v>
      </c>
      <c r="AB609" s="2">
        <v>3773</v>
      </c>
      <c r="AC609" s="20">
        <f t="shared" si="154"/>
        <v>1.00715610919693</v>
      </c>
      <c r="AD609" s="2" t="s">
        <v>49</v>
      </c>
      <c r="AE609" s="2">
        <v>125</v>
      </c>
      <c r="AF609" s="21">
        <f t="shared" si="156"/>
        <v>1.51476278823218</v>
      </c>
      <c r="AG609" s="4">
        <f t="shared" si="157"/>
        <v>0.901139676649881</v>
      </c>
      <c r="AH609" s="4">
        <f t="shared" si="158"/>
        <v>0.106016432547045</v>
      </c>
    </row>
    <row r="610" spans="1:34">
      <c r="A610" s="2">
        <v>20260310</v>
      </c>
      <c r="B610" s="2" t="s">
        <v>1262</v>
      </c>
      <c r="C610" s="2" t="s">
        <v>1263</v>
      </c>
      <c r="D610" s="2">
        <v>7</v>
      </c>
      <c r="E610" s="2">
        <v>7</v>
      </c>
      <c r="F610" s="2">
        <v>15</v>
      </c>
      <c r="G610" s="2">
        <v>3</v>
      </c>
      <c r="H610" s="2">
        <v>3</v>
      </c>
      <c r="I610" s="3">
        <v>9</v>
      </c>
      <c r="J610" s="2">
        <v>7</v>
      </c>
      <c r="K610" s="2">
        <v>3</v>
      </c>
      <c r="L610" s="2">
        <v>0</v>
      </c>
      <c r="M610" s="2">
        <v>5</v>
      </c>
      <c r="N610" s="2">
        <v>35</v>
      </c>
      <c r="O610" s="2">
        <v>60</v>
      </c>
      <c r="P610" s="3">
        <v>2</v>
      </c>
      <c r="Q610" s="2">
        <v>15</v>
      </c>
      <c r="R610" s="2">
        <v>282</v>
      </c>
      <c r="S610" s="2">
        <v>3</v>
      </c>
      <c r="T610" s="2">
        <v>1</v>
      </c>
      <c r="U610" s="2">
        <v>0</v>
      </c>
      <c r="V610" s="2">
        <f t="shared" ref="V610:V641" si="159">AA610-Y610-X610-W610-U610</f>
        <v>31</v>
      </c>
      <c r="W610" s="2">
        <v>2</v>
      </c>
      <c r="X610" s="2">
        <v>0</v>
      </c>
      <c r="Y610" s="2">
        <v>0</v>
      </c>
      <c r="Z610" s="2">
        <f t="shared" ref="Z610:Z641" si="160">Y610+X610+W610+U610</f>
        <v>2</v>
      </c>
      <c r="AA610" s="2">
        <f t="shared" ref="AA610:AA641" si="161">G610+H610+I610+J610+K610+L610+M610+P610+T610+U610</f>
        <v>33</v>
      </c>
      <c r="AB610" s="2">
        <v>3655</v>
      </c>
      <c r="AC610" s="20">
        <f t="shared" ref="AC610:AC641" si="162">AA610/AB610*100</f>
        <v>0.902872777017784</v>
      </c>
      <c r="AD610" s="2" t="s">
        <v>49</v>
      </c>
      <c r="AE610" s="2">
        <v>125</v>
      </c>
      <c r="AF610" s="21">
        <f t="shared" ref="AF610:AF641" si="163">188/AE610*AC610</f>
        <v>1.35792065663475</v>
      </c>
      <c r="AG610" s="4">
        <f t="shared" ref="AG610:AG641" si="164">V610/AB610*100</f>
        <v>0.848153214774282</v>
      </c>
      <c r="AH610" s="4">
        <f t="shared" ref="AH610:AH641" si="165">Z610/AB610*100</f>
        <v>0.0547195622435021</v>
      </c>
    </row>
    <row r="611" spans="1:34">
      <c r="A611" s="2">
        <v>20260310</v>
      </c>
      <c r="B611" s="2" t="s">
        <v>1264</v>
      </c>
      <c r="C611" s="2" t="s">
        <v>1265</v>
      </c>
      <c r="D611" s="2">
        <v>1</v>
      </c>
      <c r="E611" s="2">
        <v>6</v>
      </c>
      <c r="F611" s="2">
        <v>22</v>
      </c>
      <c r="G611" s="2">
        <v>2</v>
      </c>
      <c r="H611" s="2">
        <v>4</v>
      </c>
      <c r="I611" s="3">
        <v>9</v>
      </c>
      <c r="J611" s="2">
        <v>8</v>
      </c>
      <c r="K611" s="2">
        <v>3</v>
      </c>
      <c r="L611" s="2">
        <v>1</v>
      </c>
      <c r="M611" s="2">
        <v>3</v>
      </c>
      <c r="N611" s="2">
        <v>75</v>
      </c>
      <c r="O611" s="2">
        <v>6</v>
      </c>
      <c r="P611" s="3">
        <v>5</v>
      </c>
      <c r="Q611" s="2">
        <v>18</v>
      </c>
      <c r="R611" s="2">
        <v>16</v>
      </c>
      <c r="S611" s="2">
        <v>6</v>
      </c>
      <c r="T611" s="2">
        <v>1</v>
      </c>
      <c r="U611" s="2">
        <v>0</v>
      </c>
      <c r="V611" s="2">
        <f t="shared" si="159"/>
        <v>32</v>
      </c>
      <c r="W611" s="2">
        <v>3</v>
      </c>
      <c r="X611" s="2">
        <v>0</v>
      </c>
      <c r="Y611" s="2">
        <v>1</v>
      </c>
      <c r="Z611" s="2">
        <f t="shared" si="160"/>
        <v>4</v>
      </c>
      <c r="AA611" s="2">
        <f t="shared" si="161"/>
        <v>36</v>
      </c>
      <c r="AB611" s="2">
        <v>3205</v>
      </c>
      <c r="AC611" s="20">
        <f t="shared" si="162"/>
        <v>1.12324492979719</v>
      </c>
      <c r="AD611" s="2" t="s">
        <v>49</v>
      </c>
      <c r="AE611" s="2">
        <v>125</v>
      </c>
      <c r="AF611" s="21">
        <f t="shared" si="163"/>
        <v>1.68936037441498</v>
      </c>
      <c r="AG611" s="4">
        <f t="shared" si="164"/>
        <v>0.998439937597504</v>
      </c>
      <c r="AH611" s="4">
        <f t="shared" si="165"/>
        <v>0.124804992199688</v>
      </c>
    </row>
    <row r="612" spans="1:34">
      <c r="A612" s="2">
        <v>20260310</v>
      </c>
      <c r="B612" s="2" t="s">
        <v>1266</v>
      </c>
      <c r="C612" s="2" t="s">
        <v>1267</v>
      </c>
      <c r="D612" s="2">
        <v>11</v>
      </c>
      <c r="E612" s="2">
        <v>3</v>
      </c>
      <c r="F612" s="2">
        <v>36</v>
      </c>
      <c r="G612" s="2">
        <v>1</v>
      </c>
      <c r="H612" s="2">
        <v>13</v>
      </c>
      <c r="I612" s="3">
        <v>16</v>
      </c>
      <c r="J612" s="2">
        <v>14</v>
      </c>
      <c r="K612" s="2">
        <v>25</v>
      </c>
      <c r="L612" s="2">
        <v>1</v>
      </c>
      <c r="M612" s="2">
        <v>5</v>
      </c>
      <c r="N612" s="2">
        <v>159</v>
      </c>
      <c r="O612" s="2">
        <v>67</v>
      </c>
      <c r="P612" s="3">
        <v>7</v>
      </c>
      <c r="Q612" s="2">
        <v>40</v>
      </c>
      <c r="R612" s="2">
        <v>14</v>
      </c>
      <c r="S612" s="2">
        <v>12</v>
      </c>
      <c r="T612" s="2">
        <v>5</v>
      </c>
      <c r="U612" s="2">
        <v>1</v>
      </c>
      <c r="V612" s="2">
        <f t="shared" si="159"/>
        <v>73</v>
      </c>
      <c r="W612" s="2">
        <v>5</v>
      </c>
      <c r="X612" s="2">
        <v>9</v>
      </c>
      <c r="Y612" s="2">
        <v>0</v>
      </c>
      <c r="Z612" s="2">
        <f t="shared" si="160"/>
        <v>15</v>
      </c>
      <c r="AA612" s="2">
        <f t="shared" si="161"/>
        <v>88</v>
      </c>
      <c r="AB612" s="2">
        <v>3485</v>
      </c>
      <c r="AC612" s="20">
        <f t="shared" si="162"/>
        <v>2.52510760401722</v>
      </c>
      <c r="AD612" s="2" t="s">
        <v>49</v>
      </c>
      <c r="AE612" s="2">
        <v>125</v>
      </c>
      <c r="AF612" s="21">
        <f t="shared" si="163"/>
        <v>3.79776183644189</v>
      </c>
      <c r="AG612" s="4">
        <f t="shared" si="164"/>
        <v>2.09469153515065</v>
      </c>
      <c r="AH612" s="4">
        <f t="shared" si="165"/>
        <v>0.430416068866571</v>
      </c>
    </row>
    <row r="613" spans="1:34">
      <c r="A613" s="2">
        <v>20260310</v>
      </c>
      <c r="B613" s="2" t="s">
        <v>1268</v>
      </c>
      <c r="C613" s="2" t="s">
        <v>1269</v>
      </c>
      <c r="D613" s="2">
        <v>3</v>
      </c>
      <c r="E613" s="2">
        <v>48</v>
      </c>
      <c r="F613" s="2">
        <v>22</v>
      </c>
      <c r="G613" s="2">
        <v>1</v>
      </c>
      <c r="H613" s="2">
        <v>3</v>
      </c>
      <c r="I613" s="3">
        <v>17</v>
      </c>
      <c r="J613" s="2">
        <v>6</v>
      </c>
      <c r="K613" s="2">
        <v>5</v>
      </c>
      <c r="L613" s="2">
        <v>0</v>
      </c>
      <c r="M613" s="2">
        <v>4</v>
      </c>
      <c r="N613" s="2">
        <v>35</v>
      </c>
      <c r="O613" s="2">
        <v>18</v>
      </c>
      <c r="P613" s="3">
        <v>3</v>
      </c>
      <c r="Q613" s="2">
        <v>21</v>
      </c>
      <c r="R613" s="2">
        <v>109</v>
      </c>
      <c r="S613" s="2">
        <v>2</v>
      </c>
      <c r="T613" s="2">
        <v>1</v>
      </c>
      <c r="U613" s="2">
        <v>0</v>
      </c>
      <c r="V613" s="2">
        <f t="shared" si="159"/>
        <v>31</v>
      </c>
      <c r="W613" s="2">
        <v>3</v>
      </c>
      <c r="X613" s="2">
        <v>6</v>
      </c>
      <c r="Y613" s="2">
        <v>0</v>
      </c>
      <c r="Z613" s="2">
        <f t="shared" si="160"/>
        <v>9</v>
      </c>
      <c r="AA613" s="2">
        <f t="shared" si="161"/>
        <v>40</v>
      </c>
      <c r="AB613" s="2">
        <v>3593</v>
      </c>
      <c r="AC613" s="20">
        <f t="shared" si="162"/>
        <v>1.11327581408294</v>
      </c>
      <c r="AD613" s="2" t="s">
        <v>49</v>
      </c>
      <c r="AE613" s="2">
        <v>125</v>
      </c>
      <c r="AF613" s="21">
        <f t="shared" si="163"/>
        <v>1.67436682438074</v>
      </c>
      <c r="AG613" s="4">
        <f t="shared" si="164"/>
        <v>0.862788755914278</v>
      </c>
      <c r="AH613" s="4">
        <f t="shared" si="165"/>
        <v>0.250487058168661</v>
      </c>
    </row>
    <row r="614" spans="1:34">
      <c r="A614" s="2">
        <v>20260310</v>
      </c>
      <c r="B614" s="2" t="s">
        <v>1270</v>
      </c>
      <c r="C614" s="2" t="s">
        <v>1271</v>
      </c>
      <c r="D614" s="2">
        <v>4</v>
      </c>
      <c r="E614" s="2">
        <v>21</v>
      </c>
      <c r="F614" s="2">
        <v>14</v>
      </c>
      <c r="G614" s="2">
        <v>2</v>
      </c>
      <c r="H614" s="2">
        <v>7</v>
      </c>
      <c r="I614" s="3">
        <v>12</v>
      </c>
      <c r="J614" s="2">
        <v>11</v>
      </c>
      <c r="K614" s="2">
        <v>2</v>
      </c>
      <c r="L614" s="2">
        <v>0</v>
      </c>
      <c r="M614" s="2">
        <v>2</v>
      </c>
      <c r="N614" s="2">
        <v>20</v>
      </c>
      <c r="O614" s="2">
        <v>3</v>
      </c>
      <c r="P614" s="3">
        <v>3</v>
      </c>
      <c r="Q614" s="2">
        <v>13</v>
      </c>
      <c r="R614" s="2">
        <v>52</v>
      </c>
      <c r="S614" s="2">
        <v>1</v>
      </c>
      <c r="T614" s="2">
        <v>1</v>
      </c>
      <c r="U614" s="2">
        <v>0</v>
      </c>
      <c r="V614" s="2">
        <f t="shared" si="159"/>
        <v>33</v>
      </c>
      <c r="W614" s="2">
        <v>6</v>
      </c>
      <c r="X614" s="2">
        <v>1</v>
      </c>
      <c r="Y614" s="2">
        <v>0</v>
      </c>
      <c r="Z614" s="2">
        <f t="shared" si="160"/>
        <v>7</v>
      </c>
      <c r="AA614" s="2">
        <f t="shared" si="161"/>
        <v>40</v>
      </c>
      <c r="AB614" s="2">
        <v>3513</v>
      </c>
      <c r="AC614" s="20">
        <f t="shared" si="162"/>
        <v>1.13862795331625</v>
      </c>
      <c r="AD614" s="2" t="s">
        <v>49</v>
      </c>
      <c r="AE614" s="2">
        <v>125</v>
      </c>
      <c r="AF614" s="21">
        <f t="shared" si="163"/>
        <v>1.71249644178765</v>
      </c>
      <c r="AG614" s="4">
        <f t="shared" si="164"/>
        <v>0.939368061485909</v>
      </c>
      <c r="AH614" s="4">
        <f t="shared" si="165"/>
        <v>0.199259891830344</v>
      </c>
    </row>
    <row r="615" spans="1:34">
      <c r="A615" s="2">
        <v>20260310</v>
      </c>
      <c r="B615" s="2" t="s">
        <v>1272</v>
      </c>
      <c r="C615" s="2" t="s">
        <v>1273</v>
      </c>
      <c r="D615" s="2">
        <v>0</v>
      </c>
      <c r="E615" s="2">
        <v>17</v>
      </c>
      <c r="F615" s="2">
        <v>15</v>
      </c>
      <c r="G615" s="2">
        <v>10</v>
      </c>
      <c r="H615" s="2">
        <v>16</v>
      </c>
      <c r="I615" s="3">
        <v>6</v>
      </c>
      <c r="J615" s="2">
        <v>16</v>
      </c>
      <c r="K615" s="2">
        <v>3</v>
      </c>
      <c r="L615" s="2">
        <v>3</v>
      </c>
      <c r="M615" s="2">
        <v>0</v>
      </c>
      <c r="N615" s="2">
        <v>44</v>
      </c>
      <c r="O615" s="2">
        <v>12</v>
      </c>
      <c r="P615" s="3">
        <v>5</v>
      </c>
      <c r="Q615" s="2">
        <v>20</v>
      </c>
      <c r="R615" s="2">
        <v>29</v>
      </c>
      <c r="S615" s="2">
        <v>5</v>
      </c>
      <c r="T615" s="2">
        <v>12</v>
      </c>
      <c r="U615" s="2">
        <v>0</v>
      </c>
      <c r="V615" s="2">
        <f t="shared" si="159"/>
        <v>68</v>
      </c>
      <c r="W615" s="2">
        <v>1</v>
      </c>
      <c r="X615" s="2">
        <v>2</v>
      </c>
      <c r="Y615" s="2">
        <v>0</v>
      </c>
      <c r="Z615" s="2">
        <f t="shared" si="160"/>
        <v>3</v>
      </c>
      <c r="AA615" s="2">
        <f t="shared" si="161"/>
        <v>71</v>
      </c>
      <c r="AB615" s="2">
        <v>3385</v>
      </c>
      <c r="AC615" s="20">
        <f t="shared" si="162"/>
        <v>2.09748892171344</v>
      </c>
      <c r="AD615" s="2" t="s">
        <v>49</v>
      </c>
      <c r="AE615" s="2">
        <v>125</v>
      </c>
      <c r="AF615" s="21">
        <f t="shared" si="163"/>
        <v>3.15462333825702</v>
      </c>
      <c r="AG615" s="4">
        <f t="shared" si="164"/>
        <v>2.00886262924668</v>
      </c>
      <c r="AH615" s="4">
        <f t="shared" si="165"/>
        <v>0.0886262924667651</v>
      </c>
    </row>
    <row r="616" spans="1:34">
      <c r="A616" s="2">
        <v>20260311</v>
      </c>
      <c r="B616" s="2" t="s">
        <v>1274</v>
      </c>
      <c r="C616" s="2" t="s">
        <v>1275</v>
      </c>
      <c r="D616" s="2">
        <v>3</v>
      </c>
      <c r="E616" s="2">
        <v>3</v>
      </c>
      <c r="F616" s="2">
        <v>14</v>
      </c>
      <c r="G616" s="2">
        <v>1</v>
      </c>
      <c r="H616" s="2">
        <v>2</v>
      </c>
      <c r="I616" s="3">
        <v>15</v>
      </c>
      <c r="J616" s="2">
        <v>19</v>
      </c>
      <c r="K616" s="2">
        <v>5</v>
      </c>
      <c r="L616" s="2">
        <v>0</v>
      </c>
      <c r="M616" s="2">
        <v>3</v>
      </c>
      <c r="N616" s="2">
        <v>58</v>
      </c>
      <c r="O616" s="2">
        <v>11</v>
      </c>
      <c r="P616" s="3">
        <v>7</v>
      </c>
      <c r="Q616" s="2">
        <v>6</v>
      </c>
      <c r="R616" s="2">
        <v>29</v>
      </c>
      <c r="S616" s="2">
        <v>4</v>
      </c>
      <c r="T616" s="2">
        <v>1</v>
      </c>
      <c r="U616" s="2">
        <v>0</v>
      </c>
      <c r="V616" s="2">
        <f t="shared" si="159"/>
        <v>42</v>
      </c>
      <c r="W616" s="2">
        <v>5</v>
      </c>
      <c r="X616" s="2">
        <v>6</v>
      </c>
      <c r="Y616" s="2">
        <v>0</v>
      </c>
      <c r="Z616" s="2">
        <f t="shared" si="160"/>
        <v>11</v>
      </c>
      <c r="AA616" s="2">
        <f t="shared" si="161"/>
        <v>53</v>
      </c>
      <c r="AB616" s="2">
        <v>3205</v>
      </c>
      <c r="AC616" s="20">
        <f t="shared" si="162"/>
        <v>1.65366614664587</v>
      </c>
      <c r="AD616" s="2" t="s">
        <v>49</v>
      </c>
      <c r="AE616" s="2">
        <v>125</v>
      </c>
      <c r="AF616" s="21">
        <f t="shared" si="163"/>
        <v>2.48711388455538</v>
      </c>
      <c r="AG616" s="4">
        <f t="shared" si="164"/>
        <v>1.31045241809672</v>
      </c>
      <c r="AH616" s="4">
        <f t="shared" si="165"/>
        <v>0.343213728549142</v>
      </c>
    </row>
    <row r="617" spans="1:34">
      <c r="A617" s="2">
        <v>20260311</v>
      </c>
      <c r="B617" s="2" t="s">
        <v>1276</v>
      </c>
      <c r="C617" s="2" t="s">
        <v>1277</v>
      </c>
      <c r="D617" s="2">
        <v>5</v>
      </c>
      <c r="E617" s="2">
        <v>3</v>
      </c>
      <c r="F617" s="2">
        <v>21</v>
      </c>
      <c r="G617" s="2">
        <v>5</v>
      </c>
      <c r="H617" s="2">
        <v>4</v>
      </c>
      <c r="I617" s="3">
        <v>18</v>
      </c>
      <c r="J617" s="2">
        <v>18</v>
      </c>
      <c r="K617" s="2">
        <v>16</v>
      </c>
      <c r="L617" s="2">
        <v>0</v>
      </c>
      <c r="M617" s="2">
        <v>0</v>
      </c>
      <c r="N617" s="2">
        <v>78</v>
      </c>
      <c r="O617" s="2">
        <v>9</v>
      </c>
      <c r="P617" s="3">
        <v>3</v>
      </c>
      <c r="Q617" s="2">
        <v>35</v>
      </c>
      <c r="R617" s="2">
        <v>10</v>
      </c>
      <c r="S617" s="2">
        <v>4</v>
      </c>
      <c r="T617" s="2">
        <v>5</v>
      </c>
      <c r="U617" s="2">
        <v>0</v>
      </c>
      <c r="V617" s="2">
        <f t="shared" si="159"/>
        <v>64</v>
      </c>
      <c r="W617" s="2">
        <v>3</v>
      </c>
      <c r="X617" s="2">
        <v>2</v>
      </c>
      <c r="Y617" s="2">
        <v>0</v>
      </c>
      <c r="Z617" s="2">
        <f t="shared" si="160"/>
        <v>5</v>
      </c>
      <c r="AA617" s="2">
        <f t="shared" si="161"/>
        <v>69</v>
      </c>
      <c r="AB617" s="2">
        <v>3435</v>
      </c>
      <c r="AC617" s="20">
        <f t="shared" si="162"/>
        <v>2.00873362445415</v>
      </c>
      <c r="AD617" s="2" t="s">
        <v>49</v>
      </c>
      <c r="AE617" s="2">
        <v>125</v>
      </c>
      <c r="AF617" s="21">
        <f t="shared" si="163"/>
        <v>3.02113537117904</v>
      </c>
      <c r="AG617" s="4">
        <f t="shared" si="164"/>
        <v>1.86317321688501</v>
      </c>
      <c r="AH617" s="4">
        <f t="shared" si="165"/>
        <v>0.145560407569141</v>
      </c>
    </row>
    <row r="618" spans="1:34">
      <c r="A618" s="2">
        <v>20260311</v>
      </c>
      <c r="B618" s="2" t="s">
        <v>1278</v>
      </c>
      <c r="C618" s="2" t="s">
        <v>1279</v>
      </c>
      <c r="D618" s="2">
        <v>0</v>
      </c>
      <c r="E618" s="2">
        <v>2</v>
      </c>
      <c r="F618" s="2">
        <v>6</v>
      </c>
      <c r="G618" s="2">
        <v>4</v>
      </c>
      <c r="H618" s="2">
        <v>3</v>
      </c>
      <c r="I618" s="3">
        <v>4</v>
      </c>
      <c r="J618" s="2">
        <v>3</v>
      </c>
      <c r="K618" s="2">
        <v>6</v>
      </c>
      <c r="L618" s="2">
        <v>0</v>
      </c>
      <c r="M618" s="2">
        <v>0</v>
      </c>
      <c r="N618" s="2">
        <v>13</v>
      </c>
      <c r="O618" s="2">
        <v>3</v>
      </c>
      <c r="P618" s="3">
        <v>2</v>
      </c>
      <c r="Q618" s="2">
        <v>20</v>
      </c>
      <c r="R618" s="2">
        <v>10</v>
      </c>
      <c r="S618" s="2">
        <v>5</v>
      </c>
      <c r="T618" s="2">
        <v>5</v>
      </c>
      <c r="U618" s="2">
        <v>0</v>
      </c>
      <c r="V618" s="2">
        <f t="shared" si="159"/>
        <v>18</v>
      </c>
      <c r="W618" s="2">
        <v>4</v>
      </c>
      <c r="X618" s="2">
        <v>5</v>
      </c>
      <c r="Y618" s="2">
        <v>0</v>
      </c>
      <c r="Z618" s="2">
        <f t="shared" si="160"/>
        <v>9</v>
      </c>
      <c r="AA618" s="2">
        <f t="shared" si="161"/>
        <v>27</v>
      </c>
      <c r="AB618" s="2">
        <v>3305</v>
      </c>
      <c r="AC618" s="20">
        <f t="shared" si="162"/>
        <v>0.816944024205749</v>
      </c>
      <c r="AD618" s="2" t="s">
        <v>49</v>
      </c>
      <c r="AE618" s="2">
        <v>125</v>
      </c>
      <c r="AF618" s="21">
        <f t="shared" si="163"/>
        <v>1.22868381240545</v>
      </c>
      <c r="AG618" s="4">
        <f t="shared" si="164"/>
        <v>0.544629349470499</v>
      </c>
      <c r="AH618" s="4">
        <f t="shared" si="165"/>
        <v>0.27231467473525</v>
      </c>
    </row>
    <row r="619" spans="1:34">
      <c r="A619" s="2">
        <v>20260311</v>
      </c>
      <c r="B619" s="2" t="s">
        <v>1280</v>
      </c>
      <c r="C619" s="2" t="s">
        <v>1281</v>
      </c>
      <c r="D619" s="2">
        <v>4</v>
      </c>
      <c r="E619" s="2">
        <v>3</v>
      </c>
      <c r="F619" s="2">
        <v>15</v>
      </c>
      <c r="G619" s="2">
        <v>1</v>
      </c>
      <c r="H619" s="2">
        <v>5</v>
      </c>
      <c r="I619" s="3">
        <v>16</v>
      </c>
      <c r="J619" s="2">
        <v>7</v>
      </c>
      <c r="K619" s="2">
        <v>8</v>
      </c>
      <c r="L619" s="2">
        <v>0</v>
      </c>
      <c r="M619" s="2">
        <v>1</v>
      </c>
      <c r="N619" s="2">
        <v>25</v>
      </c>
      <c r="O619" s="2">
        <v>11</v>
      </c>
      <c r="P619" s="3">
        <v>3</v>
      </c>
      <c r="Q619" s="2">
        <v>12</v>
      </c>
      <c r="R619" s="2">
        <v>4</v>
      </c>
      <c r="S619" s="2">
        <v>2</v>
      </c>
      <c r="T619" s="2">
        <v>6</v>
      </c>
      <c r="U619" s="2">
        <v>0</v>
      </c>
      <c r="V619" s="2">
        <f t="shared" si="159"/>
        <v>38</v>
      </c>
      <c r="W619" s="2">
        <v>7</v>
      </c>
      <c r="X619" s="2">
        <v>2</v>
      </c>
      <c r="Y619" s="2">
        <v>0</v>
      </c>
      <c r="Z619" s="2">
        <f t="shared" si="160"/>
        <v>9</v>
      </c>
      <c r="AA619" s="2">
        <f t="shared" si="161"/>
        <v>47</v>
      </c>
      <c r="AB619" s="2">
        <v>3574</v>
      </c>
      <c r="AC619" s="20">
        <f t="shared" si="162"/>
        <v>1.31505316172356</v>
      </c>
      <c r="AD619" s="2" t="s">
        <v>49</v>
      </c>
      <c r="AE619" s="2">
        <v>125</v>
      </c>
      <c r="AF619" s="21">
        <f t="shared" si="163"/>
        <v>1.97783995523223</v>
      </c>
      <c r="AG619" s="4">
        <f t="shared" si="164"/>
        <v>1.06323447118075</v>
      </c>
      <c r="AH619" s="4">
        <f t="shared" si="165"/>
        <v>0.251818690542809</v>
      </c>
    </row>
    <row r="620" spans="1:34">
      <c r="A620" s="2">
        <v>20260311</v>
      </c>
      <c r="B620" s="2" t="s">
        <v>1282</v>
      </c>
      <c r="C620" s="2" t="s">
        <v>1283</v>
      </c>
      <c r="D620" s="2">
        <v>1</v>
      </c>
      <c r="E620" s="2">
        <v>9</v>
      </c>
      <c r="F620" s="2">
        <v>20</v>
      </c>
      <c r="G620" s="2">
        <v>5</v>
      </c>
      <c r="H620" s="2">
        <v>5</v>
      </c>
      <c r="I620" s="3">
        <v>8</v>
      </c>
      <c r="J620" s="2">
        <v>12</v>
      </c>
      <c r="K620" s="2">
        <v>5</v>
      </c>
      <c r="L620" s="2">
        <v>0</v>
      </c>
      <c r="M620" s="2">
        <v>3</v>
      </c>
      <c r="N620" s="2">
        <v>52</v>
      </c>
      <c r="O620" s="2">
        <v>8</v>
      </c>
      <c r="P620" s="3">
        <v>4</v>
      </c>
      <c r="Q620" s="2">
        <v>19</v>
      </c>
      <c r="R620" s="2">
        <v>17</v>
      </c>
      <c r="S620" s="2">
        <v>3</v>
      </c>
      <c r="T620" s="2">
        <v>6</v>
      </c>
      <c r="U620" s="2">
        <v>0</v>
      </c>
      <c r="V620" s="2">
        <f t="shared" si="159"/>
        <v>40</v>
      </c>
      <c r="W620" s="2">
        <v>5</v>
      </c>
      <c r="X620" s="2">
        <v>3</v>
      </c>
      <c r="Y620" s="2">
        <v>0</v>
      </c>
      <c r="Z620" s="2">
        <f t="shared" si="160"/>
        <v>8</v>
      </c>
      <c r="AA620" s="2">
        <f t="shared" si="161"/>
        <v>48</v>
      </c>
      <c r="AB620" s="2">
        <v>3604</v>
      </c>
      <c r="AC620" s="20">
        <f t="shared" si="162"/>
        <v>1.33185349611543</v>
      </c>
      <c r="AD620" s="2" t="s">
        <v>49</v>
      </c>
      <c r="AE620" s="2">
        <v>125</v>
      </c>
      <c r="AF620" s="21">
        <f t="shared" si="163"/>
        <v>2.0031076581576</v>
      </c>
      <c r="AG620" s="4">
        <f t="shared" si="164"/>
        <v>1.10987791342952</v>
      </c>
      <c r="AH620" s="4">
        <f t="shared" si="165"/>
        <v>0.221975582685905</v>
      </c>
    </row>
    <row r="621" spans="1:34">
      <c r="A621" s="2">
        <v>20260311</v>
      </c>
      <c r="B621" s="2" t="s">
        <v>1284</v>
      </c>
      <c r="C621" s="2" t="s">
        <v>1285</v>
      </c>
      <c r="D621" s="2">
        <v>12</v>
      </c>
      <c r="E621" s="2">
        <v>12</v>
      </c>
      <c r="F621" s="2">
        <v>29</v>
      </c>
      <c r="G621" s="2">
        <v>6</v>
      </c>
      <c r="H621" s="2">
        <v>16</v>
      </c>
      <c r="I621" s="3">
        <v>16</v>
      </c>
      <c r="J621" s="2">
        <v>10</v>
      </c>
      <c r="K621" s="2">
        <v>22</v>
      </c>
      <c r="L621" s="2">
        <v>3</v>
      </c>
      <c r="M621" s="2">
        <v>1</v>
      </c>
      <c r="N621" s="2">
        <v>48</v>
      </c>
      <c r="O621" s="2">
        <v>67</v>
      </c>
      <c r="P621" s="3">
        <v>4</v>
      </c>
      <c r="Q621" s="2">
        <v>17</v>
      </c>
      <c r="R621" s="2">
        <v>16</v>
      </c>
      <c r="S621" s="2">
        <v>2</v>
      </c>
      <c r="T621" s="2">
        <v>12</v>
      </c>
      <c r="U621" s="2">
        <v>4</v>
      </c>
      <c r="V621" s="2">
        <f t="shared" si="159"/>
        <v>84</v>
      </c>
      <c r="W621" s="2">
        <v>1</v>
      </c>
      <c r="X621" s="2">
        <v>5</v>
      </c>
      <c r="Y621" s="2">
        <v>0</v>
      </c>
      <c r="Z621" s="2">
        <f t="shared" si="160"/>
        <v>10</v>
      </c>
      <c r="AA621" s="2">
        <f t="shared" si="161"/>
        <v>94</v>
      </c>
      <c r="AB621" s="2">
        <v>3504</v>
      </c>
      <c r="AC621" s="20">
        <f t="shared" si="162"/>
        <v>2.68264840182648</v>
      </c>
      <c r="AD621" s="2" t="s">
        <v>49</v>
      </c>
      <c r="AE621" s="2">
        <v>125</v>
      </c>
      <c r="AF621" s="21">
        <f t="shared" si="163"/>
        <v>4.03470319634703</v>
      </c>
      <c r="AG621" s="4">
        <f t="shared" si="164"/>
        <v>2.3972602739726</v>
      </c>
      <c r="AH621" s="4">
        <f t="shared" si="165"/>
        <v>0.285388127853881</v>
      </c>
    </row>
    <row r="622" spans="1:34">
      <c r="A622" s="2">
        <v>20260311</v>
      </c>
      <c r="B622" s="2" t="s">
        <v>1286</v>
      </c>
      <c r="C622" s="2" t="s">
        <v>1287</v>
      </c>
      <c r="D622" s="2">
        <v>7</v>
      </c>
      <c r="E622" s="2">
        <v>0</v>
      </c>
      <c r="F622" s="2">
        <v>17</v>
      </c>
      <c r="G622" s="2">
        <v>7</v>
      </c>
      <c r="H622" s="2">
        <v>4</v>
      </c>
      <c r="I622" s="3">
        <v>12</v>
      </c>
      <c r="J622" s="2">
        <v>8</v>
      </c>
      <c r="K622" s="2">
        <v>18</v>
      </c>
      <c r="L622" s="2">
        <v>0</v>
      </c>
      <c r="M622" s="2">
        <v>4</v>
      </c>
      <c r="N622" s="2">
        <v>83</v>
      </c>
      <c r="O622" s="2">
        <v>6</v>
      </c>
      <c r="P622" s="3">
        <v>4</v>
      </c>
      <c r="Q622" s="2">
        <v>23</v>
      </c>
      <c r="R622" s="2">
        <v>11</v>
      </c>
      <c r="S622" s="2">
        <v>1</v>
      </c>
      <c r="T622" s="2">
        <v>1</v>
      </c>
      <c r="U622" s="2">
        <v>1</v>
      </c>
      <c r="V622" s="2">
        <f t="shared" si="159"/>
        <v>51</v>
      </c>
      <c r="W622" s="2">
        <v>2</v>
      </c>
      <c r="X622" s="2">
        <v>5</v>
      </c>
      <c r="Y622" s="2">
        <v>0</v>
      </c>
      <c r="Z622" s="2">
        <f t="shared" si="160"/>
        <v>8</v>
      </c>
      <c r="AA622" s="2">
        <f t="shared" si="161"/>
        <v>59</v>
      </c>
      <c r="AB622" s="2">
        <v>3405</v>
      </c>
      <c r="AC622" s="20">
        <f t="shared" si="162"/>
        <v>1.73274596182085</v>
      </c>
      <c r="AD622" s="2" t="s">
        <v>49</v>
      </c>
      <c r="AE622" s="2">
        <v>125</v>
      </c>
      <c r="AF622" s="21">
        <f t="shared" si="163"/>
        <v>2.60604992657856</v>
      </c>
      <c r="AG622" s="4">
        <f t="shared" si="164"/>
        <v>1.49779735682819</v>
      </c>
      <c r="AH622" s="4">
        <f t="shared" si="165"/>
        <v>0.234948604992658</v>
      </c>
    </row>
    <row r="623" spans="1:34">
      <c r="A623" s="2">
        <v>20260311</v>
      </c>
      <c r="B623" s="2" t="s">
        <v>1288</v>
      </c>
      <c r="C623" s="2" t="s">
        <v>1289</v>
      </c>
      <c r="D623" s="2">
        <v>3</v>
      </c>
      <c r="E623" s="2">
        <v>5</v>
      </c>
      <c r="F623" s="2">
        <v>19</v>
      </c>
      <c r="G623" s="2">
        <v>3</v>
      </c>
      <c r="H623" s="2">
        <v>4</v>
      </c>
      <c r="I623" s="3">
        <v>9</v>
      </c>
      <c r="J623" s="2">
        <v>8</v>
      </c>
      <c r="K623" s="2">
        <v>2</v>
      </c>
      <c r="L623" s="2">
        <v>0</v>
      </c>
      <c r="M623" s="2">
        <v>6</v>
      </c>
      <c r="N623" s="2">
        <v>51</v>
      </c>
      <c r="O623" s="2">
        <v>11</v>
      </c>
      <c r="P623" s="3">
        <v>5</v>
      </c>
      <c r="Q623" s="2">
        <v>25</v>
      </c>
      <c r="R623" s="2">
        <v>4</v>
      </c>
      <c r="S623" s="2">
        <v>6</v>
      </c>
      <c r="T623" s="2">
        <v>5</v>
      </c>
      <c r="U623" s="2">
        <v>0</v>
      </c>
      <c r="V623" s="2">
        <f t="shared" si="159"/>
        <v>34</v>
      </c>
      <c r="W623" s="2">
        <v>5</v>
      </c>
      <c r="X623" s="2">
        <v>3</v>
      </c>
      <c r="Y623" s="2">
        <v>0</v>
      </c>
      <c r="Z623" s="2">
        <f t="shared" si="160"/>
        <v>8</v>
      </c>
      <c r="AA623" s="2">
        <f t="shared" si="161"/>
        <v>42</v>
      </c>
      <c r="AB623" s="2">
        <v>3603</v>
      </c>
      <c r="AC623" s="20">
        <f t="shared" si="162"/>
        <v>1.16569525395504</v>
      </c>
      <c r="AD623" s="2" t="s">
        <v>49</v>
      </c>
      <c r="AE623" s="2">
        <v>125</v>
      </c>
      <c r="AF623" s="21">
        <f t="shared" si="163"/>
        <v>1.75320566194838</v>
      </c>
      <c r="AG623" s="4">
        <f t="shared" si="164"/>
        <v>0.943658062725507</v>
      </c>
      <c r="AH623" s="4">
        <f t="shared" si="165"/>
        <v>0.222037191229531</v>
      </c>
    </row>
    <row r="624" spans="1:34">
      <c r="A624" s="2">
        <v>20260311</v>
      </c>
      <c r="B624" s="2" t="s">
        <v>1290</v>
      </c>
      <c r="C624" s="2" t="s">
        <v>1291</v>
      </c>
      <c r="D624" s="2">
        <v>2</v>
      </c>
      <c r="E624" s="2">
        <v>1</v>
      </c>
      <c r="F624" s="2">
        <v>5</v>
      </c>
      <c r="G624" s="2">
        <v>5</v>
      </c>
      <c r="H624" s="2">
        <v>3</v>
      </c>
      <c r="I624" s="3">
        <v>10</v>
      </c>
      <c r="J624" s="2">
        <v>9</v>
      </c>
      <c r="K624" s="2">
        <v>2</v>
      </c>
      <c r="L624" s="2">
        <v>0</v>
      </c>
      <c r="M624" s="2">
        <v>3</v>
      </c>
      <c r="N624" s="2">
        <v>26</v>
      </c>
      <c r="O624" s="2">
        <v>13</v>
      </c>
      <c r="P624" s="3">
        <v>0</v>
      </c>
      <c r="Q624" s="2">
        <v>10</v>
      </c>
      <c r="R624" s="2">
        <v>33</v>
      </c>
      <c r="S624" s="2">
        <v>0</v>
      </c>
      <c r="T624" s="2">
        <v>7</v>
      </c>
      <c r="U624" s="2">
        <v>0</v>
      </c>
      <c r="V624" s="2">
        <f t="shared" si="159"/>
        <v>33</v>
      </c>
      <c r="W624" s="2">
        <v>3</v>
      </c>
      <c r="X624" s="2">
        <v>3</v>
      </c>
      <c r="Y624" s="2">
        <v>0</v>
      </c>
      <c r="Z624" s="2">
        <f t="shared" si="160"/>
        <v>6</v>
      </c>
      <c r="AA624" s="2">
        <f t="shared" si="161"/>
        <v>39</v>
      </c>
      <c r="AB624" s="2">
        <v>3206</v>
      </c>
      <c r="AC624" s="20">
        <f t="shared" si="162"/>
        <v>1.21646912039925</v>
      </c>
      <c r="AD624" s="2" t="s">
        <v>49</v>
      </c>
      <c r="AE624" s="2">
        <v>125</v>
      </c>
      <c r="AF624" s="21">
        <f t="shared" si="163"/>
        <v>1.82956955708047</v>
      </c>
      <c r="AG624" s="4">
        <f t="shared" si="164"/>
        <v>1.02932002495321</v>
      </c>
      <c r="AH624" s="4">
        <f t="shared" si="165"/>
        <v>0.187149095446039</v>
      </c>
    </row>
    <row r="625" spans="1:34">
      <c r="A625" s="2">
        <v>20260311</v>
      </c>
      <c r="B625" s="2" t="s">
        <v>1292</v>
      </c>
      <c r="C625" s="2" t="s">
        <v>1293</v>
      </c>
      <c r="D625" s="2">
        <v>6</v>
      </c>
      <c r="E625" s="2">
        <v>239</v>
      </c>
      <c r="F625" s="2">
        <v>40</v>
      </c>
      <c r="G625" s="2">
        <v>30</v>
      </c>
      <c r="H625" s="2">
        <v>13</v>
      </c>
      <c r="I625" s="3">
        <v>37</v>
      </c>
      <c r="J625" s="2">
        <v>34</v>
      </c>
      <c r="K625" s="2">
        <v>41</v>
      </c>
      <c r="L625" s="2">
        <v>8</v>
      </c>
      <c r="M625" s="2">
        <v>10</v>
      </c>
      <c r="N625" s="2">
        <v>162</v>
      </c>
      <c r="O625" s="2">
        <v>28</v>
      </c>
      <c r="P625" s="3">
        <v>13</v>
      </c>
      <c r="Q625" s="2">
        <v>61</v>
      </c>
      <c r="R625" s="2">
        <v>210</v>
      </c>
      <c r="S625" s="2">
        <v>12</v>
      </c>
      <c r="T625" s="2">
        <v>3</v>
      </c>
      <c r="U625" s="2">
        <v>2</v>
      </c>
      <c r="V625" s="2">
        <f t="shared" si="159"/>
        <v>182</v>
      </c>
      <c r="W625" s="2">
        <v>3</v>
      </c>
      <c r="X625" s="2">
        <v>4</v>
      </c>
      <c r="Y625" s="2">
        <v>0</v>
      </c>
      <c r="Z625" s="2">
        <f t="shared" si="160"/>
        <v>9</v>
      </c>
      <c r="AA625" s="2">
        <f t="shared" si="161"/>
        <v>191</v>
      </c>
      <c r="AB625" s="2">
        <v>3505</v>
      </c>
      <c r="AC625" s="20">
        <f t="shared" si="162"/>
        <v>5.44935805991441</v>
      </c>
      <c r="AD625" s="2" t="s">
        <v>58</v>
      </c>
      <c r="AE625" s="2">
        <v>125</v>
      </c>
      <c r="AF625" s="21">
        <f t="shared" si="163"/>
        <v>8.19583452211127</v>
      </c>
      <c r="AG625" s="4">
        <f t="shared" si="164"/>
        <v>5.1925820256776</v>
      </c>
      <c r="AH625" s="4">
        <f t="shared" si="165"/>
        <v>0.256776034236805</v>
      </c>
    </row>
    <row r="626" spans="1:34">
      <c r="A626" s="2">
        <v>20260311</v>
      </c>
      <c r="B626" s="2" t="s">
        <v>1294</v>
      </c>
      <c r="C626" s="2" t="s">
        <v>1295</v>
      </c>
      <c r="D626" s="2">
        <v>6</v>
      </c>
      <c r="E626" s="2">
        <v>5</v>
      </c>
      <c r="F626" s="2">
        <v>10</v>
      </c>
      <c r="G626" s="2">
        <v>8</v>
      </c>
      <c r="H626" s="2">
        <v>4</v>
      </c>
      <c r="I626" s="3">
        <v>17</v>
      </c>
      <c r="J626" s="2">
        <v>16</v>
      </c>
      <c r="K626" s="2">
        <v>36</v>
      </c>
      <c r="L626" s="2">
        <v>1</v>
      </c>
      <c r="M626" s="2">
        <v>7</v>
      </c>
      <c r="N626" s="2">
        <v>76</v>
      </c>
      <c r="O626" s="2">
        <v>7</v>
      </c>
      <c r="P626" s="3">
        <v>3</v>
      </c>
      <c r="Q626" s="2">
        <v>22</v>
      </c>
      <c r="R626" s="2">
        <v>123</v>
      </c>
      <c r="S626" s="2">
        <v>3</v>
      </c>
      <c r="T626" s="2">
        <v>3</v>
      </c>
      <c r="U626" s="2">
        <v>0</v>
      </c>
      <c r="V626" s="2">
        <f t="shared" si="159"/>
        <v>68</v>
      </c>
      <c r="W626" s="2">
        <v>20</v>
      </c>
      <c r="X626" s="2">
        <v>7</v>
      </c>
      <c r="Y626" s="2">
        <v>0</v>
      </c>
      <c r="Z626" s="2">
        <f t="shared" si="160"/>
        <v>27</v>
      </c>
      <c r="AA626" s="2">
        <f t="shared" si="161"/>
        <v>95</v>
      </c>
      <c r="AB626" s="2">
        <v>5164</v>
      </c>
      <c r="AC626" s="20">
        <f t="shared" si="162"/>
        <v>1.83965917893106</v>
      </c>
      <c r="AD626" s="2" t="s">
        <v>58</v>
      </c>
      <c r="AE626" s="2">
        <v>125</v>
      </c>
      <c r="AF626" s="21">
        <f t="shared" si="163"/>
        <v>2.76684740511232</v>
      </c>
      <c r="AG626" s="4">
        <f t="shared" si="164"/>
        <v>1.31680867544539</v>
      </c>
      <c r="AH626" s="4">
        <f t="shared" si="165"/>
        <v>0.52285050348567</v>
      </c>
    </row>
    <row r="627" spans="1:34">
      <c r="A627" s="2">
        <v>20260311</v>
      </c>
      <c r="B627" s="2" t="s">
        <v>1296</v>
      </c>
      <c r="C627" s="2" t="s">
        <v>1297</v>
      </c>
      <c r="D627" s="2">
        <v>0</v>
      </c>
      <c r="E627" s="2">
        <v>7</v>
      </c>
      <c r="F627" s="2">
        <v>2</v>
      </c>
      <c r="G627" s="2">
        <v>4</v>
      </c>
      <c r="H627" s="2">
        <v>1</v>
      </c>
      <c r="I627" s="3">
        <v>11</v>
      </c>
      <c r="J627" s="2">
        <v>7</v>
      </c>
      <c r="K627" s="2">
        <v>5</v>
      </c>
      <c r="L627" s="2">
        <v>0</v>
      </c>
      <c r="M627" s="2">
        <v>2</v>
      </c>
      <c r="N627" s="2">
        <v>17</v>
      </c>
      <c r="O627" s="2">
        <v>8</v>
      </c>
      <c r="P627" s="3">
        <v>4</v>
      </c>
      <c r="Q627" s="2">
        <v>16</v>
      </c>
      <c r="R627" s="2">
        <v>59</v>
      </c>
      <c r="S627" s="2">
        <v>2</v>
      </c>
      <c r="T627" s="2">
        <v>1</v>
      </c>
      <c r="U627" s="2">
        <v>0</v>
      </c>
      <c r="V627" s="2">
        <f t="shared" si="159"/>
        <v>24</v>
      </c>
      <c r="W627" s="2">
        <v>7</v>
      </c>
      <c r="X627" s="2">
        <v>4</v>
      </c>
      <c r="Y627" s="2">
        <v>0</v>
      </c>
      <c r="Z627" s="2">
        <f t="shared" si="160"/>
        <v>11</v>
      </c>
      <c r="AA627" s="2">
        <f t="shared" si="161"/>
        <v>35</v>
      </c>
      <c r="AB627" s="2">
        <v>2639</v>
      </c>
      <c r="AC627" s="20">
        <f t="shared" si="162"/>
        <v>1.3262599469496</v>
      </c>
      <c r="AD627" s="2" t="s">
        <v>58</v>
      </c>
      <c r="AE627" s="2">
        <v>125</v>
      </c>
      <c r="AF627" s="21">
        <f t="shared" si="163"/>
        <v>1.9946949602122</v>
      </c>
      <c r="AG627" s="4">
        <f t="shared" si="164"/>
        <v>0.909435392194013</v>
      </c>
      <c r="AH627" s="4">
        <f t="shared" si="165"/>
        <v>0.416824554755589</v>
      </c>
    </row>
    <row r="628" spans="1:34">
      <c r="A628" s="2">
        <v>20260311</v>
      </c>
      <c r="B628" s="2" t="s">
        <v>1298</v>
      </c>
      <c r="C628" s="2" t="s">
        <v>1299</v>
      </c>
      <c r="D628" s="2">
        <v>3</v>
      </c>
      <c r="E628" s="2">
        <v>0</v>
      </c>
      <c r="F628" s="2">
        <v>14</v>
      </c>
      <c r="G628" s="2">
        <v>4</v>
      </c>
      <c r="H628" s="2">
        <v>12</v>
      </c>
      <c r="I628" s="3">
        <v>26</v>
      </c>
      <c r="J628" s="2">
        <v>46</v>
      </c>
      <c r="K628" s="2">
        <v>6</v>
      </c>
      <c r="L628" s="2">
        <v>2</v>
      </c>
      <c r="M628" s="2">
        <v>9</v>
      </c>
      <c r="N628" s="2">
        <v>32</v>
      </c>
      <c r="O628" s="2">
        <v>6</v>
      </c>
      <c r="P628" s="3">
        <v>2</v>
      </c>
      <c r="Q628" s="2">
        <v>20</v>
      </c>
      <c r="R628" s="2">
        <v>114</v>
      </c>
      <c r="S628" s="2">
        <v>10</v>
      </c>
      <c r="T628" s="2">
        <v>2</v>
      </c>
      <c r="U628" s="2">
        <v>6</v>
      </c>
      <c r="V628" s="2">
        <f t="shared" si="159"/>
        <v>97</v>
      </c>
      <c r="W628" s="2">
        <v>2</v>
      </c>
      <c r="X628" s="2">
        <v>10</v>
      </c>
      <c r="Y628" s="2">
        <v>0</v>
      </c>
      <c r="Z628" s="2">
        <f t="shared" si="160"/>
        <v>18</v>
      </c>
      <c r="AA628" s="2">
        <f t="shared" si="161"/>
        <v>115</v>
      </c>
      <c r="AB628" s="2">
        <v>2956</v>
      </c>
      <c r="AC628" s="20">
        <f t="shared" si="162"/>
        <v>3.89039242219215</v>
      </c>
      <c r="AD628" s="2" t="s">
        <v>58</v>
      </c>
      <c r="AE628" s="2">
        <v>125</v>
      </c>
      <c r="AF628" s="21">
        <f t="shared" si="163"/>
        <v>5.851150202977</v>
      </c>
      <c r="AG628" s="4">
        <f t="shared" si="164"/>
        <v>3.28146143437077</v>
      </c>
      <c r="AH628" s="4">
        <f t="shared" si="165"/>
        <v>0.60893098782138</v>
      </c>
    </row>
    <row r="629" spans="1:34">
      <c r="A629" s="2">
        <v>20260311</v>
      </c>
      <c r="B629" s="2" t="s">
        <v>1300</v>
      </c>
      <c r="C629" s="2" t="s">
        <v>1301</v>
      </c>
      <c r="D629" s="2">
        <v>1</v>
      </c>
      <c r="E629" s="2">
        <v>5</v>
      </c>
      <c r="F629" s="2">
        <v>3</v>
      </c>
      <c r="G629" s="2">
        <v>0</v>
      </c>
      <c r="H629" s="2">
        <v>1</v>
      </c>
      <c r="I629" s="3">
        <v>6</v>
      </c>
      <c r="J629" s="2">
        <v>9</v>
      </c>
      <c r="K629" s="2">
        <v>2</v>
      </c>
      <c r="L629" s="2">
        <v>0</v>
      </c>
      <c r="M629" s="2">
        <v>1</v>
      </c>
      <c r="N629" s="2">
        <v>9</v>
      </c>
      <c r="O629" s="2">
        <v>7</v>
      </c>
      <c r="P629" s="3">
        <v>3</v>
      </c>
      <c r="Q629" s="2">
        <v>6</v>
      </c>
      <c r="R629" s="2">
        <v>54</v>
      </c>
      <c r="S629" s="2">
        <v>1</v>
      </c>
      <c r="T629" s="2">
        <v>1</v>
      </c>
      <c r="U629" s="2">
        <v>0</v>
      </c>
      <c r="V629" s="2">
        <f t="shared" si="159"/>
        <v>13</v>
      </c>
      <c r="W629" s="2">
        <v>7</v>
      </c>
      <c r="X629" s="2">
        <v>3</v>
      </c>
      <c r="Y629" s="2">
        <v>0</v>
      </c>
      <c r="Z629" s="2">
        <f t="shared" si="160"/>
        <v>10</v>
      </c>
      <c r="AA629" s="2">
        <f t="shared" si="161"/>
        <v>23</v>
      </c>
      <c r="AB629" s="2">
        <v>2706</v>
      </c>
      <c r="AC629" s="20">
        <f t="shared" si="162"/>
        <v>0.849963045084996</v>
      </c>
      <c r="AD629" s="2" t="s">
        <v>58</v>
      </c>
      <c r="AE629" s="2">
        <v>125</v>
      </c>
      <c r="AF629" s="21">
        <f t="shared" si="163"/>
        <v>1.27834441980783</v>
      </c>
      <c r="AG629" s="4">
        <f t="shared" si="164"/>
        <v>0.480413895048041</v>
      </c>
      <c r="AH629" s="4">
        <f t="shared" si="165"/>
        <v>0.369549150036955</v>
      </c>
    </row>
    <row r="630" spans="1:34">
      <c r="A630" s="2">
        <v>20260311</v>
      </c>
      <c r="B630" s="2" t="s">
        <v>1302</v>
      </c>
      <c r="C630" s="2" t="s">
        <v>1303</v>
      </c>
      <c r="D630" s="2">
        <v>0</v>
      </c>
      <c r="E630" s="2">
        <v>1</v>
      </c>
      <c r="F630" s="2">
        <v>5</v>
      </c>
      <c r="G630" s="2">
        <v>3</v>
      </c>
      <c r="H630" s="2">
        <v>2</v>
      </c>
      <c r="I630" s="3">
        <v>9</v>
      </c>
      <c r="J630" s="2">
        <v>5</v>
      </c>
      <c r="K630" s="2">
        <v>2</v>
      </c>
      <c r="L630" s="2">
        <v>3</v>
      </c>
      <c r="M630" s="2">
        <v>3</v>
      </c>
      <c r="N630" s="2">
        <v>11</v>
      </c>
      <c r="O630" s="2">
        <v>5</v>
      </c>
      <c r="P630" s="3">
        <v>4</v>
      </c>
      <c r="Q630" s="2">
        <v>4</v>
      </c>
      <c r="R630" s="2">
        <v>210</v>
      </c>
      <c r="S630" s="2">
        <v>0</v>
      </c>
      <c r="T630" s="2">
        <v>6</v>
      </c>
      <c r="U630" s="2">
        <v>0</v>
      </c>
      <c r="V630" s="2">
        <f t="shared" si="159"/>
        <v>28</v>
      </c>
      <c r="W630" s="2">
        <v>3</v>
      </c>
      <c r="X630" s="2">
        <v>6</v>
      </c>
      <c r="Y630" s="2">
        <v>0</v>
      </c>
      <c r="Z630" s="2">
        <f t="shared" si="160"/>
        <v>9</v>
      </c>
      <c r="AA630" s="2">
        <f t="shared" si="161"/>
        <v>37</v>
      </c>
      <c r="AB630" s="2">
        <v>2157</v>
      </c>
      <c r="AC630" s="20">
        <f t="shared" si="162"/>
        <v>1.71534538711173</v>
      </c>
      <c r="AD630" s="2" t="s">
        <v>41</v>
      </c>
      <c r="AE630" s="2">
        <v>125</v>
      </c>
      <c r="AF630" s="21">
        <f t="shared" si="163"/>
        <v>2.57987946221604</v>
      </c>
      <c r="AG630" s="4">
        <f t="shared" si="164"/>
        <v>1.29809921186834</v>
      </c>
      <c r="AH630" s="4">
        <f t="shared" si="165"/>
        <v>0.417246175243394</v>
      </c>
    </row>
    <row r="631" spans="1:34">
      <c r="A631" s="2">
        <v>20260311</v>
      </c>
      <c r="B631" s="2" t="s">
        <v>1304</v>
      </c>
      <c r="C631" s="2" t="s">
        <v>1305</v>
      </c>
      <c r="D631" s="2">
        <v>5</v>
      </c>
      <c r="E631" s="2">
        <v>8</v>
      </c>
      <c r="F631" s="2">
        <v>22</v>
      </c>
      <c r="G631" s="2">
        <v>9</v>
      </c>
      <c r="H631" s="2">
        <v>9</v>
      </c>
      <c r="I631" s="3">
        <v>15</v>
      </c>
      <c r="J631" s="2">
        <v>9</v>
      </c>
      <c r="K631" s="2">
        <v>46</v>
      </c>
      <c r="L631" s="2">
        <v>20</v>
      </c>
      <c r="M631" s="2">
        <v>116</v>
      </c>
      <c r="N631" s="2">
        <v>11</v>
      </c>
      <c r="O631" s="2">
        <v>8</v>
      </c>
      <c r="P631" s="3">
        <v>29</v>
      </c>
      <c r="Q631" s="2">
        <v>4</v>
      </c>
      <c r="R631" s="2">
        <v>444</v>
      </c>
      <c r="S631" s="2">
        <v>4</v>
      </c>
      <c r="T631" s="2">
        <v>9</v>
      </c>
      <c r="U631" s="2">
        <v>2</v>
      </c>
      <c r="V631" s="2">
        <f t="shared" si="159"/>
        <v>237</v>
      </c>
      <c r="W631" s="2">
        <v>21</v>
      </c>
      <c r="X631" s="2">
        <v>4</v>
      </c>
      <c r="Y631" s="2">
        <v>0</v>
      </c>
      <c r="Z631" s="2">
        <f t="shared" si="160"/>
        <v>27</v>
      </c>
      <c r="AA631" s="2">
        <f t="shared" si="161"/>
        <v>264</v>
      </c>
      <c r="AB631" s="2">
        <v>4563</v>
      </c>
      <c r="AC631" s="20">
        <f t="shared" si="162"/>
        <v>5.78566732412886</v>
      </c>
      <c r="AD631" s="2" t="s">
        <v>41</v>
      </c>
      <c r="AE631" s="2">
        <v>125</v>
      </c>
      <c r="AF631" s="21">
        <f t="shared" si="163"/>
        <v>8.70164365548981</v>
      </c>
      <c r="AG631" s="4">
        <f t="shared" si="164"/>
        <v>5.1939513477975</v>
      </c>
      <c r="AH631" s="4">
        <f t="shared" si="165"/>
        <v>0.591715976331361</v>
      </c>
    </row>
    <row r="632" spans="1:34">
      <c r="A632" s="2">
        <v>20260311</v>
      </c>
      <c r="B632" s="2" t="s">
        <v>1306</v>
      </c>
      <c r="C632" s="2" t="s">
        <v>1307</v>
      </c>
      <c r="D632" s="2">
        <v>2</v>
      </c>
      <c r="E632" s="2">
        <v>5</v>
      </c>
      <c r="F632" s="2">
        <v>11</v>
      </c>
      <c r="G632" s="2">
        <v>2</v>
      </c>
      <c r="H632" s="2">
        <v>3</v>
      </c>
      <c r="I632" s="3">
        <v>9</v>
      </c>
      <c r="J632" s="2">
        <v>8</v>
      </c>
      <c r="K632" s="2">
        <v>9</v>
      </c>
      <c r="L632" s="2">
        <v>1</v>
      </c>
      <c r="M632" s="2">
        <v>4</v>
      </c>
      <c r="N632" s="2">
        <v>26</v>
      </c>
      <c r="O632" s="2">
        <v>8</v>
      </c>
      <c r="P632" s="3">
        <v>2</v>
      </c>
      <c r="Q632" s="2">
        <v>18</v>
      </c>
      <c r="R632" s="2">
        <v>186</v>
      </c>
      <c r="S632" s="2">
        <v>3</v>
      </c>
      <c r="T632" s="2">
        <v>0</v>
      </c>
      <c r="U632" s="2">
        <v>0</v>
      </c>
      <c r="V632" s="2">
        <f t="shared" si="159"/>
        <v>25</v>
      </c>
      <c r="W632" s="2">
        <v>10</v>
      </c>
      <c r="X632" s="2">
        <v>3</v>
      </c>
      <c r="Y632" s="2">
        <v>0</v>
      </c>
      <c r="Z632" s="2">
        <f t="shared" si="160"/>
        <v>13</v>
      </c>
      <c r="AA632" s="2">
        <f t="shared" si="161"/>
        <v>38</v>
      </c>
      <c r="AB632" s="2">
        <v>2556</v>
      </c>
      <c r="AC632" s="20">
        <f t="shared" si="162"/>
        <v>1.4866979655712</v>
      </c>
      <c r="AD632" s="2" t="s">
        <v>41</v>
      </c>
      <c r="AE632" s="2">
        <v>125</v>
      </c>
      <c r="AF632" s="21">
        <f t="shared" si="163"/>
        <v>2.23599374021909</v>
      </c>
      <c r="AG632" s="4">
        <f t="shared" si="164"/>
        <v>0.978090766823161</v>
      </c>
      <c r="AH632" s="4">
        <f t="shared" si="165"/>
        <v>0.508607198748044</v>
      </c>
    </row>
    <row r="633" spans="1:34">
      <c r="A633" s="2">
        <v>20260311</v>
      </c>
      <c r="B633" s="2" t="s">
        <v>1308</v>
      </c>
      <c r="C633" s="2" t="s">
        <v>1309</v>
      </c>
      <c r="D633" s="2">
        <v>1</v>
      </c>
      <c r="E633" s="2">
        <v>7</v>
      </c>
      <c r="F633" s="2">
        <v>12</v>
      </c>
      <c r="G633" s="2">
        <v>3</v>
      </c>
      <c r="H633" s="2">
        <v>5</v>
      </c>
      <c r="I633" s="3">
        <v>18</v>
      </c>
      <c r="J633" s="2">
        <v>20</v>
      </c>
      <c r="K633" s="2">
        <v>1</v>
      </c>
      <c r="L633" s="2">
        <v>1</v>
      </c>
      <c r="M633" s="2">
        <v>5</v>
      </c>
      <c r="N633" s="2">
        <v>58</v>
      </c>
      <c r="O633" s="2">
        <v>18</v>
      </c>
      <c r="P633" s="3">
        <v>4</v>
      </c>
      <c r="Q633" s="2">
        <v>24</v>
      </c>
      <c r="R633" s="2">
        <v>659</v>
      </c>
      <c r="S633" s="2">
        <v>0</v>
      </c>
      <c r="T633" s="2">
        <v>3</v>
      </c>
      <c r="U633" s="2">
        <v>0</v>
      </c>
      <c r="V633" s="2">
        <f t="shared" si="159"/>
        <v>58</v>
      </c>
      <c r="W633" s="2">
        <v>2</v>
      </c>
      <c r="X633" s="2">
        <v>0</v>
      </c>
      <c r="Y633" s="2">
        <v>0</v>
      </c>
      <c r="Z633" s="2">
        <f t="shared" si="160"/>
        <v>2</v>
      </c>
      <c r="AA633" s="2">
        <f t="shared" si="161"/>
        <v>60</v>
      </c>
      <c r="AB633" s="2">
        <v>4262</v>
      </c>
      <c r="AC633" s="20">
        <f t="shared" si="162"/>
        <v>1.407789770061</v>
      </c>
      <c r="AD633" s="2" t="s">
        <v>41</v>
      </c>
      <c r="AE633" s="2">
        <v>125</v>
      </c>
      <c r="AF633" s="21">
        <f t="shared" si="163"/>
        <v>2.11731581417175</v>
      </c>
      <c r="AG633" s="4">
        <f t="shared" si="164"/>
        <v>1.3608634443923</v>
      </c>
      <c r="AH633" s="4">
        <f t="shared" si="165"/>
        <v>0.0469263256687001</v>
      </c>
    </row>
    <row r="634" spans="1:34">
      <c r="A634" s="2">
        <v>20260311</v>
      </c>
      <c r="B634" s="2" t="s">
        <v>1310</v>
      </c>
      <c r="C634" s="2" t="s">
        <v>1311</v>
      </c>
      <c r="D634" s="2">
        <v>4</v>
      </c>
      <c r="E634" s="2">
        <v>3</v>
      </c>
      <c r="F634" s="2">
        <v>9</v>
      </c>
      <c r="G634" s="2">
        <v>5</v>
      </c>
      <c r="H634" s="2">
        <v>3</v>
      </c>
      <c r="I634" s="3">
        <v>10</v>
      </c>
      <c r="J634" s="2">
        <v>11</v>
      </c>
      <c r="K634" s="2">
        <v>6</v>
      </c>
      <c r="L634" s="2">
        <v>0</v>
      </c>
      <c r="M634" s="2">
        <v>1</v>
      </c>
      <c r="N634" s="2">
        <v>46</v>
      </c>
      <c r="O634" s="2">
        <v>8</v>
      </c>
      <c r="P634" s="3">
        <v>3</v>
      </c>
      <c r="Q634" s="2">
        <v>25</v>
      </c>
      <c r="R634" s="2">
        <v>618</v>
      </c>
      <c r="S634" s="2">
        <v>5</v>
      </c>
      <c r="T634" s="2">
        <v>9</v>
      </c>
      <c r="U634" s="2">
        <v>1</v>
      </c>
      <c r="V634" s="2">
        <f t="shared" si="159"/>
        <v>47</v>
      </c>
      <c r="W634" s="2">
        <v>1</v>
      </c>
      <c r="X634" s="2">
        <v>0</v>
      </c>
      <c r="Y634" s="2">
        <v>0</v>
      </c>
      <c r="Z634" s="2">
        <f t="shared" si="160"/>
        <v>2</v>
      </c>
      <c r="AA634" s="2">
        <f t="shared" si="161"/>
        <v>49</v>
      </c>
      <c r="AB634" s="2">
        <v>4263</v>
      </c>
      <c r="AC634" s="20">
        <f t="shared" si="162"/>
        <v>1.14942528735632</v>
      </c>
      <c r="AD634" s="2" t="s">
        <v>41</v>
      </c>
      <c r="AE634" s="2">
        <v>125</v>
      </c>
      <c r="AF634" s="21">
        <f t="shared" si="163"/>
        <v>1.72873563218391</v>
      </c>
      <c r="AG634" s="4">
        <f t="shared" si="164"/>
        <v>1.10250996950504</v>
      </c>
      <c r="AH634" s="4">
        <f t="shared" si="165"/>
        <v>0.0469153178512784</v>
      </c>
    </row>
    <row r="635" spans="1:34">
      <c r="A635" s="2">
        <v>20260311</v>
      </c>
      <c r="B635" s="2" t="s">
        <v>1312</v>
      </c>
      <c r="C635" s="2" t="s">
        <v>1313</v>
      </c>
      <c r="D635" s="2">
        <v>6</v>
      </c>
      <c r="E635" s="2">
        <v>0</v>
      </c>
      <c r="F635" s="2">
        <v>8</v>
      </c>
      <c r="G635" s="2">
        <v>6</v>
      </c>
      <c r="H635" s="2">
        <v>14</v>
      </c>
      <c r="I635" s="3">
        <v>11</v>
      </c>
      <c r="J635" s="2">
        <v>17</v>
      </c>
      <c r="K635" s="2">
        <v>2</v>
      </c>
      <c r="L635" s="2">
        <v>0</v>
      </c>
      <c r="M635" s="2">
        <v>9</v>
      </c>
      <c r="N635" s="2">
        <v>95</v>
      </c>
      <c r="O635" s="2">
        <v>7</v>
      </c>
      <c r="P635" s="3">
        <v>4</v>
      </c>
      <c r="Q635" s="2">
        <v>15</v>
      </c>
      <c r="R635" s="2">
        <v>346</v>
      </c>
      <c r="S635" s="2">
        <v>2</v>
      </c>
      <c r="T635" s="2">
        <v>6</v>
      </c>
      <c r="U635" s="2">
        <v>1</v>
      </c>
      <c r="V635" s="2">
        <f t="shared" si="159"/>
        <v>67</v>
      </c>
      <c r="W635" s="2">
        <v>2</v>
      </c>
      <c r="X635" s="2">
        <v>0</v>
      </c>
      <c r="Y635" s="2">
        <v>0</v>
      </c>
      <c r="Z635" s="2">
        <f t="shared" si="160"/>
        <v>3</v>
      </c>
      <c r="AA635" s="2">
        <f t="shared" si="161"/>
        <v>70</v>
      </c>
      <c r="AB635" s="2">
        <v>4248</v>
      </c>
      <c r="AC635" s="20">
        <f t="shared" si="162"/>
        <v>1.64783427495292</v>
      </c>
      <c r="AD635" s="2" t="s">
        <v>41</v>
      </c>
      <c r="AE635" s="2">
        <v>125</v>
      </c>
      <c r="AF635" s="21">
        <f t="shared" si="163"/>
        <v>2.47834274952919</v>
      </c>
      <c r="AG635" s="4">
        <f t="shared" si="164"/>
        <v>1.57721280602637</v>
      </c>
      <c r="AH635" s="4">
        <f t="shared" si="165"/>
        <v>0.0706214689265537</v>
      </c>
    </row>
    <row r="636" spans="1:34">
      <c r="A636" s="2">
        <v>20260312</v>
      </c>
      <c r="B636" s="2" t="s">
        <v>1314</v>
      </c>
      <c r="C636" s="2" t="s">
        <v>1315</v>
      </c>
      <c r="D636" s="2">
        <v>13</v>
      </c>
      <c r="E636" s="2">
        <v>2</v>
      </c>
      <c r="F636" s="2">
        <v>20</v>
      </c>
      <c r="G636" s="2">
        <v>9</v>
      </c>
      <c r="H636" s="2">
        <v>7</v>
      </c>
      <c r="I636" s="3">
        <v>15</v>
      </c>
      <c r="J636" s="2">
        <v>19</v>
      </c>
      <c r="K636" s="2">
        <v>33</v>
      </c>
      <c r="L636" s="2">
        <v>0</v>
      </c>
      <c r="M636" s="2">
        <v>3</v>
      </c>
      <c r="N636" s="2">
        <v>201</v>
      </c>
      <c r="O636" s="2">
        <v>21</v>
      </c>
      <c r="P636" s="3">
        <v>6</v>
      </c>
      <c r="Q636" s="2">
        <v>55</v>
      </c>
      <c r="R636" s="2">
        <v>414</v>
      </c>
      <c r="S636" s="2">
        <v>2</v>
      </c>
      <c r="T636" s="2">
        <v>4</v>
      </c>
      <c r="U636" s="2">
        <v>1</v>
      </c>
      <c r="V636" s="2">
        <f t="shared" si="159"/>
        <v>96</v>
      </c>
      <c r="W636" s="2">
        <v>0</v>
      </c>
      <c r="X636" s="2">
        <v>0</v>
      </c>
      <c r="Y636" s="2">
        <v>0</v>
      </c>
      <c r="Z636" s="2">
        <f t="shared" si="160"/>
        <v>1</v>
      </c>
      <c r="AA636" s="2">
        <f t="shared" si="161"/>
        <v>97</v>
      </c>
      <c r="AB636" s="2">
        <v>4648</v>
      </c>
      <c r="AC636" s="20">
        <f t="shared" si="162"/>
        <v>2.08691910499139</v>
      </c>
      <c r="AD636" s="2" t="s">
        <v>41</v>
      </c>
      <c r="AE636" s="2">
        <v>125</v>
      </c>
      <c r="AF636" s="21">
        <f t="shared" si="163"/>
        <v>3.13872633390706</v>
      </c>
      <c r="AG636" s="4">
        <f t="shared" si="164"/>
        <v>2.06540447504303</v>
      </c>
      <c r="AH636" s="4">
        <f t="shared" si="165"/>
        <v>0.0215146299483649</v>
      </c>
    </row>
    <row r="637" spans="1:34">
      <c r="A637" s="2">
        <v>20260312</v>
      </c>
      <c r="B637" s="2" t="s">
        <v>1316</v>
      </c>
      <c r="C637" s="2" t="s">
        <v>1317</v>
      </c>
      <c r="D637" s="2">
        <v>0</v>
      </c>
      <c r="E637" s="2">
        <v>5</v>
      </c>
      <c r="F637" s="2">
        <v>4</v>
      </c>
      <c r="G637" s="2">
        <v>6</v>
      </c>
      <c r="H637" s="2">
        <v>9</v>
      </c>
      <c r="I637" s="3">
        <v>8</v>
      </c>
      <c r="J637" s="2">
        <v>13</v>
      </c>
      <c r="K637" s="2">
        <v>2</v>
      </c>
      <c r="L637" s="2">
        <v>1</v>
      </c>
      <c r="M637" s="2">
        <v>9</v>
      </c>
      <c r="N637" s="2">
        <v>28</v>
      </c>
      <c r="O637" s="2">
        <v>7</v>
      </c>
      <c r="P637" s="3">
        <v>2</v>
      </c>
      <c r="Q637" s="2">
        <v>11</v>
      </c>
      <c r="R637" s="2">
        <v>160</v>
      </c>
      <c r="S637" s="2">
        <v>4</v>
      </c>
      <c r="T637" s="2">
        <v>4</v>
      </c>
      <c r="U637" s="2">
        <v>1</v>
      </c>
      <c r="V637" s="2">
        <f t="shared" si="159"/>
        <v>46</v>
      </c>
      <c r="W637" s="2">
        <v>8</v>
      </c>
      <c r="X637" s="2">
        <v>0</v>
      </c>
      <c r="Y637" s="2">
        <v>0</v>
      </c>
      <c r="Z637" s="2">
        <f t="shared" si="160"/>
        <v>9</v>
      </c>
      <c r="AA637" s="2">
        <f t="shared" si="161"/>
        <v>55</v>
      </c>
      <c r="AB637" s="2">
        <v>2595</v>
      </c>
      <c r="AC637" s="20">
        <f t="shared" si="162"/>
        <v>2.11946050096339</v>
      </c>
      <c r="AD637" s="2" t="s">
        <v>58</v>
      </c>
      <c r="AE637" s="2">
        <v>125</v>
      </c>
      <c r="AF637" s="21">
        <f t="shared" si="163"/>
        <v>3.18766859344894</v>
      </c>
      <c r="AG637" s="4">
        <f t="shared" si="164"/>
        <v>1.77263969171484</v>
      </c>
      <c r="AH637" s="4">
        <f t="shared" si="165"/>
        <v>0.346820809248555</v>
      </c>
    </row>
    <row r="638" spans="1:34">
      <c r="A638" s="2">
        <v>20260312</v>
      </c>
      <c r="B638" s="2" t="s">
        <v>1318</v>
      </c>
      <c r="C638" s="2" t="s">
        <v>1319</v>
      </c>
      <c r="D638" s="2">
        <v>2</v>
      </c>
      <c r="E638" s="2">
        <v>0</v>
      </c>
      <c r="F638" s="2">
        <v>8</v>
      </c>
      <c r="G638" s="2">
        <v>4</v>
      </c>
      <c r="H638" s="2">
        <v>8</v>
      </c>
      <c r="I638" s="3">
        <v>17</v>
      </c>
      <c r="J638" s="2">
        <v>18</v>
      </c>
      <c r="K638" s="2">
        <v>2</v>
      </c>
      <c r="L638" s="2">
        <v>0</v>
      </c>
      <c r="M638" s="2">
        <v>9</v>
      </c>
      <c r="N638" s="2">
        <v>41</v>
      </c>
      <c r="O638" s="2">
        <v>12</v>
      </c>
      <c r="P638" s="3">
        <v>6</v>
      </c>
      <c r="Q638" s="2">
        <v>14</v>
      </c>
      <c r="R638" s="2">
        <v>50</v>
      </c>
      <c r="S638" s="2">
        <v>1</v>
      </c>
      <c r="T638" s="2">
        <v>4</v>
      </c>
      <c r="U638" s="2">
        <v>0</v>
      </c>
      <c r="V638" s="2">
        <f t="shared" si="159"/>
        <v>48</v>
      </c>
      <c r="W638" s="2">
        <v>20</v>
      </c>
      <c r="X638" s="2">
        <v>0</v>
      </c>
      <c r="Y638" s="2">
        <v>0</v>
      </c>
      <c r="Z638" s="2">
        <f t="shared" si="160"/>
        <v>20</v>
      </c>
      <c r="AA638" s="2">
        <f t="shared" si="161"/>
        <v>68</v>
      </c>
      <c r="AB638" s="2">
        <v>2595</v>
      </c>
      <c r="AC638" s="20">
        <f t="shared" si="162"/>
        <v>2.62042389210019</v>
      </c>
      <c r="AD638" s="2" t="s">
        <v>58</v>
      </c>
      <c r="AE638" s="2">
        <v>125</v>
      </c>
      <c r="AF638" s="21">
        <f t="shared" si="163"/>
        <v>3.94111753371869</v>
      </c>
      <c r="AG638" s="4">
        <f t="shared" si="164"/>
        <v>1.84971098265896</v>
      </c>
      <c r="AH638" s="4">
        <f t="shared" si="165"/>
        <v>0.770712909441233</v>
      </c>
    </row>
    <row r="639" spans="1:34">
      <c r="A639" s="2">
        <v>20260312</v>
      </c>
      <c r="B639" s="2" t="s">
        <v>1320</v>
      </c>
      <c r="C639" s="2" t="s">
        <v>1321</v>
      </c>
      <c r="D639" s="2">
        <v>11</v>
      </c>
      <c r="E639" s="2">
        <v>2</v>
      </c>
      <c r="F639" s="2">
        <v>22</v>
      </c>
      <c r="G639" s="2">
        <v>13</v>
      </c>
      <c r="H639" s="2">
        <v>23</v>
      </c>
      <c r="I639" s="3">
        <v>28</v>
      </c>
      <c r="J639" s="2">
        <v>54</v>
      </c>
      <c r="K639" s="2">
        <v>8</v>
      </c>
      <c r="L639" s="2">
        <v>4</v>
      </c>
      <c r="M639" s="2">
        <v>8</v>
      </c>
      <c r="N639" s="2">
        <v>20</v>
      </c>
      <c r="O639" s="2">
        <v>8</v>
      </c>
      <c r="P639" s="3">
        <v>21</v>
      </c>
      <c r="Q639" s="2">
        <v>19</v>
      </c>
      <c r="R639" s="2">
        <v>134</v>
      </c>
      <c r="S639" s="2">
        <v>1</v>
      </c>
      <c r="T639" s="2">
        <v>8</v>
      </c>
      <c r="U639" s="2">
        <v>2</v>
      </c>
      <c r="V639" s="2">
        <f t="shared" si="159"/>
        <v>157</v>
      </c>
      <c r="W639" s="2">
        <v>10</v>
      </c>
      <c r="X639" s="2">
        <v>0</v>
      </c>
      <c r="Y639" s="2">
        <v>0</v>
      </c>
      <c r="Z639" s="2">
        <f t="shared" si="160"/>
        <v>12</v>
      </c>
      <c r="AA639" s="2">
        <f t="shared" si="161"/>
        <v>169</v>
      </c>
      <c r="AB639" s="2">
        <v>2965</v>
      </c>
      <c r="AC639" s="20">
        <f t="shared" si="162"/>
        <v>5.69983136593592</v>
      </c>
      <c r="AD639" s="2" t="s">
        <v>58</v>
      </c>
      <c r="AE639" s="2">
        <v>125</v>
      </c>
      <c r="AF639" s="21">
        <f t="shared" si="163"/>
        <v>8.57254637436762</v>
      </c>
      <c r="AG639" s="4">
        <f t="shared" si="164"/>
        <v>5.29510961214165</v>
      </c>
      <c r="AH639" s="4">
        <f t="shared" si="165"/>
        <v>0.404721753794266</v>
      </c>
    </row>
    <row r="640" spans="1:34">
      <c r="A640" s="2">
        <v>20260312</v>
      </c>
      <c r="B640" s="2" t="s">
        <v>1322</v>
      </c>
      <c r="C640" s="2" t="s">
        <v>1323</v>
      </c>
      <c r="D640" s="2">
        <v>15</v>
      </c>
      <c r="E640" s="2">
        <v>3</v>
      </c>
      <c r="F640" s="2">
        <v>23</v>
      </c>
      <c r="G640" s="2">
        <v>3</v>
      </c>
      <c r="H640" s="2">
        <v>6</v>
      </c>
      <c r="I640" s="3">
        <v>30</v>
      </c>
      <c r="J640" s="2">
        <v>8</v>
      </c>
      <c r="K640" s="2">
        <v>23</v>
      </c>
      <c r="L640" s="2">
        <v>1</v>
      </c>
      <c r="M640" s="2">
        <v>12</v>
      </c>
      <c r="N640" s="2">
        <v>3</v>
      </c>
      <c r="O640" s="2">
        <v>28</v>
      </c>
      <c r="P640" s="3">
        <v>4</v>
      </c>
      <c r="Q640" s="2">
        <v>43</v>
      </c>
      <c r="R640" s="2">
        <v>110</v>
      </c>
      <c r="S640" s="2">
        <v>6</v>
      </c>
      <c r="T640" s="2">
        <v>2</v>
      </c>
      <c r="U640" s="2">
        <v>2</v>
      </c>
      <c r="V640" s="2">
        <f t="shared" si="159"/>
        <v>58</v>
      </c>
      <c r="W640" s="2">
        <v>31</v>
      </c>
      <c r="X640" s="2">
        <v>0</v>
      </c>
      <c r="Y640" s="2">
        <v>0</v>
      </c>
      <c r="Z640" s="2">
        <f t="shared" si="160"/>
        <v>33</v>
      </c>
      <c r="AA640" s="2">
        <f t="shared" si="161"/>
        <v>91</v>
      </c>
      <c r="AB640" s="2">
        <v>5149</v>
      </c>
      <c r="AC640" s="20">
        <f t="shared" si="162"/>
        <v>1.76733346280831</v>
      </c>
      <c r="AD640" s="2" t="s">
        <v>58</v>
      </c>
      <c r="AE640" s="2">
        <v>125</v>
      </c>
      <c r="AF640" s="21">
        <f t="shared" si="163"/>
        <v>2.6580695280637</v>
      </c>
      <c r="AG640" s="4">
        <f t="shared" si="164"/>
        <v>1.12643231695475</v>
      </c>
      <c r="AH640" s="4">
        <f t="shared" si="165"/>
        <v>0.640901145853564</v>
      </c>
    </row>
    <row r="641" spans="1:34">
      <c r="A641" s="2">
        <v>20260312</v>
      </c>
      <c r="B641" s="2" t="s">
        <v>1324</v>
      </c>
      <c r="C641" s="2" t="s">
        <v>1325</v>
      </c>
      <c r="D641" s="2">
        <v>4</v>
      </c>
      <c r="E641" s="2">
        <v>3</v>
      </c>
      <c r="F641" s="2">
        <v>13</v>
      </c>
      <c r="G641" s="2">
        <v>4</v>
      </c>
      <c r="H641" s="2">
        <v>3</v>
      </c>
      <c r="I641" s="3">
        <v>12</v>
      </c>
      <c r="J641" s="2">
        <v>15</v>
      </c>
      <c r="K641" s="2">
        <v>2</v>
      </c>
      <c r="L641" s="2">
        <v>1</v>
      </c>
      <c r="M641" s="2">
        <v>5</v>
      </c>
      <c r="N641" s="2">
        <v>57</v>
      </c>
      <c r="O641" s="2">
        <v>14</v>
      </c>
      <c r="P641" s="3">
        <v>4</v>
      </c>
      <c r="Q641" s="2">
        <v>23</v>
      </c>
      <c r="R641" s="2">
        <v>113</v>
      </c>
      <c r="S641" s="2">
        <v>2</v>
      </c>
      <c r="T641" s="2">
        <v>9</v>
      </c>
      <c r="U641" s="2">
        <v>0</v>
      </c>
      <c r="V641" s="2">
        <f t="shared" si="159"/>
        <v>46</v>
      </c>
      <c r="W641" s="2">
        <v>9</v>
      </c>
      <c r="X641" s="2">
        <v>0</v>
      </c>
      <c r="Y641" s="2">
        <v>0</v>
      </c>
      <c r="Z641" s="2">
        <f t="shared" si="160"/>
        <v>9</v>
      </c>
      <c r="AA641" s="2">
        <f t="shared" si="161"/>
        <v>55</v>
      </c>
      <c r="AB641" s="2">
        <v>5159</v>
      </c>
      <c r="AC641" s="20">
        <f t="shared" si="162"/>
        <v>1.06609808102345</v>
      </c>
      <c r="AD641" s="2" t="s">
        <v>58</v>
      </c>
      <c r="AE641" s="2">
        <v>125</v>
      </c>
      <c r="AF641" s="21">
        <f t="shared" si="163"/>
        <v>1.60341151385928</v>
      </c>
      <c r="AG641" s="4">
        <f t="shared" si="164"/>
        <v>0.891645667765071</v>
      </c>
      <c r="AH641" s="4">
        <f t="shared" si="165"/>
        <v>0.174452413258383</v>
      </c>
    </row>
    <row r="642" spans="1:34">
      <c r="A642" s="2">
        <v>20260312</v>
      </c>
      <c r="B642" s="2" t="s">
        <v>1326</v>
      </c>
      <c r="C642" s="2" t="s">
        <v>1327</v>
      </c>
      <c r="D642" s="2">
        <v>5</v>
      </c>
      <c r="E642" s="2">
        <v>3</v>
      </c>
      <c r="F642" s="2">
        <v>7</v>
      </c>
      <c r="G642" s="2">
        <v>5</v>
      </c>
      <c r="H642" s="2">
        <v>4</v>
      </c>
      <c r="I642" s="3">
        <v>13</v>
      </c>
      <c r="J642" s="2">
        <v>7</v>
      </c>
      <c r="K642" s="2">
        <v>0</v>
      </c>
      <c r="L642" s="2">
        <v>0</v>
      </c>
      <c r="M642" s="2">
        <v>1</v>
      </c>
      <c r="N642" s="2">
        <v>54</v>
      </c>
      <c r="O642" s="2">
        <v>14</v>
      </c>
      <c r="P642" s="3">
        <v>1</v>
      </c>
      <c r="Q642" s="2">
        <v>23</v>
      </c>
      <c r="R642" s="2">
        <v>94</v>
      </c>
      <c r="S642" s="2">
        <v>3</v>
      </c>
      <c r="T642" s="2">
        <v>1</v>
      </c>
      <c r="U642" s="2">
        <v>0</v>
      </c>
      <c r="V642" s="2">
        <f t="shared" ref="V642:V673" si="166">AA642-Y642-X642-W642-U642</f>
        <v>19</v>
      </c>
      <c r="W642" s="2">
        <v>12</v>
      </c>
      <c r="X642" s="2">
        <v>1</v>
      </c>
      <c r="Y642" s="2">
        <v>0</v>
      </c>
      <c r="Z642" s="2">
        <f t="shared" ref="Z642:Z673" si="167">Y642+X642+W642+U642</f>
        <v>13</v>
      </c>
      <c r="AA642" s="2">
        <f t="shared" ref="AA642:AA673" si="168">G642+H642+I642+J642+K642+L642+M642+P642+T642+U642</f>
        <v>32</v>
      </c>
      <c r="AB642" s="2">
        <v>2597</v>
      </c>
      <c r="AC642" s="20">
        <f t="shared" ref="AC642:AC673" si="169">AA642/AB642*100</f>
        <v>1.23219098960339</v>
      </c>
      <c r="AD642" s="2" t="s">
        <v>58</v>
      </c>
      <c r="AE642" s="2">
        <v>125</v>
      </c>
      <c r="AF642" s="21">
        <f t="shared" ref="AF642:AF673" si="170">188/AE642*AC642</f>
        <v>1.8532152483635</v>
      </c>
      <c r="AG642" s="4">
        <f t="shared" ref="AG642:AG673" si="171">V642/AB642*100</f>
        <v>0.731613400077012</v>
      </c>
      <c r="AH642" s="4">
        <f t="shared" ref="AH642:AH673" si="172">Z642/AB642*100</f>
        <v>0.500577589526377</v>
      </c>
    </row>
    <row r="643" spans="1:34">
      <c r="A643" s="2">
        <v>20260312</v>
      </c>
      <c r="B643" s="2" t="s">
        <v>1328</v>
      </c>
      <c r="C643" s="2" t="s">
        <v>1329</v>
      </c>
      <c r="D643" s="2">
        <v>3</v>
      </c>
      <c r="E643" s="2">
        <v>2</v>
      </c>
      <c r="F643" s="2">
        <v>3</v>
      </c>
      <c r="G643" s="2">
        <v>5</v>
      </c>
      <c r="H643" s="2">
        <v>2</v>
      </c>
      <c r="I643" s="3">
        <v>11</v>
      </c>
      <c r="J643" s="2">
        <v>11</v>
      </c>
      <c r="K643" s="2">
        <v>2</v>
      </c>
      <c r="L643" s="2">
        <v>2</v>
      </c>
      <c r="M643" s="2">
        <v>15</v>
      </c>
      <c r="N643" s="2">
        <v>3</v>
      </c>
      <c r="O643" s="2">
        <v>4</v>
      </c>
      <c r="P643" s="3">
        <v>1</v>
      </c>
      <c r="Q643" s="2">
        <v>6</v>
      </c>
      <c r="R643" s="2">
        <v>6</v>
      </c>
      <c r="S643" s="2">
        <v>1</v>
      </c>
      <c r="T643" s="2">
        <v>4</v>
      </c>
      <c r="U643" s="2">
        <v>0</v>
      </c>
      <c r="V643" s="2">
        <f t="shared" si="166"/>
        <v>45</v>
      </c>
      <c r="W643" s="2">
        <v>1</v>
      </c>
      <c r="X643" s="2">
        <v>7</v>
      </c>
      <c r="Y643" s="2">
        <v>0</v>
      </c>
      <c r="Z643" s="2">
        <f t="shared" si="167"/>
        <v>8</v>
      </c>
      <c r="AA643" s="2">
        <f t="shared" si="168"/>
        <v>53</v>
      </c>
      <c r="AB643" s="2">
        <v>2176</v>
      </c>
      <c r="AC643" s="20">
        <f t="shared" si="169"/>
        <v>2.43566176470588</v>
      </c>
      <c r="AD643" s="2" t="s">
        <v>58</v>
      </c>
      <c r="AE643" s="2">
        <v>125</v>
      </c>
      <c r="AF643" s="21">
        <f t="shared" si="170"/>
        <v>3.66323529411765</v>
      </c>
      <c r="AG643" s="4">
        <f t="shared" si="171"/>
        <v>2.06801470588235</v>
      </c>
      <c r="AH643" s="4">
        <f t="shared" si="172"/>
        <v>0.367647058823529</v>
      </c>
    </row>
    <row r="644" spans="1:34">
      <c r="A644" s="2">
        <v>20260312</v>
      </c>
      <c r="B644" s="2" t="s">
        <v>1330</v>
      </c>
      <c r="C644" s="2" t="s">
        <v>1331</v>
      </c>
      <c r="D644" s="2">
        <v>3</v>
      </c>
      <c r="E644" s="2">
        <v>39</v>
      </c>
      <c r="F644" s="2">
        <v>10</v>
      </c>
      <c r="G644" s="2">
        <v>8</v>
      </c>
      <c r="H644" s="2">
        <v>8</v>
      </c>
      <c r="I644" s="3">
        <v>30</v>
      </c>
      <c r="J644" s="2">
        <v>18</v>
      </c>
      <c r="K644" s="2">
        <v>2</v>
      </c>
      <c r="L644" s="2">
        <v>1</v>
      </c>
      <c r="M644" s="2">
        <v>2</v>
      </c>
      <c r="N644" s="2">
        <v>27</v>
      </c>
      <c r="O644" s="2">
        <v>5</v>
      </c>
      <c r="P644" s="3">
        <v>4</v>
      </c>
      <c r="Q644" s="2">
        <v>14</v>
      </c>
      <c r="R644" s="2">
        <v>46</v>
      </c>
      <c r="S644" s="2">
        <v>4</v>
      </c>
      <c r="T644" s="2">
        <v>5</v>
      </c>
      <c r="U644" s="2">
        <v>2</v>
      </c>
      <c r="V644" s="2">
        <f t="shared" si="166"/>
        <v>67</v>
      </c>
      <c r="W644" s="2">
        <v>2</v>
      </c>
      <c r="X644" s="2">
        <v>9</v>
      </c>
      <c r="Y644" s="2">
        <v>0</v>
      </c>
      <c r="Z644" s="2">
        <f t="shared" si="167"/>
        <v>13</v>
      </c>
      <c r="AA644" s="2">
        <f t="shared" si="168"/>
        <v>80</v>
      </c>
      <c r="AB644" s="2">
        <v>2335</v>
      </c>
      <c r="AC644" s="20">
        <f t="shared" si="169"/>
        <v>3.42612419700214</v>
      </c>
      <c r="AD644" s="2" t="s">
        <v>106</v>
      </c>
      <c r="AE644" s="2">
        <v>188</v>
      </c>
      <c r="AF644" s="21">
        <f t="shared" si="170"/>
        <v>3.42612419700214</v>
      </c>
      <c r="AG644" s="4">
        <f t="shared" si="171"/>
        <v>2.86937901498929</v>
      </c>
      <c r="AH644" s="4">
        <f t="shared" si="172"/>
        <v>0.556745182012848</v>
      </c>
    </row>
    <row r="645" spans="1:34">
      <c r="A645" s="2">
        <v>20260312</v>
      </c>
      <c r="B645" s="2" t="s">
        <v>1332</v>
      </c>
      <c r="C645" s="2" t="s">
        <v>1333</v>
      </c>
      <c r="D645" s="2">
        <v>3</v>
      </c>
      <c r="E645" s="2">
        <v>6</v>
      </c>
      <c r="F645" s="2">
        <v>8</v>
      </c>
      <c r="G645" s="2">
        <v>4</v>
      </c>
      <c r="H645" s="2">
        <v>3</v>
      </c>
      <c r="I645" s="3">
        <v>19</v>
      </c>
      <c r="J645" s="2">
        <v>16</v>
      </c>
      <c r="K645" s="2">
        <v>7</v>
      </c>
      <c r="L645" s="2">
        <v>0</v>
      </c>
      <c r="M645" s="2">
        <v>1</v>
      </c>
      <c r="N645" s="2">
        <v>24</v>
      </c>
      <c r="O645" s="2">
        <v>14</v>
      </c>
      <c r="P645" s="3">
        <v>5</v>
      </c>
      <c r="Q645" s="2">
        <v>10</v>
      </c>
      <c r="R645" s="2">
        <v>2</v>
      </c>
      <c r="S645" s="2">
        <v>6</v>
      </c>
      <c r="T645" s="2">
        <v>6</v>
      </c>
      <c r="U645" s="2">
        <v>0</v>
      </c>
      <c r="V645" s="2">
        <f t="shared" si="166"/>
        <v>50</v>
      </c>
      <c r="W645" s="2">
        <v>6</v>
      </c>
      <c r="X645" s="2">
        <v>5</v>
      </c>
      <c r="Y645" s="2">
        <v>0</v>
      </c>
      <c r="Z645" s="2">
        <f t="shared" si="167"/>
        <v>11</v>
      </c>
      <c r="AA645" s="2">
        <f t="shared" si="168"/>
        <v>61</v>
      </c>
      <c r="AB645" s="2">
        <v>2176</v>
      </c>
      <c r="AC645" s="20">
        <f t="shared" si="169"/>
        <v>2.80330882352941</v>
      </c>
      <c r="AD645" s="2" t="s">
        <v>106</v>
      </c>
      <c r="AE645" s="2">
        <v>188</v>
      </c>
      <c r="AF645" s="21">
        <f t="shared" si="170"/>
        <v>2.80330882352941</v>
      </c>
      <c r="AG645" s="4">
        <f t="shared" si="171"/>
        <v>2.29779411764706</v>
      </c>
      <c r="AH645" s="4">
        <f t="shared" si="172"/>
        <v>0.505514705882353</v>
      </c>
    </row>
    <row r="646" spans="1:34">
      <c r="A646" s="2">
        <v>20260312</v>
      </c>
      <c r="B646" s="2" t="s">
        <v>1334</v>
      </c>
      <c r="C646" s="2" t="s">
        <v>1335</v>
      </c>
      <c r="D646" s="2">
        <v>5</v>
      </c>
      <c r="E646" s="2">
        <v>59</v>
      </c>
      <c r="F646" s="2">
        <v>2</v>
      </c>
      <c r="G646" s="2">
        <v>3</v>
      </c>
      <c r="H646" s="2">
        <v>6</v>
      </c>
      <c r="I646" s="3">
        <v>12</v>
      </c>
      <c r="J646" s="2">
        <v>13</v>
      </c>
      <c r="K646" s="2">
        <v>3</v>
      </c>
      <c r="L646" s="2">
        <v>0</v>
      </c>
      <c r="M646" s="2">
        <v>4</v>
      </c>
      <c r="N646" s="2">
        <v>19</v>
      </c>
      <c r="O646" s="2">
        <v>9</v>
      </c>
      <c r="P646" s="3">
        <v>5</v>
      </c>
      <c r="Q646" s="2">
        <v>12</v>
      </c>
      <c r="R646" s="2">
        <v>36</v>
      </c>
      <c r="S646" s="2">
        <v>3</v>
      </c>
      <c r="T646" s="2">
        <v>5</v>
      </c>
      <c r="U646" s="2">
        <v>1</v>
      </c>
      <c r="V646" s="2">
        <f t="shared" si="166"/>
        <v>43</v>
      </c>
      <c r="W646" s="2">
        <v>3</v>
      </c>
      <c r="X646" s="2">
        <v>5</v>
      </c>
      <c r="Y646" s="2">
        <v>0</v>
      </c>
      <c r="Z646" s="2">
        <f t="shared" si="167"/>
        <v>9</v>
      </c>
      <c r="AA646" s="2">
        <f t="shared" si="168"/>
        <v>52</v>
      </c>
      <c r="AB646" s="2">
        <v>2245</v>
      </c>
      <c r="AC646" s="20">
        <f t="shared" si="169"/>
        <v>2.3162583518931</v>
      </c>
      <c r="AD646" s="2" t="s">
        <v>106</v>
      </c>
      <c r="AE646" s="2">
        <v>188</v>
      </c>
      <c r="AF646" s="21">
        <f t="shared" si="170"/>
        <v>2.3162583518931</v>
      </c>
      <c r="AG646" s="4">
        <f t="shared" si="171"/>
        <v>1.91536748329621</v>
      </c>
      <c r="AH646" s="4">
        <f t="shared" si="172"/>
        <v>0.400890868596882</v>
      </c>
    </row>
    <row r="647" spans="1:34">
      <c r="A647" s="2">
        <v>20260312</v>
      </c>
      <c r="B647" s="2" t="s">
        <v>1336</v>
      </c>
      <c r="C647" s="2" t="s">
        <v>1337</v>
      </c>
      <c r="D647" s="2">
        <v>0</v>
      </c>
      <c r="E647" s="2">
        <v>2</v>
      </c>
      <c r="F647" s="2">
        <v>22</v>
      </c>
      <c r="G647" s="2">
        <v>4</v>
      </c>
      <c r="H647" s="2">
        <v>2</v>
      </c>
      <c r="I647" s="3">
        <v>17</v>
      </c>
      <c r="J647" s="2">
        <v>21</v>
      </c>
      <c r="K647" s="2">
        <v>2</v>
      </c>
      <c r="L647" s="2">
        <v>0</v>
      </c>
      <c r="M647" s="2">
        <v>1</v>
      </c>
      <c r="N647" s="2">
        <v>19</v>
      </c>
      <c r="O647" s="2">
        <v>29</v>
      </c>
      <c r="P647" s="3">
        <v>3</v>
      </c>
      <c r="Q647" s="2">
        <v>17</v>
      </c>
      <c r="R647" s="2">
        <v>7</v>
      </c>
      <c r="S647" s="2">
        <v>5</v>
      </c>
      <c r="T647" s="2">
        <v>0</v>
      </c>
      <c r="U647" s="2">
        <v>0</v>
      </c>
      <c r="V647" s="2">
        <f t="shared" ref="V647:V653" si="173">AA647-Y647-X647-W647-U647</f>
        <v>45</v>
      </c>
      <c r="W647" s="2">
        <v>0</v>
      </c>
      <c r="X647" s="2">
        <v>5</v>
      </c>
      <c r="Y647" s="2">
        <v>0</v>
      </c>
      <c r="Z647" s="2">
        <f t="shared" si="167"/>
        <v>5</v>
      </c>
      <c r="AA647" s="2">
        <f t="shared" si="168"/>
        <v>50</v>
      </c>
      <c r="AB647" s="2">
        <v>2176</v>
      </c>
      <c r="AC647" s="20">
        <f t="shared" si="169"/>
        <v>2.29779411764706</v>
      </c>
      <c r="AD647" s="2" t="s">
        <v>106</v>
      </c>
      <c r="AE647" s="2">
        <v>188</v>
      </c>
      <c r="AF647" s="21">
        <f t="shared" si="170"/>
        <v>2.29779411764706</v>
      </c>
      <c r="AG647" s="4">
        <f t="shared" si="171"/>
        <v>2.06801470588235</v>
      </c>
      <c r="AH647" s="4">
        <f t="shared" si="172"/>
        <v>0.229779411764706</v>
      </c>
    </row>
    <row r="648" spans="1:34">
      <c r="A648" s="2">
        <v>20260312</v>
      </c>
      <c r="B648" s="2" t="s">
        <v>1338</v>
      </c>
      <c r="C648" s="2" t="s">
        <v>1339</v>
      </c>
      <c r="D648" s="2">
        <v>43</v>
      </c>
      <c r="E648" s="2">
        <v>206</v>
      </c>
      <c r="F648" s="2">
        <v>247</v>
      </c>
      <c r="G648" s="2">
        <v>108</v>
      </c>
      <c r="H648" s="2">
        <v>54</v>
      </c>
      <c r="I648" s="3">
        <v>31</v>
      </c>
      <c r="J648" s="2">
        <v>91</v>
      </c>
      <c r="K648" s="2">
        <v>52</v>
      </c>
      <c r="L648" s="2">
        <v>9</v>
      </c>
      <c r="M648" s="2">
        <v>12</v>
      </c>
      <c r="N648" s="2">
        <v>84</v>
      </c>
      <c r="O648" s="2">
        <v>232</v>
      </c>
      <c r="P648" s="3">
        <v>29</v>
      </c>
      <c r="Q648" s="2">
        <v>66</v>
      </c>
      <c r="R648" s="2">
        <v>23</v>
      </c>
      <c r="S648" s="2">
        <v>6</v>
      </c>
      <c r="T648" s="2">
        <v>88</v>
      </c>
      <c r="U648" s="2">
        <v>10</v>
      </c>
      <c r="V648" s="2">
        <f t="shared" si="173"/>
        <v>466</v>
      </c>
      <c r="W648" s="2">
        <v>1</v>
      </c>
      <c r="X648" s="2">
        <v>7</v>
      </c>
      <c r="Y648" s="2">
        <v>0</v>
      </c>
      <c r="Z648" s="2">
        <f t="shared" si="167"/>
        <v>18</v>
      </c>
      <c r="AA648" s="2">
        <f t="shared" si="168"/>
        <v>484</v>
      </c>
      <c r="AB648" s="2">
        <v>2245</v>
      </c>
      <c r="AC648" s="20">
        <f t="shared" si="169"/>
        <v>21.5590200445434</v>
      </c>
      <c r="AD648" s="2" t="s">
        <v>106</v>
      </c>
      <c r="AE648" s="2">
        <v>188</v>
      </c>
      <c r="AF648" s="21">
        <f t="shared" si="170"/>
        <v>21.5590200445434</v>
      </c>
      <c r="AG648" s="4">
        <f t="shared" si="171"/>
        <v>20.7572383073497</v>
      </c>
      <c r="AH648" s="4">
        <f t="shared" si="172"/>
        <v>0.801781737193764</v>
      </c>
    </row>
    <row r="649" spans="1:34">
      <c r="A649" s="2">
        <v>20260312</v>
      </c>
      <c r="B649" s="2" t="s">
        <v>1340</v>
      </c>
      <c r="C649" s="2" t="s">
        <v>1341</v>
      </c>
      <c r="D649" s="2">
        <v>2</v>
      </c>
      <c r="E649" s="2">
        <v>0</v>
      </c>
      <c r="F649" s="2">
        <v>3</v>
      </c>
      <c r="G649" s="2">
        <v>2</v>
      </c>
      <c r="H649" s="2">
        <v>6</v>
      </c>
      <c r="I649" s="3">
        <v>14</v>
      </c>
      <c r="J649" s="2">
        <v>18</v>
      </c>
      <c r="K649" s="2">
        <v>3</v>
      </c>
      <c r="L649" s="2">
        <v>1</v>
      </c>
      <c r="M649" s="2">
        <v>4</v>
      </c>
      <c r="N649" s="2">
        <v>23</v>
      </c>
      <c r="O649" s="2">
        <v>32</v>
      </c>
      <c r="P649" s="3">
        <v>6</v>
      </c>
      <c r="Q649" s="2">
        <v>12</v>
      </c>
      <c r="R649" s="2">
        <v>4</v>
      </c>
      <c r="S649" s="2">
        <v>3</v>
      </c>
      <c r="T649" s="2">
        <v>2</v>
      </c>
      <c r="U649" s="2">
        <v>1</v>
      </c>
      <c r="V649" s="2">
        <f t="shared" si="173"/>
        <v>39</v>
      </c>
      <c r="W649" s="2">
        <v>8</v>
      </c>
      <c r="X649" s="2">
        <v>9</v>
      </c>
      <c r="Y649" s="2">
        <v>0</v>
      </c>
      <c r="Z649" s="2">
        <f t="shared" si="167"/>
        <v>18</v>
      </c>
      <c r="AA649" s="2">
        <f t="shared" si="168"/>
        <v>57</v>
      </c>
      <c r="AB649" s="2">
        <v>2126</v>
      </c>
      <c r="AC649" s="20">
        <f t="shared" si="169"/>
        <v>2.68109125117592</v>
      </c>
      <c r="AD649" s="2" t="s">
        <v>106</v>
      </c>
      <c r="AE649" s="2">
        <v>188</v>
      </c>
      <c r="AF649" s="21">
        <f t="shared" si="170"/>
        <v>2.68109125117592</v>
      </c>
      <c r="AG649" s="4">
        <f t="shared" si="171"/>
        <v>1.83443085606773</v>
      </c>
      <c r="AH649" s="4">
        <f t="shared" si="172"/>
        <v>0.846660395108184</v>
      </c>
    </row>
    <row r="650" spans="1:34">
      <c r="A650" s="2">
        <v>20260312</v>
      </c>
      <c r="B650" t="s">
        <v>1342</v>
      </c>
      <c r="C650" s="2" t="s">
        <v>1343</v>
      </c>
      <c r="D650" s="2">
        <v>1</v>
      </c>
      <c r="E650" s="2">
        <v>8</v>
      </c>
      <c r="F650" s="2">
        <v>26</v>
      </c>
      <c r="G650" s="2">
        <v>16</v>
      </c>
      <c r="H650" s="2">
        <v>8</v>
      </c>
      <c r="I650" s="3">
        <v>6</v>
      </c>
      <c r="J650" s="2">
        <v>27</v>
      </c>
      <c r="K650" s="2">
        <v>12</v>
      </c>
      <c r="L650" s="2">
        <v>7</v>
      </c>
      <c r="M650" s="2">
        <v>0</v>
      </c>
      <c r="N650" s="2">
        <v>12</v>
      </c>
      <c r="O650" s="2">
        <v>45</v>
      </c>
      <c r="P650" s="3">
        <v>48</v>
      </c>
      <c r="Q650" s="2">
        <v>13</v>
      </c>
      <c r="R650" s="2">
        <v>23</v>
      </c>
      <c r="S650" s="2">
        <v>5</v>
      </c>
      <c r="T650" s="2">
        <v>4</v>
      </c>
      <c r="U650" s="2">
        <v>12</v>
      </c>
      <c r="V650" s="2">
        <v>1</v>
      </c>
      <c r="W650" s="2">
        <v>8</v>
      </c>
      <c r="X650" s="2">
        <v>4</v>
      </c>
      <c r="Y650" s="2">
        <v>0</v>
      </c>
      <c r="Z650" s="2">
        <f t="shared" si="167"/>
        <v>24</v>
      </c>
      <c r="AA650" s="2">
        <f t="shared" si="168"/>
        <v>140</v>
      </c>
      <c r="AB650" s="2">
        <v>2495</v>
      </c>
      <c r="AC650" s="20">
        <f t="shared" si="169"/>
        <v>5.61122244488978</v>
      </c>
      <c r="AD650" s="2" t="s">
        <v>106</v>
      </c>
      <c r="AE650" s="2">
        <v>188</v>
      </c>
      <c r="AF650" s="21">
        <f t="shared" si="170"/>
        <v>5.61122244488978</v>
      </c>
      <c r="AG650" s="4">
        <f t="shared" si="171"/>
        <v>0.0400801603206413</v>
      </c>
      <c r="AH650" s="4">
        <f t="shared" si="172"/>
        <v>0.961923847695391</v>
      </c>
    </row>
    <row r="651" spans="1:34">
      <c r="A651" s="2">
        <v>20260312</v>
      </c>
      <c r="B651" s="31" t="s">
        <v>1344</v>
      </c>
      <c r="C651" s="2" t="s">
        <v>1345</v>
      </c>
      <c r="D651" s="2">
        <v>1</v>
      </c>
      <c r="E651" s="2">
        <v>1</v>
      </c>
      <c r="F651" s="2">
        <v>3</v>
      </c>
      <c r="G651" s="2">
        <v>1</v>
      </c>
      <c r="H651" s="2">
        <v>2</v>
      </c>
      <c r="I651" s="3">
        <v>9</v>
      </c>
      <c r="J651" s="2">
        <v>18</v>
      </c>
      <c r="K651" s="2">
        <v>3</v>
      </c>
      <c r="L651" s="2">
        <v>0</v>
      </c>
      <c r="M651" s="2">
        <v>3</v>
      </c>
      <c r="N651" s="2">
        <v>35</v>
      </c>
      <c r="O651" s="2">
        <v>6</v>
      </c>
      <c r="P651" s="3">
        <v>1</v>
      </c>
      <c r="Q651" s="2">
        <v>14</v>
      </c>
      <c r="R651" s="2">
        <v>10</v>
      </c>
      <c r="S651" s="2">
        <v>2</v>
      </c>
      <c r="T651" s="2">
        <v>3</v>
      </c>
      <c r="U651" s="2">
        <v>0</v>
      </c>
      <c r="V651" s="2">
        <f t="shared" si="173"/>
        <v>2114</v>
      </c>
      <c r="W651" s="2">
        <v>7</v>
      </c>
      <c r="X651" s="2">
        <v>6</v>
      </c>
      <c r="Y651" s="2">
        <v>0</v>
      </c>
      <c r="Z651" s="2">
        <f t="shared" si="167"/>
        <v>13</v>
      </c>
      <c r="AA651" s="2">
        <v>2127</v>
      </c>
      <c r="AB651" s="2">
        <v>2126</v>
      </c>
      <c r="AC651" s="20">
        <f t="shared" si="169"/>
        <v>100.047036688617</v>
      </c>
      <c r="AD651" s="2" t="s">
        <v>106</v>
      </c>
      <c r="AE651" s="2">
        <v>188</v>
      </c>
      <c r="AF651" s="21">
        <f t="shared" si="170"/>
        <v>100.047036688617</v>
      </c>
      <c r="AG651" s="4">
        <f t="shared" si="171"/>
        <v>99.4355597365945</v>
      </c>
      <c r="AH651" s="4">
        <f t="shared" si="172"/>
        <v>0.611476952022578</v>
      </c>
    </row>
    <row r="652" spans="1:34">
      <c r="A652" s="2">
        <v>20260313</v>
      </c>
      <c r="B652" s="31" t="s">
        <v>1346</v>
      </c>
      <c r="C652" s="2" t="s">
        <v>1347</v>
      </c>
      <c r="D652" s="2">
        <v>6</v>
      </c>
      <c r="E652" s="2">
        <v>1</v>
      </c>
      <c r="F652" s="2">
        <v>4</v>
      </c>
      <c r="G652" s="2">
        <v>2</v>
      </c>
      <c r="H652" s="2">
        <v>5</v>
      </c>
      <c r="I652" s="3">
        <v>14</v>
      </c>
      <c r="J652" s="2">
        <v>9</v>
      </c>
      <c r="K652" s="2">
        <v>6</v>
      </c>
      <c r="L652" s="2">
        <v>2</v>
      </c>
      <c r="M652" s="2">
        <v>3</v>
      </c>
      <c r="N652" s="2">
        <v>24</v>
      </c>
      <c r="O652" s="2">
        <v>8</v>
      </c>
      <c r="P652" s="3">
        <v>4</v>
      </c>
      <c r="Q652" s="2">
        <v>10</v>
      </c>
      <c r="R652" s="2">
        <v>9</v>
      </c>
      <c r="S652" s="2">
        <v>1</v>
      </c>
      <c r="T652" s="2">
        <v>3</v>
      </c>
      <c r="U652" s="2">
        <v>1</v>
      </c>
      <c r="V652" s="2">
        <f t="shared" si="173"/>
        <v>41</v>
      </c>
      <c r="W652" s="2">
        <v>2</v>
      </c>
      <c r="X652" s="2">
        <v>5</v>
      </c>
      <c r="Y652" s="2">
        <v>0</v>
      </c>
      <c r="Z652" s="2">
        <f t="shared" si="167"/>
        <v>8</v>
      </c>
      <c r="AA652" s="2">
        <f t="shared" si="168"/>
        <v>49</v>
      </c>
      <c r="AB652" s="2">
        <v>2126</v>
      </c>
      <c r="AC652" s="20">
        <f t="shared" si="169"/>
        <v>2.30479774223895</v>
      </c>
      <c r="AD652" s="2" t="s">
        <v>106</v>
      </c>
      <c r="AE652" s="2">
        <v>188</v>
      </c>
      <c r="AF652" s="21">
        <f t="shared" si="170"/>
        <v>2.30479774223895</v>
      </c>
      <c r="AG652" s="4">
        <f t="shared" si="171"/>
        <v>1.92850423330198</v>
      </c>
      <c r="AH652" s="4">
        <f t="shared" si="172"/>
        <v>0.376293508936971</v>
      </c>
    </row>
    <row r="653" spans="1:34">
      <c r="A653" s="2">
        <v>20260313</v>
      </c>
      <c r="B653" s="31" t="s">
        <v>1348</v>
      </c>
      <c r="C653" s="2" t="s">
        <v>1349</v>
      </c>
      <c r="D653" s="2">
        <v>1</v>
      </c>
      <c r="E653" s="2">
        <v>5</v>
      </c>
      <c r="F653" s="2">
        <v>9</v>
      </c>
      <c r="G653" s="2">
        <v>2</v>
      </c>
      <c r="H653" s="2">
        <v>0</v>
      </c>
      <c r="I653" s="3">
        <v>6</v>
      </c>
      <c r="J653" s="2">
        <v>8</v>
      </c>
      <c r="K653" s="2">
        <v>1</v>
      </c>
      <c r="L653" s="2">
        <v>2</v>
      </c>
      <c r="M653" s="2">
        <v>3</v>
      </c>
      <c r="N653" s="2">
        <v>15</v>
      </c>
      <c r="O653" s="2">
        <v>27</v>
      </c>
      <c r="P653" s="3">
        <v>9</v>
      </c>
      <c r="Q653" s="2">
        <v>7</v>
      </c>
      <c r="R653" s="2">
        <v>2</v>
      </c>
      <c r="S653" s="2">
        <v>3</v>
      </c>
      <c r="T653" s="2">
        <v>4</v>
      </c>
      <c r="U653" s="2">
        <v>0</v>
      </c>
      <c r="V653" s="2">
        <f t="shared" si="173"/>
        <v>27</v>
      </c>
      <c r="W653" s="2">
        <v>4</v>
      </c>
      <c r="X653" s="2">
        <v>4</v>
      </c>
      <c r="Y653" s="2">
        <v>0</v>
      </c>
      <c r="Z653" s="2">
        <f t="shared" si="167"/>
        <v>8</v>
      </c>
      <c r="AA653" s="2">
        <f t="shared" si="168"/>
        <v>35</v>
      </c>
      <c r="AB653" s="2">
        <v>2226</v>
      </c>
      <c r="AC653" s="20">
        <f t="shared" si="169"/>
        <v>1.57232704402516</v>
      </c>
      <c r="AD653" s="2" t="s">
        <v>106</v>
      </c>
      <c r="AE653" s="2">
        <v>188</v>
      </c>
      <c r="AF653" s="21">
        <f t="shared" si="170"/>
        <v>1.57232704402516</v>
      </c>
      <c r="AG653" s="4">
        <f t="shared" si="171"/>
        <v>1.21293800539084</v>
      </c>
      <c r="AH653" s="4">
        <f t="shared" si="172"/>
        <v>0.359389038634322</v>
      </c>
    </row>
    <row r="654" spans="1:34">
      <c r="A654" s="2">
        <v>20260313</v>
      </c>
      <c r="B654" s="2" t="s">
        <v>1350</v>
      </c>
      <c r="C654" s="2" t="s">
        <v>1351</v>
      </c>
      <c r="D654" s="2">
        <v>5</v>
      </c>
      <c r="E654" s="2">
        <v>3</v>
      </c>
      <c r="F654" s="2">
        <v>5</v>
      </c>
      <c r="G654" s="2">
        <v>0</v>
      </c>
      <c r="H654" s="2">
        <v>3</v>
      </c>
      <c r="I654" s="3">
        <v>13</v>
      </c>
      <c r="J654" s="2">
        <v>5</v>
      </c>
      <c r="K654" s="2">
        <v>2</v>
      </c>
      <c r="L654" s="2">
        <v>0</v>
      </c>
      <c r="M654" s="2">
        <v>11</v>
      </c>
      <c r="N654" s="2">
        <v>16</v>
      </c>
      <c r="O654" s="2">
        <v>9</v>
      </c>
      <c r="P654" s="3">
        <v>6</v>
      </c>
      <c r="Q654" s="2">
        <v>9</v>
      </c>
      <c r="R654" s="2">
        <v>5</v>
      </c>
      <c r="S654" s="2">
        <v>3</v>
      </c>
      <c r="T654" s="2">
        <v>6</v>
      </c>
      <c r="U654" s="2">
        <v>0</v>
      </c>
      <c r="V654" s="2">
        <f t="shared" si="166"/>
        <v>31</v>
      </c>
      <c r="W654" s="2">
        <v>6</v>
      </c>
      <c r="X654" s="2">
        <v>9</v>
      </c>
      <c r="Y654" s="2">
        <v>0</v>
      </c>
      <c r="Z654" s="2">
        <f t="shared" si="167"/>
        <v>15</v>
      </c>
      <c r="AA654" s="2">
        <f t="shared" si="168"/>
        <v>46</v>
      </c>
      <c r="AB654" s="2">
        <v>2126</v>
      </c>
      <c r="AC654" s="20">
        <f t="shared" si="169"/>
        <v>2.16368767638758</v>
      </c>
      <c r="AD654" s="2" t="s">
        <v>106</v>
      </c>
      <c r="AE654" s="2">
        <v>188</v>
      </c>
      <c r="AF654" s="21">
        <f t="shared" si="170"/>
        <v>2.16368767638758</v>
      </c>
      <c r="AG654" s="4">
        <f t="shared" si="171"/>
        <v>1.45813734713076</v>
      </c>
      <c r="AH654" s="4">
        <f t="shared" si="172"/>
        <v>0.70555032925682</v>
      </c>
    </row>
    <row r="655" spans="1:34">
      <c r="A655" s="2">
        <v>20260313</v>
      </c>
      <c r="B655" s="2" t="s">
        <v>1352</v>
      </c>
      <c r="C655" s="2" t="s">
        <v>1353</v>
      </c>
      <c r="D655" s="2">
        <v>2</v>
      </c>
      <c r="E655" s="2">
        <v>6</v>
      </c>
      <c r="F655" s="2">
        <v>9</v>
      </c>
      <c r="G655" s="2">
        <v>2</v>
      </c>
      <c r="H655" s="2">
        <v>4</v>
      </c>
      <c r="I655" s="3">
        <v>9</v>
      </c>
      <c r="J655" s="2">
        <v>7</v>
      </c>
      <c r="K655" s="2">
        <v>0</v>
      </c>
      <c r="L655" s="2">
        <v>0</v>
      </c>
      <c r="M655" s="2">
        <v>23</v>
      </c>
      <c r="N655" s="2">
        <v>9</v>
      </c>
      <c r="O655" s="2">
        <v>19</v>
      </c>
      <c r="P655" s="3">
        <v>4</v>
      </c>
      <c r="Q655" s="2">
        <v>9</v>
      </c>
      <c r="R655" s="2">
        <v>5</v>
      </c>
      <c r="S655" s="2">
        <v>1</v>
      </c>
      <c r="T655" s="2">
        <v>3</v>
      </c>
      <c r="U655" s="2">
        <v>0</v>
      </c>
      <c r="V655" s="2">
        <f t="shared" si="166"/>
        <v>41</v>
      </c>
      <c r="W655" s="2">
        <v>4</v>
      </c>
      <c r="X655" s="2">
        <v>7</v>
      </c>
      <c r="Y655" s="2">
        <v>0</v>
      </c>
      <c r="Z655" s="2">
        <f t="shared" si="167"/>
        <v>11</v>
      </c>
      <c r="AA655" s="2">
        <f t="shared" si="168"/>
        <v>52</v>
      </c>
      <c r="AB655" s="2">
        <v>2176</v>
      </c>
      <c r="AC655" s="20">
        <f t="shared" si="169"/>
        <v>2.38970588235294</v>
      </c>
      <c r="AD655" s="2" t="s">
        <v>106</v>
      </c>
      <c r="AE655" s="2">
        <v>188</v>
      </c>
      <c r="AF655" s="21">
        <f t="shared" si="170"/>
        <v>2.38970588235294</v>
      </c>
      <c r="AG655" s="4">
        <f t="shared" si="171"/>
        <v>1.88419117647059</v>
      </c>
      <c r="AH655" s="4">
        <f t="shared" si="172"/>
        <v>0.505514705882353</v>
      </c>
    </row>
    <row r="656" spans="1:34">
      <c r="A656" s="2">
        <v>20260313</v>
      </c>
      <c r="B656" s="2" t="s">
        <v>1354</v>
      </c>
      <c r="C656" s="2" t="s">
        <v>1355</v>
      </c>
      <c r="D656" s="2">
        <v>1</v>
      </c>
      <c r="E656" s="2">
        <v>5</v>
      </c>
      <c r="F656" s="2">
        <v>14</v>
      </c>
      <c r="G656" s="2">
        <v>1</v>
      </c>
      <c r="H656" s="2">
        <v>3</v>
      </c>
      <c r="I656" s="3">
        <v>10</v>
      </c>
      <c r="J656" s="2">
        <v>10</v>
      </c>
      <c r="K656" s="2">
        <v>3</v>
      </c>
      <c r="L656" s="2">
        <v>1</v>
      </c>
      <c r="M656" s="2">
        <v>13</v>
      </c>
      <c r="N656" s="2">
        <v>24</v>
      </c>
      <c r="O656" s="2">
        <v>27</v>
      </c>
      <c r="P656" s="3">
        <v>2</v>
      </c>
      <c r="Q656" s="2">
        <v>9</v>
      </c>
      <c r="R656" s="2">
        <v>5</v>
      </c>
      <c r="S656" s="2">
        <v>0</v>
      </c>
      <c r="T656" s="2">
        <v>3</v>
      </c>
      <c r="U656" s="2">
        <v>0</v>
      </c>
      <c r="V656" s="2">
        <f t="shared" si="166"/>
        <v>35</v>
      </c>
      <c r="W656" s="2">
        <v>7</v>
      </c>
      <c r="X656" s="2">
        <v>4</v>
      </c>
      <c r="Y656" s="2">
        <v>0</v>
      </c>
      <c r="Z656" s="2">
        <f t="shared" si="167"/>
        <v>11</v>
      </c>
      <c r="AA656" s="2">
        <f t="shared" si="168"/>
        <v>46</v>
      </c>
      <c r="AB656" s="2">
        <v>2375</v>
      </c>
      <c r="AC656" s="20">
        <f t="shared" si="169"/>
        <v>1.93684210526316</v>
      </c>
      <c r="AD656" s="2" t="s">
        <v>106</v>
      </c>
      <c r="AE656" s="2">
        <v>188</v>
      </c>
      <c r="AF656" s="21">
        <f t="shared" si="170"/>
        <v>1.93684210526316</v>
      </c>
      <c r="AG656" s="4">
        <f t="shared" si="171"/>
        <v>1.47368421052632</v>
      </c>
      <c r="AH656" s="4">
        <f t="shared" si="172"/>
        <v>0.463157894736842</v>
      </c>
    </row>
    <row r="657" spans="1:34">
      <c r="A657" s="2">
        <v>20260313</v>
      </c>
      <c r="B657" s="2" t="s">
        <v>1356</v>
      </c>
      <c r="C657" s="2" t="s">
        <v>1357</v>
      </c>
      <c r="D657" s="2">
        <v>3</v>
      </c>
      <c r="E657" s="2">
        <v>1</v>
      </c>
      <c r="F657" s="2">
        <v>13</v>
      </c>
      <c r="G657" s="2">
        <v>1</v>
      </c>
      <c r="H657" s="2">
        <v>2</v>
      </c>
      <c r="I657" s="3">
        <v>5</v>
      </c>
      <c r="J657" s="2">
        <v>9</v>
      </c>
      <c r="K657" s="2">
        <v>2</v>
      </c>
      <c r="L657" s="2">
        <v>0</v>
      </c>
      <c r="M657" s="2">
        <v>28</v>
      </c>
      <c r="N657" s="2">
        <v>16</v>
      </c>
      <c r="O657" s="2" t="s">
        <v>1358</v>
      </c>
      <c r="P657" s="3">
        <v>6</v>
      </c>
      <c r="Q657" s="2">
        <v>6</v>
      </c>
      <c r="R657" s="2">
        <v>2</v>
      </c>
      <c r="S657" s="2">
        <v>1</v>
      </c>
      <c r="T657" s="2">
        <v>0</v>
      </c>
      <c r="U657" s="2">
        <v>0</v>
      </c>
      <c r="V657" s="2">
        <f t="shared" si="166"/>
        <v>40</v>
      </c>
      <c r="W657" s="2">
        <v>10</v>
      </c>
      <c r="X657" s="2">
        <v>3</v>
      </c>
      <c r="Y657" s="2">
        <v>0</v>
      </c>
      <c r="Z657" s="2">
        <f t="shared" si="167"/>
        <v>13</v>
      </c>
      <c r="AA657" s="2">
        <f t="shared" si="168"/>
        <v>53</v>
      </c>
      <c r="AB657" s="2">
        <v>2126</v>
      </c>
      <c r="AC657" s="20">
        <f t="shared" si="169"/>
        <v>2.49294449670743</v>
      </c>
      <c r="AD657" s="2" t="s">
        <v>106</v>
      </c>
      <c r="AE657" s="2">
        <v>188</v>
      </c>
      <c r="AF657" s="21">
        <f t="shared" si="170"/>
        <v>2.49294449670743</v>
      </c>
      <c r="AG657" s="4">
        <f t="shared" si="171"/>
        <v>1.88146754468485</v>
      </c>
      <c r="AH657" s="4">
        <f t="shared" si="172"/>
        <v>0.611476952022578</v>
      </c>
    </row>
    <row r="658" spans="1:34">
      <c r="A658" s="2">
        <v>20260313</v>
      </c>
      <c r="B658" s="2" t="s">
        <v>1359</v>
      </c>
      <c r="C658" s="2" t="s">
        <v>1360</v>
      </c>
      <c r="D658" s="2">
        <v>1</v>
      </c>
      <c r="E658" s="2">
        <v>5</v>
      </c>
      <c r="F658" s="2">
        <v>12</v>
      </c>
      <c r="G658" s="2">
        <v>4</v>
      </c>
      <c r="H658" s="2">
        <v>1</v>
      </c>
      <c r="I658" s="3">
        <v>9</v>
      </c>
      <c r="J658" s="2">
        <v>18</v>
      </c>
      <c r="K658" s="2">
        <v>1</v>
      </c>
      <c r="L658" s="2">
        <v>0</v>
      </c>
      <c r="M658" s="2">
        <v>29</v>
      </c>
      <c r="N658" s="2">
        <v>24</v>
      </c>
      <c r="O658" s="2">
        <v>22</v>
      </c>
      <c r="P658" s="3">
        <v>5</v>
      </c>
      <c r="Q658" s="2">
        <v>12</v>
      </c>
      <c r="R658" s="2">
        <v>9</v>
      </c>
      <c r="S658" s="2">
        <v>0</v>
      </c>
      <c r="T658" s="2">
        <v>3</v>
      </c>
      <c r="U658" s="2">
        <v>0</v>
      </c>
      <c r="V658" s="2">
        <f t="shared" si="166"/>
        <v>55</v>
      </c>
      <c r="W658" s="2">
        <v>10</v>
      </c>
      <c r="X658" s="2">
        <v>5</v>
      </c>
      <c r="Y658" s="2">
        <v>0</v>
      </c>
      <c r="Z658" s="2">
        <f t="shared" si="167"/>
        <v>15</v>
      </c>
      <c r="AA658" s="2">
        <f t="shared" si="168"/>
        <v>70</v>
      </c>
      <c r="AB658" s="2">
        <v>2126</v>
      </c>
      <c r="AC658" s="20">
        <f t="shared" si="169"/>
        <v>3.29256820319849</v>
      </c>
      <c r="AD658" s="2" t="s">
        <v>106</v>
      </c>
      <c r="AE658" s="2">
        <v>188</v>
      </c>
      <c r="AF658" s="21">
        <f t="shared" si="170"/>
        <v>3.29256820319849</v>
      </c>
      <c r="AG658" s="4">
        <f t="shared" si="171"/>
        <v>2.58701787394167</v>
      </c>
      <c r="AH658" s="4">
        <f t="shared" si="172"/>
        <v>0.70555032925682</v>
      </c>
    </row>
    <row r="659" spans="1:34">
      <c r="A659" s="2">
        <v>20260313</v>
      </c>
      <c r="B659" s="2" t="s">
        <v>1361</v>
      </c>
      <c r="C659" s="2" t="s">
        <v>1362</v>
      </c>
      <c r="D659" s="2">
        <v>1</v>
      </c>
      <c r="E659" s="2">
        <v>3</v>
      </c>
      <c r="F659" s="2">
        <v>10</v>
      </c>
      <c r="G659" s="2">
        <v>2</v>
      </c>
      <c r="H659" s="2">
        <v>6</v>
      </c>
      <c r="I659" s="3">
        <v>18</v>
      </c>
      <c r="J659" s="2">
        <v>21</v>
      </c>
      <c r="K659" s="2">
        <v>2</v>
      </c>
      <c r="L659" s="2">
        <v>0</v>
      </c>
      <c r="M659" s="2">
        <v>46</v>
      </c>
      <c r="N659" s="2">
        <v>32</v>
      </c>
      <c r="O659" s="2">
        <v>12</v>
      </c>
      <c r="P659" s="3">
        <v>5</v>
      </c>
      <c r="Q659" s="2">
        <v>4</v>
      </c>
      <c r="R659" s="2">
        <v>3</v>
      </c>
      <c r="S659" s="2">
        <v>1</v>
      </c>
      <c r="T659" s="2">
        <v>6</v>
      </c>
      <c r="U659" s="2">
        <v>0</v>
      </c>
      <c r="V659" s="2">
        <f t="shared" si="166"/>
        <v>93</v>
      </c>
      <c r="W659" s="2">
        <v>4</v>
      </c>
      <c r="X659" s="2">
        <v>7</v>
      </c>
      <c r="Y659" s="2">
        <v>2</v>
      </c>
      <c r="Z659" s="2">
        <f t="shared" si="167"/>
        <v>13</v>
      </c>
      <c r="AA659" s="2">
        <f t="shared" si="168"/>
        <v>106</v>
      </c>
      <c r="AB659" s="2">
        <v>2126</v>
      </c>
      <c r="AC659" s="20">
        <f t="shared" si="169"/>
        <v>4.98588899341486</v>
      </c>
      <c r="AD659" s="2" t="s">
        <v>106</v>
      </c>
      <c r="AE659" s="2">
        <v>188</v>
      </c>
      <c r="AF659" s="21">
        <f t="shared" si="170"/>
        <v>4.98588899341486</v>
      </c>
      <c r="AG659" s="4">
        <f t="shared" si="171"/>
        <v>4.37441204139229</v>
      </c>
      <c r="AH659" s="4">
        <f t="shared" si="172"/>
        <v>0.611476952022578</v>
      </c>
    </row>
    <row r="660" spans="1:34">
      <c r="A660" s="2">
        <v>20260313</v>
      </c>
      <c r="B660" s="2" t="s">
        <v>1363</v>
      </c>
      <c r="C660" s="2" t="s">
        <v>1364</v>
      </c>
      <c r="D660" s="2">
        <v>6</v>
      </c>
      <c r="E660" s="2">
        <v>3</v>
      </c>
      <c r="F660" s="2">
        <v>10</v>
      </c>
      <c r="G660" s="2">
        <v>5</v>
      </c>
      <c r="H660" s="2">
        <v>5</v>
      </c>
      <c r="I660" s="3">
        <v>5</v>
      </c>
      <c r="J660" s="2">
        <v>12</v>
      </c>
      <c r="K660" s="2">
        <v>1</v>
      </c>
      <c r="L660" s="2">
        <v>0</v>
      </c>
      <c r="M660" s="2">
        <v>35</v>
      </c>
      <c r="N660" s="2">
        <v>13</v>
      </c>
      <c r="O660" s="2">
        <v>31</v>
      </c>
      <c r="P660" s="3">
        <v>4</v>
      </c>
      <c r="Q660" s="2">
        <v>6</v>
      </c>
      <c r="R660" s="2">
        <v>3</v>
      </c>
      <c r="S660" s="2">
        <v>5</v>
      </c>
      <c r="T660" s="2">
        <v>7</v>
      </c>
      <c r="U660" s="2">
        <v>0</v>
      </c>
      <c r="V660" s="2">
        <f t="shared" si="166"/>
        <v>74</v>
      </c>
      <c r="W660" s="2">
        <v>0</v>
      </c>
      <c r="X660" s="2">
        <v>0</v>
      </c>
      <c r="Y660" s="2">
        <v>0</v>
      </c>
      <c r="Z660" s="2">
        <f t="shared" si="167"/>
        <v>0</v>
      </c>
      <c r="AA660" s="2">
        <f t="shared" si="168"/>
        <v>74</v>
      </c>
      <c r="AB660" s="2">
        <v>2125</v>
      </c>
      <c r="AC660" s="20">
        <f t="shared" si="169"/>
        <v>3.48235294117647</v>
      </c>
      <c r="AD660" s="2" t="s">
        <v>106</v>
      </c>
      <c r="AE660" s="2">
        <v>188</v>
      </c>
      <c r="AF660" s="21">
        <f t="shared" si="170"/>
        <v>3.48235294117647</v>
      </c>
      <c r="AG660" s="4">
        <f t="shared" si="171"/>
        <v>3.48235294117647</v>
      </c>
      <c r="AH660" s="4">
        <f t="shared" si="172"/>
        <v>0</v>
      </c>
    </row>
    <row r="661" spans="1:34">
      <c r="A661" s="2">
        <v>20260313</v>
      </c>
      <c r="B661" s="2" t="s">
        <v>1365</v>
      </c>
      <c r="C661" s="2" t="s">
        <v>1366</v>
      </c>
      <c r="D661" s="2">
        <v>9</v>
      </c>
      <c r="E661" s="2">
        <v>22</v>
      </c>
      <c r="F661" s="2">
        <v>27</v>
      </c>
      <c r="G661" s="2">
        <v>16</v>
      </c>
      <c r="H661" s="2">
        <v>29</v>
      </c>
      <c r="I661" s="3">
        <v>40</v>
      </c>
      <c r="J661" s="2">
        <v>52</v>
      </c>
      <c r="K661" s="2">
        <v>10</v>
      </c>
      <c r="L661" s="2">
        <v>2</v>
      </c>
      <c r="M661" s="2">
        <v>25</v>
      </c>
      <c r="N661" s="2">
        <v>27</v>
      </c>
      <c r="O661" s="2">
        <v>40</v>
      </c>
      <c r="P661" s="3">
        <v>28</v>
      </c>
      <c r="Q661" s="2">
        <v>15</v>
      </c>
      <c r="R661" s="2">
        <v>75</v>
      </c>
      <c r="S661" s="2">
        <v>8</v>
      </c>
      <c r="T661" s="2">
        <v>8</v>
      </c>
      <c r="U661" s="2">
        <v>0</v>
      </c>
      <c r="V661" s="2">
        <f t="shared" si="166"/>
        <v>203</v>
      </c>
      <c r="W661" s="2">
        <v>5</v>
      </c>
      <c r="X661" s="2">
        <v>2</v>
      </c>
      <c r="Y661" s="2">
        <v>0</v>
      </c>
      <c r="Z661" s="2">
        <f t="shared" si="167"/>
        <v>7</v>
      </c>
      <c r="AA661" s="2">
        <f t="shared" si="168"/>
        <v>210</v>
      </c>
      <c r="AB661" s="2">
        <v>2435</v>
      </c>
      <c r="AC661" s="20">
        <f t="shared" si="169"/>
        <v>8.62422997946612</v>
      </c>
      <c r="AD661" s="2" t="s">
        <v>106</v>
      </c>
      <c r="AE661" s="2">
        <v>188</v>
      </c>
      <c r="AF661" s="21">
        <f t="shared" si="170"/>
        <v>8.62422997946612</v>
      </c>
      <c r="AG661" s="4">
        <f t="shared" si="171"/>
        <v>8.33675564681725</v>
      </c>
      <c r="AH661" s="4">
        <f t="shared" si="172"/>
        <v>0.287474332648871</v>
      </c>
    </row>
    <row r="662" spans="1:34">
      <c r="A662" s="2">
        <v>20260313</v>
      </c>
      <c r="B662" s="2" t="s">
        <v>1367</v>
      </c>
      <c r="C662" s="2" t="s">
        <v>1368</v>
      </c>
      <c r="D662" s="2">
        <v>3</v>
      </c>
      <c r="E662" s="2">
        <v>12</v>
      </c>
      <c r="F662" s="2">
        <v>7</v>
      </c>
      <c r="G662" s="2">
        <v>7</v>
      </c>
      <c r="H662" s="2">
        <v>0</v>
      </c>
      <c r="I662" s="3">
        <v>11</v>
      </c>
      <c r="J662" s="2">
        <v>12</v>
      </c>
      <c r="K662" s="2">
        <v>0</v>
      </c>
      <c r="L662" s="2">
        <v>0</v>
      </c>
      <c r="M662" s="2">
        <v>4</v>
      </c>
      <c r="N662" s="2">
        <v>26</v>
      </c>
      <c r="O662" s="2">
        <v>16</v>
      </c>
      <c r="P662" s="3">
        <v>1</v>
      </c>
      <c r="Q662" s="2">
        <v>4</v>
      </c>
      <c r="R662" s="2">
        <v>18</v>
      </c>
      <c r="S662" s="2">
        <v>1</v>
      </c>
      <c r="T662" s="2">
        <v>5</v>
      </c>
      <c r="U662" s="2">
        <v>0</v>
      </c>
      <c r="V662" s="2">
        <f t="shared" si="166"/>
        <v>38</v>
      </c>
      <c r="W662" s="2">
        <v>2</v>
      </c>
      <c r="X662" s="2">
        <v>0</v>
      </c>
      <c r="Y662" s="2">
        <v>0</v>
      </c>
      <c r="Z662" s="2">
        <f t="shared" si="167"/>
        <v>2</v>
      </c>
      <c r="AA662" s="2">
        <f t="shared" si="168"/>
        <v>40</v>
      </c>
      <c r="AB662" s="2">
        <v>2125</v>
      </c>
      <c r="AC662" s="20">
        <f t="shared" si="169"/>
        <v>1.88235294117647</v>
      </c>
      <c r="AD662" s="2" t="s">
        <v>106</v>
      </c>
      <c r="AE662" s="2">
        <v>188</v>
      </c>
      <c r="AF662" s="21">
        <f t="shared" si="170"/>
        <v>1.88235294117647</v>
      </c>
      <c r="AG662" s="4">
        <f t="shared" si="171"/>
        <v>1.78823529411765</v>
      </c>
      <c r="AH662" s="4">
        <f t="shared" si="172"/>
        <v>0.0941176470588235</v>
      </c>
    </row>
    <row r="663" spans="1:34">
      <c r="A663" s="2">
        <v>20260313</v>
      </c>
      <c r="B663" s="2" t="s">
        <v>1369</v>
      </c>
      <c r="C663" s="2" t="s">
        <v>1370</v>
      </c>
      <c r="D663" s="2">
        <v>2</v>
      </c>
      <c r="E663" s="2">
        <v>1</v>
      </c>
      <c r="F663" s="2">
        <v>10</v>
      </c>
      <c r="G663" s="2">
        <v>2</v>
      </c>
      <c r="H663" s="2">
        <v>1</v>
      </c>
      <c r="I663" s="3">
        <v>10</v>
      </c>
      <c r="J663" s="2">
        <v>14</v>
      </c>
      <c r="K663" s="2">
        <v>3</v>
      </c>
      <c r="L663" s="2">
        <v>0</v>
      </c>
      <c r="M663" s="2">
        <v>13</v>
      </c>
      <c r="N663" s="2">
        <v>14</v>
      </c>
      <c r="O663" s="2">
        <v>13</v>
      </c>
      <c r="P663" s="3">
        <v>5</v>
      </c>
      <c r="Q663" s="2">
        <v>3</v>
      </c>
      <c r="R663" s="2">
        <v>1</v>
      </c>
      <c r="S663" s="2">
        <v>0</v>
      </c>
      <c r="T663" s="2">
        <v>0</v>
      </c>
      <c r="U663" s="2">
        <v>0</v>
      </c>
      <c r="V663" s="2">
        <f t="shared" si="166"/>
        <v>44</v>
      </c>
      <c r="W663" s="2">
        <v>4</v>
      </c>
      <c r="X663" s="2">
        <v>0</v>
      </c>
      <c r="Y663" s="2">
        <v>0</v>
      </c>
      <c r="Z663" s="2">
        <f t="shared" si="167"/>
        <v>4</v>
      </c>
      <c r="AA663" s="2">
        <f t="shared" si="168"/>
        <v>48</v>
      </c>
      <c r="AB663" s="2">
        <v>2125</v>
      </c>
      <c r="AC663" s="20">
        <f t="shared" si="169"/>
        <v>2.25882352941176</v>
      </c>
      <c r="AD663" s="2" t="s">
        <v>106</v>
      </c>
      <c r="AE663" s="2">
        <v>188</v>
      </c>
      <c r="AF663" s="21">
        <f t="shared" si="170"/>
        <v>2.25882352941176</v>
      </c>
      <c r="AG663" s="4">
        <f t="shared" si="171"/>
        <v>2.07058823529412</v>
      </c>
      <c r="AH663" s="4">
        <f t="shared" si="172"/>
        <v>0.188235294117647</v>
      </c>
    </row>
    <row r="664" spans="1:34">
      <c r="A664" s="2">
        <v>20260313</v>
      </c>
      <c r="B664" s="2" t="s">
        <v>1371</v>
      </c>
      <c r="C664" s="2" t="s">
        <v>1372</v>
      </c>
      <c r="D664" s="2">
        <v>4</v>
      </c>
      <c r="E664" s="2">
        <v>59</v>
      </c>
      <c r="F664" s="2">
        <v>27</v>
      </c>
      <c r="G664" s="2">
        <v>40</v>
      </c>
      <c r="H664" s="2">
        <v>67</v>
      </c>
      <c r="I664" s="3">
        <v>70</v>
      </c>
      <c r="J664" s="2">
        <v>25</v>
      </c>
      <c r="K664" s="2">
        <v>11</v>
      </c>
      <c r="L664" s="2">
        <v>14</v>
      </c>
      <c r="M664" s="2">
        <v>50</v>
      </c>
      <c r="N664" s="2">
        <v>49</v>
      </c>
      <c r="O664" s="2">
        <v>50</v>
      </c>
      <c r="P664" s="3">
        <v>37</v>
      </c>
      <c r="Q664" s="2">
        <v>16</v>
      </c>
      <c r="R664" s="2">
        <v>550</v>
      </c>
      <c r="S664" s="2">
        <v>19</v>
      </c>
      <c r="T664" s="2">
        <v>28</v>
      </c>
      <c r="U664" s="2">
        <v>9</v>
      </c>
      <c r="V664" s="2">
        <f t="shared" si="166"/>
        <v>338</v>
      </c>
      <c r="W664" s="2">
        <v>4</v>
      </c>
      <c r="X664" s="2">
        <v>0</v>
      </c>
      <c r="Y664" s="2">
        <v>0</v>
      </c>
      <c r="Z664" s="2">
        <f t="shared" si="167"/>
        <v>13</v>
      </c>
      <c r="AA664" s="2">
        <f t="shared" si="168"/>
        <v>351</v>
      </c>
      <c r="AB664" s="2">
        <v>2175</v>
      </c>
      <c r="AC664" s="20">
        <f t="shared" si="169"/>
        <v>16.1379310344828</v>
      </c>
      <c r="AD664" s="2" t="s">
        <v>106</v>
      </c>
      <c r="AE664" s="2">
        <v>188</v>
      </c>
      <c r="AF664" s="21">
        <f t="shared" si="170"/>
        <v>16.1379310344828</v>
      </c>
      <c r="AG664" s="4">
        <f t="shared" si="171"/>
        <v>15.5402298850575</v>
      </c>
      <c r="AH664" s="4">
        <f t="shared" si="172"/>
        <v>0.597701149425287</v>
      </c>
    </row>
    <row r="665" spans="1:34">
      <c r="A665" s="2">
        <v>20260313</v>
      </c>
      <c r="B665" s="2" t="s">
        <v>1373</v>
      </c>
      <c r="C665" s="2" t="s">
        <v>1374</v>
      </c>
      <c r="D665" s="2">
        <v>6</v>
      </c>
      <c r="E665" s="2">
        <v>4</v>
      </c>
      <c r="F665" s="2">
        <v>8</v>
      </c>
      <c r="G665" s="2">
        <v>1</v>
      </c>
      <c r="H665" s="2">
        <v>6</v>
      </c>
      <c r="I665" s="3">
        <v>8</v>
      </c>
      <c r="J665" s="2">
        <v>16</v>
      </c>
      <c r="K665" s="2">
        <v>0</v>
      </c>
      <c r="L665" s="2">
        <v>0</v>
      </c>
      <c r="M665" s="2">
        <v>3</v>
      </c>
      <c r="N665" s="2">
        <v>6</v>
      </c>
      <c r="O665" s="2">
        <v>24</v>
      </c>
      <c r="P665" s="3">
        <v>5</v>
      </c>
      <c r="Q665" s="2">
        <v>6</v>
      </c>
      <c r="R665" s="2">
        <v>9</v>
      </c>
      <c r="S665" s="2">
        <v>3</v>
      </c>
      <c r="T665" s="2">
        <v>2</v>
      </c>
      <c r="U665" s="2">
        <v>0</v>
      </c>
      <c r="V665" s="2">
        <f t="shared" si="166"/>
        <v>25</v>
      </c>
      <c r="W665" s="2">
        <v>16</v>
      </c>
      <c r="X665" s="2">
        <v>0</v>
      </c>
      <c r="Y665" s="2">
        <v>0</v>
      </c>
      <c r="Z665" s="2">
        <f t="shared" si="167"/>
        <v>16</v>
      </c>
      <c r="AA665" s="2">
        <f t="shared" si="168"/>
        <v>41</v>
      </c>
      <c r="AB665" s="2">
        <v>2125</v>
      </c>
      <c r="AC665" s="20">
        <f t="shared" si="169"/>
        <v>1.92941176470588</v>
      </c>
      <c r="AD665" s="2" t="s">
        <v>106</v>
      </c>
      <c r="AE665" s="2">
        <v>188</v>
      </c>
      <c r="AF665" s="21">
        <f t="shared" si="170"/>
        <v>1.92941176470588</v>
      </c>
      <c r="AG665" s="4">
        <f t="shared" si="171"/>
        <v>1.17647058823529</v>
      </c>
      <c r="AH665" s="4">
        <f t="shared" si="172"/>
        <v>0.752941176470588</v>
      </c>
    </row>
    <row r="666" spans="1:34">
      <c r="A666" s="2">
        <v>20260313</v>
      </c>
      <c r="B666" s="2" t="s">
        <v>1375</v>
      </c>
      <c r="C666" s="2" t="s">
        <v>1376</v>
      </c>
      <c r="D666" s="2">
        <v>146</v>
      </c>
      <c r="E666" s="2">
        <v>194</v>
      </c>
      <c r="F666" s="2">
        <v>19</v>
      </c>
      <c r="G666" s="2">
        <v>3</v>
      </c>
      <c r="H666" s="2">
        <v>1</v>
      </c>
      <c r="I666" s="3">
        <v>103</v>
      </c>
      <c r="J666" s="2">
        <v>54</v>
      </c>
      <c r="K666" s="2">
        <v>5</v>
      </c>
      <c r="L666" s="2">
        <v>0</v>
      </c>
      <c r="M666" s="2">
        <v>3</v>
      </c>
      <c r="N666" s="2">
        <v>20</v>
      </c>
      <c r="O666" s="2">
        <v>160</v>
      </c>
      <c r="P666" s="3">
        <v>8</v>
      </c>
      <c r="Q666" s="2">
        <v>12</v>
      </c>
      <c r="R666" s="2">
        <v>27</v>
      </c>
      <c r="S666" s="2">
        <v>2</v>
      </c>
      <c r="T666" s="2">
        <v>4</v>
      </c>
      <c r="U666" s="2">
        <v>0</v>
      </c>
      <c r="V666" s="2">
        <f t="shared" si="166"/>
        <v>174</v>
      </c>
      <c r="W666" s="2">
        <v>7</v>
      </c>
      <c r="X666" s="2">
        <v>0</v>
      </c>
      <c r="Y666" s="2">
        <v>0</v>
      </c>
      <c r="Z666" s="2">
        <f t="shared" si="167"/>
        <v>7</v>
      </c>
      <c r="AA666" s="2">
        <f t="shared" si="168"/>
        <v>181</v>
      </c>
      <c r="AB666" s="2">
        <v>2125</v>
      </c>
      <c r="AC666" s="20">
        <f t="shared" si="169"/>
        <v>8.51764705882353</v>
      </c>
      <c r="AD666" s="2" t="s">
        <v>106</v>
      </c>
      <c r="AE666" s="2">
        <v>188</v>
      </c>
      <c r="AF666" s="21">
        <f t="shared" si="170"/>
        <v>8.51764705882353</v>
      </c>
      <c r="AG666" s="4">
        <f t="shared" si="171"/>
        <v>8.18823529411765</v>
      </c>
      <c r="AH666" s="4">
        <f t="shared" si="172"/>
        <v>0.329411764705882</v>
      </c>
    </row>
    <row r="667" spans="1:34">
      <c r="A667" s="2">
        <v>20260313</v>
      </c>
      <c r="B667" s="2" t="s">
        <v>1377</v>
      </c>
      <c r="C667" s="2" t="s">
        <v>1378</v>
      </c>
      <c r="D667" s="2">
        <v>63</v>
      </c>
      <c r="E667" s="2">
        <v>14</v>
      </c>
      <c r="F667" s="2">
        <v>10</v>
      </c>
      <c r="G667" s="2">
        <v>1</v>
      </c>
      <c r="H667" s="2">
        <v>5</v>
      </c>
      <c r="I667" s="3">
        <v>32</v>
      </c>
      <c r="J667" s="2">
        <v>21</v>
      </c>
      <c r="K667" s="2">
        <v>1</v>
      </c>
      <c r="L667" s="2">
        <v>0</v>
      </c>
      <c r="M667" s="2">
        <v>1</v>
      </c>
      <c r="N667" s="2">
        <v>7</v>
      </c>
      <c r="O667" s="2">
        <v>59</v>
      </c>
      <c r="P667" s="3">
        <v>4</v>
      </c>
      <c r="Q667" s="2">
        <v>3</v>
      </c>
      <c r="R667" s="2">
        <v>29</v>
      </c>
      <c r="S667" s="2">
        <v>0</v>
      </c>
      <c r="T667" s="2">
        <v>0</v>
      </c>
      <c r="U667" s="2">
        <v>0</v>
      </c>
      <c r="V667" s="2">
        <f t="shared" si="166"/>
        <v>63</v>
      </c>
      <c r="W667" s="2">
        <v>2</v>
      </c>
      <c r="X667" s="2">
        <v>0</v>
      </c>
      <c r="Y667" s="2">
        <v>0</v>
      </c>
      <c r="Z667" s="2">
        <f t="shared" si="167"/>
        <v>2</v>
      </c>
      <c r="AA667" s="2">
        <f t="shared" si="168"/>
        <v>65</v>
      </c>
      <c r="AB667" s="2">
        <v>2125</v>
      </c>
      <c r="AC667" s="20">
        <f t="shared" si="169"/>
        <v>3.05882352941176</v>
      </c>
      <c r="AD667" s="2" t="s">
        <v>106</v>
      </c>
      <c r="AE667" s="2">
        <v>188</v>
      </c>
      <c r="AF667" s="21">
        <f t="shared" si="170"/>
        <v>3.05882352941176</v>
      </c>
      <c r="AG667" s="4">
        <f t="shared" si="171"/>
        <v>2.96470588235294</v>
      </c>
      <c r="AH667" s="4">
        <f t="shared" si="172"/>
        <v>0.0941176470588235</v>
      </c>
    </row>
    <row r="668" spans="1:34">
      <c r="A668" s="2">
        <v>20260313</v>
      </c>
      <c r="B668" s="2" t="s">
        <v>865</v>
      </c>
      <c r="C668" s="2" t="s">
        <v>1379</v>
      </c>
      <c r="D668" s="2">
        <v>10</v>
      </c>
      <c r="E668" s="2">
        <v>1</v>
      </c>
      <c r="F668" s="2">
        <v>18</v>
      </c>
      <c r="G668" s="2">
        <v>2</v>
      </c>
      <c r="H668" s="2">
        <v>5</v>
      </c>
      <c r="I668" s="3">
        <v>12</v>
      </c>
      <c r="J668" s="2">
        <v>19</v>
      </c>
      <c r="K668" s="2">
        <v>2</v>
      </c>
      <c r="L668" s="2">
        <v>1</v>
      </c>
      <c r="M668" s="2">
        <v>1</v>
      </c>
      <c r="N668" s="2">
        <v>17</v>
      </c>
      <c r="O668" s="2">
        <v>17</v>
      </c>
      <c r="P668" s="3">
        <v>2</v>
      </c>
      <c r="Q668" s="2">
        <v>2</v>
      </c>
      <c r="R668" s="2">
        <v>28</v>
      </c>
      <c r="S668" s="2">
        <v>2</v>
      </c>
      <c r="T668" s="2">
        <v>2</v>
      </c>
      <c r="U668" s="2">
        <v>2</v>
      </c>
      <c r="V668" s="2">
        <f t="shared" si="166"/>
        <v>42</v>
      </c>
      <c r="W668" s="2">
        <v>4</v>
      </c>
      <c r="X668" s="2">
        <v>0</v>
      </c>
      <c r="Y668" s="2">
        <v>0</v>
      </c>
      <c r="Z668" s="2">
        <f t="shared" si="167"/>
        <v>6</v>
      </c>
      <c r="AA668" s="2">
        <f t="shared" si="168"/>
        <v>48</v>
      </c>
      <c r="AB668" s="2">
        <v>2125</v>
      </c>
      <c r="AC668" s="20">
        <f t="shared" si="169"/>
        <v>2.25882352941176</v>
      </c>
      <c r="AD668" s="2" t="s">
        <v>106</v>
      </c>
      <c r="AE668" s="2">
        <v>188</v>
      </c>
      <c r="AF668" s="21">
        <f t="shared" si="170"/>
        <v>2.25882352941176</v>
      </c>
      <c r="AG668" s="4">
        <f t="shared" si="171"/>
        <v>1.97647058823529</v>
      </c>
      <c r="AH668" s="4">
        <f t="shared" si="172"/>
        <v>0.282352941176471</v>
      </c>
    </row>
    <row r="669" spans="1:34">
      <c r="A669" s="2">
        <v>20260313</v>
      </c>
      <c r="B669" s="2" t="s">
        <v>1380</v>
      </c>
      <c r="C669" s="2" t="s">
        <v>1381</v>
      </c>
      <c r="D669" s="2">
        <v>3</v>
      </c>
      <c r="E669" s="2">
        <v>4</v>
      </c>
      <c r="F669" s="2">
        <v>11</v>
      </c>
      <c r="G669" s="2">
        <v>1</v>
      </c>
      <c r="H669" s="2">
        <v>2</v>
      </c>
      <c r="I669" s="3">
        <v>27</v>
      </c>
      <c r="J669" s="2">
        <v>25</v>
      </c>
      <c r="K669" s="2">
        <v>1</v>
      </c>
      <c r="L669" s="2">
        <v>0</v>
      </c>
      <c r="M669" s="2">
        <v>8</v>
      </c>
      <c r="N669" s="2">
        <v>26</v>
      </c>
      <c r="O669" s="2">
        <v>22</v>
      </c>
      <c r="P669" s="3">
        <v>2</v>
      </c>
      <c r="Q669" s="2">
        <v>12</v>
      </c>
      <c r="R669" s="2">
        <v>15</v>
      </c>
      <c r="S669" s="2">
        <v>2</v>
      </c>
      <c r="T669" s="2">
        <v>3</v>
      </c>
      <c r="U669" s="2">
        <v>1</v>
      </c>
      <c r="V669" s="2">
        <f t="shared" si="166"/>
        <v>65</v>
      </c>
      <c r="W669" s="2">
        <v>4</v>
      </c>
      <c r="X669" s="2">
        <v>0</v>
      </c>
      <c r="Y669" s="2">
        <v>0</v>
      </c>
      <c r="Z669" s="2">
        <f t="shared" si="167"/>
        <v>5</v>
      </c>
      <c r="AA669" s="2">
        <f t="shared" si="168"/>
        <v>70</v>
      </c>
      <c r="AB669" s="2">
        <v>2325</v>
      </c>
      <c r="AC669" s="20">
        <f t="shared" si="169"/>
        <v>3.01075268817204</v>
      </c>
      <c r="AD669" s="2" t="s">
        <v>106</v>
      </c>
      <c r="AE669" s="2">
        <v>188</v>
      </c>
      <c r="AF669" s="21">
        <f t="shared" si="170"/>
        <v>3.01075268817204</v>
      </c>
      <c r="AG669" s="4">
        <f t="shared" si="171"/>
        <v>2.79569892473118</v>
      </c>
      <c r="AH669" s="4">
        <f t="shared" si="172"/>
        <v>0.21505376344086</v>
      </c>
    </row>
    <row r="670" spans="1:34">
      <c r="A670" s="2">
        <v>20260313</v>
      </c>
      <c r="B670" s="2" t="s">
        <v>1382</v>
      </c>
      <c r="C670" s="2" t="s">
        <v>1383</v>
      </c>
      <c r="D670" s="2">
        <v>0</v>
      </c>
      <c r="E670" s="2">
        <v>2</v>
      </c>
      <c r="F670" s="2">
        <v>11</v>
      </c>
      <c r="G670" s="2">
        <v>1</v>
      </c>
      <c r="H670" s="2">
        <v>3</v>
      </c>
      <c r="I670" s="3">
        <v>8</v>
      </c>
      <c r="J670" s="2">
        <v>7</v>
      </c>
      <c r="K670" s="2">
        <v>1</v>
      </c>
      <c r="L670" s="2">
        <v>0</v>
      </c>
      <c r="M670" s="2">
        <v>3</v>
      </c>
      <c r="N670" s="2">
        <v>25</v>
      </c>
      <c r="O670" s="2">
        <v>17</v>
      </c>
      <c r="P670" s="2">
        <v>5</v>
      </c>
      <c r="Q670" s="3">
        <v>10</v>
      </c>
      <c r="R670" s="2">
        <v>11</v>
      </c>
      <c r="S670" s="2">
        <v>0</v>
      </c>
      <c r="T670" s="2">
        <v>3</v>
      </c>
      <c r="U670" s="2">
        <v>1</v>
      </c>
      <c r="V670" s="2">
        <f t="shared" si="166"/>
        <v>15</v>
      </c>
      <c r="W670" s="2">
        <v>9</v>
      </c>
      <c r="X670" s="2">
        <v>7</v>
      </c>
      <c r="Y670" s="2">
        <v>0</v>
      </c>
      <c r="Z670" s="2">
        <f t="shared" si="167"/>
        <v>17</v>
      </c>
      <c r="AA670" s="2">
        <f t="shared" si="168"/>
        <v>32</v>
      </c>
      <c r="AB670" s="2">
        <v>2126</v>
      </c>
      <c r="AC670" s="20">
        <f t="shared" si="169"/>
        <v>1.50517403574788</v>
      </c>
      <c r="AD670" s="2" t="s">
        <v>106</v>
      </c>
      <c r="AE670" s="2">
        <v>188</v>
      </c>
      <c r="AF670" s="21">
        <f t="shared" si="170"/>
        <v>1.50517403574788</v>
      </c>
      <c r="AG670" s="4">
        <f t="shared" si="171"/>
        <v>0.70555032925682</v>
      </c>
      <c r="AH670" s="4">
        <f t="shared" si="172"/>
        <v>0.799623706491063</v>
      </c>
    </row>
    <row r="671" spans="1:34">
      <c r="A671" s="2">
        <v>20260313</v>
      </c>
      <c r="B671" s="2" t="s">
        <v>1384</v>
      </c>
      <c r="C671" s="2" t="s">
        <v>1385</v>
      </c>
      <c r="D671" s="2">
        <v>9</v>
      </c>
      <c r="E671" s="2">
        <v>27</v>
      </c>
      <c r="F671" s="2">
        <v>54</v>
      </c>
      <c r="G671" s="2">
        <v>19</v>
      </c>
      <c r="H671" s="2">
        <v>20</v>
      </c>
      <c r="I671" s="2">
        <v>8</v>
      </c>
      <c r="J671" s="3">
        <v>30</v>
      </c>
      <c r="K671" s="2">
        <v>28</v>
      </c>
      <c r="L671" s="2">
        <v>20</v>
      </c>
      <c r="M671" s="2">
        <v>3</v>
      </c>
      <c r="N671" s="2">
        <v>23</v>
      </c>
      <c r="O671" s="2">
        <v>93</v>
      </c>
      <c r="P671" s="2">
        <v>16</v>
      </c>
      <c r="Q671" s="3">
        <v>15</v>
      </c>
      <c r="R671" s="2">
        <v>35</v>
      </c>
      <c r="S671" s="2">
        <v>4</v>
      </c>
      <c r="T671" s="2">
        <v>31</v>
      </c>
      <c r="U671" s="2">
        <v>5</v>
      </c>
      <c r="V671" s="2">
        <f t="shared" si="166"/>
        <v>159</v>
      </c>
      <c r="W671" s="2">
        <v>16</v>
      </c>
      <c r="X671" s="2">
        <v>0</v>
      </c>
      <c r="Y671" s="2">
        <v>0</v>
      </c>
      <c r="Z671" s="2">
        <f t="shared" si="167"/>
        <v>21</v>
      </c>
      <c r="AA671" s="2">
        <f t="shared" si="168"/>
        <v>180</v>
      </c>
      <c r="AB671" s="2">
        <v>237</v>
      </c>
      <c r="AC671" s="20">
        <f t="shared" si="169"/>
        <v>75.9493670886076</v>
      </c>
      <c r="AD671" s="2" t="s">
        <v>106</v>
      </c>
      <c r="AE671" s="2">
        <v>188</v>
      </c>
      <c r="AF671" s="21">
        <f t="shared" si="170"/>
        <v>75.9493670886076</v>
      </c>
      <c r="AG671" s="4">
        <f t="shared" si="171"/>
        <v>67.0886075949367</v>
      </c>
      <c r="AH671" s="4">
        <f t="shared" si="172"/>
        <v>8.86075949367089</v>
      </c>
    </row>
    <row r="672" spans="1:34">
      <c r="A672" s="2">
        <v>20260313</v>
      </c>
      <c r="B672" s="2" t="s">
        <v>1386</v>
      </c>
      <c r="C672" s="2" t="s">
        <v>1387</v>
      </c>
      <c r="D672" s="2">
        <v>8</v>
      </c>
      <c r="E672" s="2">
        <v>86</v>
      </c>
      <c r="F672" s="2">
        <v>37</v>
      </c>
      <c r="G672" s="2">
        <v>5</v>
      </c>
      <c r="H672" s="2">
        <v>15</v>
      </c>
      <c r="I672" s="3">
        <v>28</v>
      </c>
      <c r="J672" s="2">
        <v>33</v>
      </c>
      <c r="K672" s="2">
        <v>10</v>
      </c>
      <c r="L672" s="2">
        <v>0</v>
      </c>
      <c r="M672" s="2">
        <v>5</v>
      </c>
      <c r="N672" s="2">
        <v>16</v>
      </c>
      <c r="O672" s="2">
        <v>30</v>
      </c>
      <c r="P672" s="3">
        <v>10</v>
      </c>
      <c r="Q672" s="2">
        <v>18</v>
      </c>
      <c r="R672" s="2">
        <v>62</v>
      </c>
      <c r="S672" s="2">
        <v>6</v>
      </c>
      <c r="T672" s="2">
        <v>5</v>
      </c>
      <c r="U672" s="2">
        <v>0</v>
      </c>
      <c r="V672" s="2">
        <f t="shared" si="166"/>
        <v>97</v>
      </c>
      <c r="W672" s="2">
        <v>10</v>
      </c>
      <c r="X672" s="2">
        <v>4</v>
      </c>
      <c r="Y672" s="2">
        <v>0</v>
      </c>
      <c r="Z672" s="2">
        <f t="shared" si="167"/>
        <v>14</v>
      </c>
      <c r="AA672" s="2">
        <f t="shared" si="168"/>
        <v>111</v>
      </c>
      <c r="AB672" s="2">
        <v>3443</v>
      </c>
      <c r="AC672" s="20">
        <f t="shared" si="169"/>
        <v>3.22393261690386</v>
      </c>
      <c r="AD672" s="2" t="s">
        <v>106</v>
      </c>
      <c r="AE672" s="2">
        <v>188</v>
      </c>
      <c r="AF672" s="21">
        <f t="shared" si="170"/>
        <v>3.22393261690386</v>
      </c>
      <c r="AG672" s="4">
        <f t="shared" si="171"/>
        <v>2.81731048504211</v>
      </c>
      <c r="AH672" s="4">
        <f t="shared" si="172"/>
        <v>0.406622131861749</v>
      </c>
    </row>
    <row r="673" spans="1:34">
      <c r="A673" s="2">
        <v>20260314</v>
      </c>
      <c r="B673" s="2" t="s">
        <v>1388</v>
      </c>
      <c r="C673" s="2" t="s">
        <v>1389</v>
      </c>
      <c r="D673" s="2">
        <v>7</v>
      </c>
      <c r="E673" s="2">
        <v>1</v>
      </c>
      <c r="F673" s="2">
        <v>13</v>
      </c>
      <c r="G673" s="2">
        <v>2</v>
      </c>
      <c r="H673" s="2">
        <v>7</v>
      </c>
      <c r="I673" s="3">
        <v>20</v>
      </c>
      <c r="J673" s="2">
        <v>13</v>
      </c>
      <c r="K673" s="2">
        <v>4</v>
      </c>
      <c r="L673" s="2">
        <v>1</v>
      </c>
      <c r="M673" s="2">
        <v>13</v>
      </c>
      <c r="N673" s="2">
        <v>10</v>
      </c>
      <c r="O673" s="2">
        <v>19</v>
      </c>
      <c r="P673" s="3">
        <v>18</v>
      </c>
      <c r="Q673" s="2">
        <v>2</v>
      </c>
      <c r="R673" s="2">
        <v>3</v>
      </c>
      <c r="S673" s="2">
        <v>5</v>
      </c>
      <c r="T673" s="2">
        <v>0</v>
      </c>
      <c r="U673" s="2">
        <v>1</v>
      </c>
      <c r="V673" s="2">
        <f t="shared" si="166"/>
        <v>48</v>
      </c>
      <c r="W673" s="2">
        <v>15</v>
      </c>
      <c r="X673" s="2">
        <v>15</v>
      </c>
      <c r="Y673" s="2">
        <v>0</v>
      </c>
      <c r="Z673" s="2">
        <f t="shared" si="167"/>
        <v>31</v>
      </c>
      <c r="AA673" s="2">
        <f t="shared" si="168"/>
        <v>79</v>
      </c>
      <c r="AB673" s="2">
        <v>2126</v>
      </c>
      <c r="AC673" s="20">
        <f t="shared" si="169"/>
        <v>3.71589840075259</v>
      </c>
      <c r="AD673" s="2" t="s">
        <v>106</v>
      </c>
      <c r="AE673" s="2">
        <v>188</v>
      </c>
      <c r="AF673" s="21">
        <f t="shared" si="170"/>
        <v>3.71589840075259</v>
      </c>
      <c r="AG673" s="4">
        <f t="shared" si="171"/>
        <v>2.25776105362182</v>
      </c>
      <c r="AH673" s="4">
        <f t="shared" si="172"/>
        <v>1.45813734713076</v>
      </c>
    </row>
    <row r="674" spans="1:34">
      <c r="A674" s="2">
        <v>20260314</v>
      </c>
      <c r="B674" s="2" t="s">
        <v>1390</v>
      </c>
      <c r="C674" s="2" t="s">
        <v>1391</v>
      </c>
      <c r="D674" s="2">
        <v>3</v>
      </c>
      <c r="E674" s="2">
        <v>27</v>
      </c>
      <c r="F674" s="2">
        <v>21</v>
      </c>
      <c r="G674" s="2">
        <v>5</v>
      </c>
      <c r="H674" s="2">
        <v>5</v>
      </c>
      <c r="I674" s="3">
        <v>14</v>
      </c>
      <c r="J674" s="2">
        <v>8</v>
      </c>
      <c r="K674" s="2">
        <v>1</v>
      </c>
      <c r="L674" s="2">
        <v>1</v>
      </c>
      <c r="M674" s="2">
        <v>2</v>
      </c>
      <c r="N674" s="2">
        <v>16</v>
      </c>
      <c r="O674" s="2">
        <v>21</v>
      </c>
      <c r="P674" s="3">
        <v>11</v>
      </c>
      <c r="Q674" s="2">
        <v>14</v>
      </c>
      <c r="R674" s="2">
        <v>14</v>
      </c>
      <c r="S674" s="2">
        <v>2</v>
      </c>
      <c r="T674" s="2">
        <v>8</v>
      </c>
      <c r="U674" s="2">
        <v>1</v>
      </c>
      <c r="V674" s="2">
        <f t="shared" ref="V674:V694" si="174">AA674-Y674-X674-W674-U674</f>
        <v>40</v>
      </c>
      <c r="W674" s="2">
        <v>7</v>
      </c>
      <c r="X674" s="2">
        <v>8</v>
      </c>
      <c r="Y674" s="2">
        <v>0</v>
      </c>
      <c r="Z674" s="2">
        <f t="shared" ref="Z674:Z694" si="175">Y674+X674+W674+U674</f>
        <v>16</v>
      </c>
      <c r="AA674" s="2">
        <f t="shared" ref="AA674:AA694" si="176">G674+H674+I674+J674+K674+L674+M674+P674+T674+U674</f>
        <v>56</v>
      </c>
      <c r="AB674" s="2">
        <v>2576</v>
      </c>
      <c r="AC674" s="20">
        <f t="shared" ref="AC674:AC694" si="177">AA674/AB674*100</f>
        <v>2.17391304347826</v>
      </c>
      <c r="AD674" s="2" t="s">
        <v>106</v>
      </c>
      <c r="AE674" s="2">
        <v>188</v>
      </c>
      <c r="AF674" s="21">
        <f t="shared" ref="AF674:AF694" si="178">188/AE674*AC674</f>
        <v>2.17391304347826</v>
      </c>
      <c r="AG674" s="4">
        <f t="shared" ref="AG674:AG694" si="179">V674/AB674*100</f>
        <v>1.5527950310559</v>
      </c>
      <c r="AH674" s="4">
        <f t="shared" ref="AH674:AH694" si="180">Z674/AB674*100</f>
        <v>0.62111801242236</v>
      </c>
    </row>
    <row r="675" spans="1:34">
      <c r="A675" s="2">
        <v>20260314</v>
      </c>
      <c r="B675" s="2" t="s">
        <v>1392</v>
      </c>
      <c r="C675" s="2" t="s">
        <v>1393</v>
      </c>
      <c r="D675" s="2">
        <v>4</v>
      </c>
      <c r="E675" s="2">
        <v>11</v>
      </c>
      <c r="F675" s="2">
        <v>8</v>
      </c>
      <c r="G675" s="2">
        <v>5</v>
      </c>
      <c r="H675" s="2">
        <v>20</v>
      </c>
      <c r="I675" s="3">
        <v>60</v>
      </c>
      <c r="J675" s="2">
        <v>19</v>
      </c>
      <c r="K675" s="2">
        <v>3</v>
      </c>
      <c r="L675" s="2">
        <v>0</v>
      </c>
      <c r="M675" s="2">
        <v>7</v>
      </c>
      <c r="N675" s="2">
        <v>54</v>
      </c>
      <c r="O675" s="2">
        <v>20</v>
      </c>
      <c r="P675" s="3">
        <v>6</v>
      </c>
      <c r="Q675" s="2">
        <v>11</v>
      </c>
      <c r="R675" s="2">
        <v>24</v>
      </c>
      <c r="S675" s="2">
        <v>8</v>
      </c>
      <c r="T675" s="2">
        <v>7</v>
      </c>
      <c r="U675" s="2">
        <v>0</v>
      </c>
      <c r="V675" s="2">
        <f t="shared" si="174"/>
        <v>111</v>
      </c>
      <c r="W675" s="2">
        <v>9</v>
      </c>
      <c r="X675" s="2">
        <v>7</v>
      </c>
      <c r="Y675" s="2">
        <v>0</v>
      </c>
      <c r="Z675" s="2">
        <f t="shared" si="175"/>
        <v>16</v>
      </c>
      <c r="AA675" s="2">
        <f t="shared" si="176"/>
        <v>127</v>
      </c>
      <c r="AB675" s="2">
        <v>2776</v>
      </c>
      <c r="AC675" s="20">
        <f t="shared" si="177"/>
        <v>4.57492795389049</v>
      </c>
      <c r="AD675" s="2" t="s">
        <v>106</v>
      </c>
      <c r="AE675" s="2">
        <v>188</v>
      </c>
      <c r="AF675" s="21">
        <f t="shared" si="178"/>
        <v>4.57492795389049</v>
      </c>
      <c r="AG675" s="4">
        <f t="shared" si="179"/>
        <v>3.9985590778098</v>
      </c>
      <c r="AH675" s="4">
        <f t="shared" si="180"/>
        <v>0.576368876080692</v>
      </c>
    </row>
    <row r="676" spans="1:34">
      <c r="A676" s="2">
        <v>20260314</v>
      </c>
      <c r="B676" s="2" t="s">
        <v>1394</v>
      </c>
      <c r="C676" s="2" t="s">
        <v>1395</v>
      </c>
      <c r="D676" s="2">
        <v>26</v>
      </c>
      <c r="E676" s="2">
        <v>24</v>
      </c>
      <c r="F676" s="2">
        <v>27</v>
      </c>
      <c r="G676" s="2">
        <v>11</v>
      </c>
      <c r="H676" s="2">
        <v>26</v>
      </c>
      <c r="I676" s="3">
        <v>38</v>
      </c>
      <c r="J676" s="2">
        <v>13</v>
      </c>
      <c r="K676" s="2">
        <v>24</v>
      </c>
      <c r="L676" s="2">
        <v>0</v>
      </c>
      <c r="M676" s="2">
        <v>6</v>
      </c>
      <c r="N676" s="2">
        <v>41</v>
      </c>
      <c r="O676" s="2">
        <v>79</v>
      </c>
      <c r="P676" s="3">
        <v>33</v>
      </c>
      <c r="Q676" s="2">
        <v>17</v>
      </c>
      <c r="R676" s="2">
        <v>9</v>
      </c>
      <c r="S676" s="2">
        <v>1</v>
      </c>
      <c r="T676" s="2">
        <v>13</v>
      </c>
      <c r="U676" s="2">
        <v>1</v>
      </c>
      <c r="V676" s="2">
        <f t="shared" si="174"/>
        <v>148</v>
      </c>
      <c r="W676" s="2">
        <v>7</v>
      </c>
      <c r="X676" s="2">
        <v>9</v>
      </c>
      <c r="Y676" s="2">
        <v>0</v>
      </c>
      <c r="Z676" s="2">
        <f t="shared" si="175"/>
        <v>17</v>
      </c>
      <c r="AA676" s="2">
        <f t="shared" si="176"/>
        <v>165</v>
      </c>
      <c r="AB676" s="2">
        <v>2375</v>
      </c>
      <c r="AC676" s="20">
        <f t="shared" si="177"/>
        <v>6.94736842105263</v>
      </c>
      <c r="AD676" s="2" t="s">
        <v>106</v>
      </c>
      <c r="AE676" s="2">
        <v>188</v>
      </c>
      <c r="AF676" s="21">
        <f t="shared" si="178"/>
        <v>6.94736842105263</v>
      </c>
      <c r="AG676" s="4">
        <f t="shared" si="179"/>
        <v>6.23157894736842</v>
      </c>
      <c r="AH676" s="4">
        <f t="shared" si="180"/>
        <v>0.715789473684211</v>
      </c>
    </row>
    <row r="677" spans="1:34">
      <c r="A677" s="2">
        <v>20260314</v>
      </c>
      <c r="B677" s="2" t="s">
        <v>1396</v>
      </c>
      <c r="C677" s="2" t="s">
        <v>1397</v>
      </c>
      <c r="D677" s="2">
        <v>2</v>
      </c>
      <c r="E677" s="2">
        <v>4</v>
      </c>
      <c r="F677" s="2">
        <v>1</v>
      </c>
      <c r="G677" s="2">
        <v>2</v>
      </c>
      <c r="H677" s="2">
        <v>3</v>
      </c>
      <c r="I677" s="3">
        <v>6</v>
      </c>
      <c r="J677" s="2">
        <v>14</v>
      </c>
      <c r="K677" s="2">
        <v>0</v>
      </c>
      <c r="L677" s="2">
        <v>0</v>
      </c>
      <c r="M677" s="2">
        <v>5</v>
      </c>
      <c r="N677" s="2">
        <v>12</v>
      </c>
      <c r="O677" s="2">
        <v>3</v>
      </c>
      <c r="P677" s="3">
        <v>3</v>
      </c>
      <c r="Q677" s="2">
        <v>1</v>
      </c>
      <c r="R677" s="2">
        <v>0</v>
      </c>
      <c r="S677" s="2">
        <v>1</v>
      </c>
      <c r="T677" s="2">
        <v>2</v>
      </c>
      <c r="U677" s="2">
        <v>0</v>
      </c>
      <c r="V677" s="2">
        <f t="shared" si="174"/>
        <v>27</v>
      </c>
      <c r="W677" s="2">
        <v>6</v>
      </c>
      <c r="X677" s="2">
        <v>2</v>
      </c>
      <c r="Y677" s="2">
        <v>0</v>
      </c>
      <c r="Z677" s="2">
        <f t="shared" si="175"/>
        <v>8</v>
      </c>
      <c r="AA677" s="2">
        <f t="shared" si="176"/>
        <v>35</v>
      </c>
      <c r="AB677" s="2">
        <v>2126</v>
      </c>
      <c r="AC677" s="20">
        <f t="shared" si="177"/>
        <v>1.64628410159925</v>
      </c>
      <c r="AD677" s="2" t="s">
        <v>106</v>
      </c>
      <c r="AE677" s="2">
        <v>188</v>
      </c>
      <c r="AF677" s="21">
        <f t="shared" si="178"/>
        <v>1.64628410159925</v>
      </c>
      <c r="AG677" s="4">
        <f t="shared" si="179"/>
        <v>1.26999059266228</v>
      </c>
      <c r="AH677" s="4">
        <f t="shared" si="180"/>
        <v>0.376293508936971</v>
      </c>
    </row>
    <row r="678" spans="1:34">
      <c r="A678" s="2">
        <v>20260314</v>
      </c>
      <c r="B678" s="2" t="s">
        <v>1398</v>
      </c>
      <c r="C678" s="2" t="s">
        <v>1399</v>
      </c>
      <c r="D678" s="2">
        <v>3</v>
      </c>
      <c r="E678" s="2">
        <v>0</v>
      </c>
      <c r="F678" s="2">
        <v>4</v>
      </c>
      <c r="G678" s="2">
        <v>2</v>
      </c>
      <c r="H678" s="2">
        <v>1</v>
      </c>
      <c r="I678" s="3">
        <v>5</v>
      </c>
      <c r="J678" s="2">
        <v>9</v>
      </c>
      <c r="K678" s="2">
        <v>0</v>
      </c>
      <c r="L678" s="2">
        <v>0</v>
      </c>
      <c r="M678" s="2">
        <v>3</v>
      </c>
      <c r="N678" s="2">
        <v>5</v>
      </c>
      <c r="O678" s="2">
        <v>5</v>
      </c>
      <c r="P678" s="3">
        <v>1</v>
      </c>
      <c r="Q678" s="2">
        <v>9</v>
      </c>
      <c r="R678" s="2">
        <v>2</v>
      </c>
      <c r="S678" s="2">
        <v>2</v>
      </c>
      <c r="T678" s="2">
        <v>3</v>
      </c>
      <c r="U678" s="2">
        <v>0</v>
      </c>
      <c r="V678" s="2">
        <f t="shared" si="174"/>
        <v>10</v>
      </c>
      <c r="W678" s="2">
        <v>9</v>
      </c>
      <c r="X678" s="2">
        <v>5</v>
      </c>
      <c r="Y678" s="2">
        <v>0</v>
      </c>
      <c r="Z678" s="2">
        <f t="shared" si="175"/>
        <v>14</v>
      </c>
      <c r="AA678" s="2">
        <f t="shared" si="176"/>
        <v>24</v>
      </c>
      <c r="AB678" s="2">
        <v>2126</v>
      </c>
      <c r="AC678" s="20">
        <f t="shared" si="177"/>
        <v>1.12888052681091</v>
      </c>
      <c r="AD678" s="2" t="s">
        <v>106</v>
      </c>
      <c r="AE678" s="2">
        <v>188</v>
      </c>
      <c r="AF678" s="21">
        <f t="shared" si="178"/>
        <v>1.12888052681091</v>
      </c>
      <c r="AG678" s="4">
        <f t="shared" si="179"/>
        <v>0.470366886171214</v>
      </c>
      <c r="AH678" s="4">
        <f t="shared" si="180"/>
        <v>0.658513640639699</v>
      </c>
    </row>
    <row r="679" spans="1:34">
      <c r="A679" s="2">
        <v>20260314</v>
      </c>
      <c r="B679" s="2" t="s">
        <v>1400</v>
      </c>
      <c r="C679" s="2" t="s">
        <v>1401</v>
      </c>
      <c r="D679" s="2">
        <v>3</v>
      </c>
      <c r="E679" s="2">
        <v>13</v>
      </c>
      <c r="F679" s="2">
        <v>5</v>
      </c>
      <c r="G679" s="2">
        <v>3</v>
      </c>
      <c r="H679" s="2">
        <v>27</v>
      </c>
      <c r="I679" s="3">
        <v>12</v>
      </c>
      <c r="J679" s="2">
        <v>19</v>
      </c>
      <c r="K679" s="2">
        <v>7</v>
      </c>
      <c r="L679" s="2">
        <v>0</v>
      </c>
      <c r="M679" s="2">
        <v>7</v>
      </c>
      <c r="N679" s="2">
        <v>30</v>
      </c>
      <c r="O679" s="2">
        <v>1</v>
      </c>
      <c r="P679" s="3">
        <v>3</v>
      </c>
      <c r="Q679" s="2">
        <v>6</v>
      </c>
      <c r="R679" s="2">
        <v>460</v>
      </c>
      <c r="S679" s="2">
        <v>3</v>
      </c>
      <c r="T679" s="2">
        <v>19</v>
      </c>
      <c r="U679" s="2">
        <v>0</v>
      </c>
      <c r="V679" s="2">
        <f t="shared" si="174"/>
        <v>88</v>
      </c>
      <c r="W679" s="2">
        <v>3</v>
      </c>
      <c r="X679" s="2">
        <v>6</v>
      </c>
      <c r="Y679" s="2">
        <v>0</v>
      </c>
      <c r="Z679" s="2">
        <f t="shared" si="175"/>
        <v>9</v>
      </c>
      <c r="AA679" s="2">
        <f t="shared" si="176"/>
        <v>97</v>
      </c>
      <c r="AB679" s="2">
        <v>3118</v>
      </c>
      <c r="AC679" s="20">
        <f t="shared" si="177"/>
        <v>3.11096856959589</v>
      </c>
      <c r="AD679" s="2" t="s">
        <v>58</v>
      </c>
      <c r="AE679" s="2">
        <v>100</v>
      </c>
      <c r="AF679" s="21">
        <f t="shared" si="178"/>
        <v>5.84862091084028</v>
      </c>
      <c r="AG679" s="4">
        <f t="shared" si="179"/>
        <v>2.82232200128287</v>
      </c>
      <c r="AH679" s="4">
        <f t="shared" si="180"/>
        <v>0.288646568313021</v>
      </c>
    </row>
    <row r="680" spans="1:34">
      <c r="A680" s="2">
        <v>20260314</v>
      </c>
      <c r="B680" s="2" t="s">
        <v>1402</v>
      </c>
      <c r="C680" s="2" t="s">
        <v>1403</v>
      </c>
      <c r="D680" s="2">
        <v>0</v>
      </c>
      <c r="E680" s="2">
        <v>7</v>
      </c>
      <c r="F680" s="2">
        <v>3</v>
      </c>
      <c r="G680" s="2">
        <v>1</v>
      </c>
      <c r="H680" s="2">
        <v>3</v>
      </c>
      <c r="I680" s="3">
        <v>20</v>
      </c>
      <c r="J680" s="2">
        <v>7</v>
      </c>
      <c r="K680" s="2">
        <v>6</v>
      </c>
      <c r="L680" s="2">
        <v>0</v>
      </c>
      <c r="M680" s="2">
        <v>3</v>
      </c>
      <c r="N680" s="2">
        <v>36</v>
      </c>
      <c r="O680" s="2">
        <v>3</v>
      </c>
      <c r="P680" s="3">
        <v>5</v>
      </c>
      <c r="Q680" s="2">
        <v>2</v>
      </c>
      <c r="R680" s="2">
        <v>234</v>
      </c>
      <c r="S680" s="2">
        <v>0</v>
      </c>
      <c r="T680" s="2">
        <v>10</v>
      </c>
      <c r="U680" s="2">
        <v>0</v>
      </c>
      <c r="V680" s="2">
        <f t="shared" si="174"/>
        <v>40</v>
      </c>
      <c r="W680" s="2">
        <v>4</v>
      </c>
      <c r="X680" s="2">
        <v>11</v>
      </c>
      <c r="Y680" s="2">
        <v>0</v>
      </c>
      <c r="Z680" s="2">
        <f t="shared" si="175"/>
        <v>15</v>
      </c>
      <c r="AA680" s="2">
        <f t="shared" si="176"/>
        <v>55</v>
      </c>
      <c r="AB680" s="2">
        <v>3118</v>
      </c>
      <c r="AC680" s="20">
        <f t="shared" si="177"/>
        <v>1.7639512508018</v>
      </c>
      <c r="AD680" s="2" t="s">
        <v>58</v>
      </c>
      <c r="AE680" s="2">
        <v>100</v>
      </c>
      <c r="AF680" s="21">
        <f t="shared" si="178"/>
        <v>3.31622835150738</v>
      </c>
      <c r="AG680" s="4">
        <f t="shared" si="179"/>
        <v>1.28287363694676</v>
      </c>
      <c r="AH680" s="4">
        <f t="shared" si="180"/>
        <v>0.481077613855035</v>
      </c>
    </row>
    <row r="681" spans="1:34">
      <c r="A681" s="2">
        <v>20260314</v>
      </c>
      <c r="B681" s="2" t="s">
        <v>1404</v>
      </c>
      <c r="C681" s="2" t="s">
        <v>1405</v>
      </c>
      <c r="D681" s="2">
        <v>1</v>
      </c>
      <c r="E681" s="2">
        <v>8</v>
      </c>
      <c r="F681" s="2">
        <v>1</v>
      </c>
      <c r="G681" s="2">
        <v>0</v>
      </c>
      <c r="H681" s="2">
        <v>15</v>
      </c>
      <c r="I681" s="3">
        <v>12</v>
      </c>
      <c r="J681" s="2">
        <v>12</v>
      </c>
      <c r="K681" s="2">
        <v>7</v>
      </c>
      <c r="L681" s="2">
        <v>0</v>
      </c>
      <c r="M681" s="2">
        <v>11</v>
      </c>
      <c r="N681" s="2">
        <v>22</v>
      </c>
      <c r="O681" s="2">
        <v>0</v>
      </c>
      <c r="P681" s="3">
        <v>7</v>
      </c>
      <c r="Q681" s="2">
        <v>11</v>
      </c>
      <c r="R681" s="2">
        <v>421</v>
      </c>
      <c r="S681" s="2">
        <v>2</v>
      </c>
      <c r="T681" s="2">
        <v>7</v>
      </c>
      <c r="U681" s="2">
        <v>0</v>
      </c>
      <c r="V681" s="2">
        <f t="shared" si="174"/>
        <v>48</v>
      </c>
      <c r="W681" s="2">
        <v>18</v>
      </c>
      <c r="X681" s="2">
        <v>5</v>
      </c>
      <c r="Y681" s="2">
        <v>0</v>
      </c>
      <c r="Z681" s="2">
        <f t="shared" si="175"/>
        <v>23</v>
      </c>
      <c r="AA681" s="2">
        <f t="shared" si="176"/>
        <v>71</v>
      </c>
      <c r="AB681" s="2">
        <v>3518</v>
      </c>
      <c r="AC681" s="20">
        <f t="shared" si="177"/>
        <v>2.01819215463331</v>
      </c>
      <c r="AD681" s="2" t="s">
        <v>58</v>
      </c>
      <c r="AE681" s="2">
        <v>100</v>
      </c>
      <c r="AF681" s="21">
        <f t="shared" si="178"/>
        <v>3.79420125071063</v>
      </c>
      <c r="AG681" s="4">
        <f t="shared" si="179"/>
        <v>1.36441159749858</v>
      </c>
      <c r="AH681" s="4">
        <f t="shared" si="180"/>
        <v>0.653780557134736</v>
      </c>
    </row>
    <row r="682" spans="1:34">
      <c r="A682" s="2">
        <v>20260314</v>
      </c>
      <c r="B682" s="2" t="s">
        <v>1406</v>
      </c>
      <c r="C682" s="2" t="s">
        <v>1407</v>
      </c>
      <c r="D682" s="2">
        <v>3</v>
      </c>
      <c r="E682" s="2">
        <v>10</v>
      </c>
      <c r="F682" s="2">
        <v>7</v>
      </c>
      <c r="G682" s="2">
        <v>0</v>
      </c>
      <c r="H682" s="2">
        <v>15</v>
      </c>
      <c r="I682" s="3">
        <v>19</v>
      </c>
      <c r="J682" s="2">
        <v>8</v>
      </c>
      <c r="K682" s="2">
        <v>4</v>
      </c>
      <c r="L682" s="2">
        <v>1</v>
      </c>
      <c r="M682" s="2">
        <v>26</v>
      </c>
      <c r="N682" s="2">
        <v>37</v>
      </c>
      <c r="O682" s="2">
        <v>0</v>
      </c>
      <c r="P682" s="3">
        <v>5</v>
      </c>
      <c r="Q682" s="2">
        <v>11</v>
      </c>
      <c r="R682" s="2">
        <v>219</v>
      </c>
      <c r="S682" s="2">
        <v>0</v>
      </c>
      <c r="T682" s="2">
        <v>8</v>
      </c>
      <c r="U682" s="2">
        <v>0</v>
      </c>
      <c r="V682" s="2">
        <f t="shared" si="174"/>
        <v>35</v>
      </c>
      <c r="W682" s="2">
        <v>45</v>
      </c>
      <c r="X682" s="2">
        <v>6</v>
      </c>
      <c r="Y682" s="2">
        <v>0</v>
      </c>
      <c r="Z682" s="2">
        <f t="shared" si="175"/>
        <v>51</v>
      </c>
      <c r="AA682" s="2">
        <f t="shared" si="176"/>
        <v>86</v>
      </c>
      <c r="AB682" s="2">
        <v>3268</v>
      </c>
      <c r="AC682" s="20">
        <f t="shared" si="177"/>
        <v>2.63157894736842</v>
      </c>
      <c r="AD682" s="2" t="s">
        <v>58</v>
      </c>
      <c r="AE682" s="2">
        <v>100</v>
      </c>
      <c r="AF682" s="21">
        <f t="shared" si="178"/>
        <v>4.94736842105263</v>
      </c>
      <c r="AG682" s="4">
        <f t="shared" si="179"/>
        <v>1.07099143206854</v>
      </c>
      <c r="AH682" s="4">
        <f t="shared" si="180"/>
        <v>1.56058751529988</v>
      </c>
    </row>
    <row r="683" spans="1:34">
      <c r="A683" s="2">
        <v>20260314</v>
      </c>
      <c r="B683" s="2" t="s">
        <v>1408</v>
      </c>
      <c r="C683" s="2" t="s">
        <v>1409</v>
      </c>
      <c r="D683" s="2">
        <v>2</v>
      </c>
      <c r="E683" s="2">
        <v>2</v>
      </c>
      <c r="F683" s="2">
        <v>4</v>
      </c>
      <c r="G683" s="2">
        <v>2</v>
      </c>
      <c r="H683" s="2">
        <v>4</v>
      </c>
      <c r="I683" s="3">
        <v>17</v>
      </c>
      <c r="J683" s="2">
        <v>9</v>
      </c>
      <c r="K683" s="2">
        <v>5</v>
      </c>
      <c r="L683" s="2">
        <v>0</v>
      </c>
      <c r="M683" s="2">
        <v>14</v>
      </c>
      <c r="N683" s="2">
        <v>24</v>
      </c>
      <c r="O683" s="2">
        <v>2</v>
      </c>
      <c r="P683" s="3">
        <v>3</v>
      </c>
      <c r="Q683" s="2">
        <v>4</v>
      </c>
      <c r="R683" s="2">
        <v>178</v>
      </c>
      <c r="S683" s="2">
        <v>0</v>
      </c>
      <c r="T683" s="2">
        <v>6</v>
      </c>
      <c r="U683" s="2">
        <v>0</v>
      </c>
      <c r="V683" s="2">
        <f t="shared" si="174"/>
        <v>48</v>
      </c>
      <c r="W683" s="2">
        <v>7</v>
      </c>
      <c r="X683" s="2">
        <v>5</v>
      </c>
      <c r="Y683" s="2">
        <v>0</v>
      </c>
      <c r="Z683" s="2">
        <f t="shared" si="175"/>
        <v>12</v>
      </c>
      <c r="AA683" s="2">
        <f t="shared" si="176"/>
        <v>60</v>
      </c>
      <c r="AB683" s="2">
        <v>3516</v>
      </c>
      <c r="AC683" s="20">
        <f t="shared" si="177"/>
        <v>1.70648464163823</v>
      </c>
      <c r="AD683" s="2" t="s">
        <v>58</v>
      </c>
      <c r="AE683" s="2">
        <v>100</v>
      </c>
      <c r="AF683" s="21">
        <f t="shared" si="178"/>
        <v>3.20819112627986</v>
      </c>
      <c r="AG683" s="4">
        <f t="shared" si="179"/>
        <v>1.36518771331058</v>
      </c>
      <c r="AH683" s="4">
        <f t="shared" si="180"/>
        <v>0.341296928327645</v>
      </c>
    </row>
    <row r="684" spans="1:34">
      <c r="A684" s="2">
        <v>20260314</v>
      </c>
      <c r="B684" s="2" t="s">
        <v>1410</v>
      </c>
      <c r="C684" s="2" t="s">
        <v>1411</v>
      </c>
      <c r="D684" s="2">
        <v>21</v>
      </c>
      <c r="E684" s="2">
        <v>5</v>
      </c>
      <c r="F684" s="2">
        <v>5</v>
      </c>
      <c r="G684" s="2">
        <v>33</v>
      </c>
      <c r="H684" s="2">
        <v>186</v>
      </c>
      <c r="I684" s="3">
        <v>1125</v>
      </c>
      <c r="J684" s="2">
        <v>196</v>
      </c>
      <c r="K684" s="2">
        <v>45</v>
      </c>
      <c r="L684" s="2">
        <v>2</v>
      </c>
      <c r="M684" s="2">
        <v>1136</v>
      </c>
      <c r="N684" s="2">
        <v>185</v>
      </c>
      <c r="O684" s="2">
        <v>1</v>
      </c>
      <c r="P684" s="3">
        <v>208</v>
      </c>
      <c r="Q684" s="2">
        <v>9</v>
      </c>
      <c r="R684" s="2">
        <v>129</v>
      </c>
      <c r="S684" s="2">
        <v>4</v>
      </c>
      <c r="T684" s="2">
        <v>17</v>
      </c>
      <c r="U684" s="2">
        <v>2</v>
      </c>
      <c r="V684" s="2">
        <f t="shared" si="174"/>
        <v>2944</v>
      </c>
      <c r="W684" s="2">
        <v>0</v>
      </c>
      <c r="X684" s="2">
        <v>4</v>
      </c>
      <c r="Y684" s="2">
        <v>0</v>
      </c>
      <c r="Z684" s="2">
        <f t="shared" si="175"/>
        <v>6</v>
      </c>
      <c r="AA684" s="2">
        <f t="shared" si="176"/>
        <v>2950</v>
      </c>
      <c r="AB684" s="2">
        <v>3516</v>
      </c>
      <c r="AC684" s="20">
        <f t="shared" si="177"/>
        <v>83.9021615472127</v>
      </c>
      <c r="AD684" s="2" t="s">
        <v>58</v>
      </c>
      <c r="AE684" s="2">
        <v>100</v>
      </c>
      <c r="AF684" s="21">
        <f t="shared" si="178"/>
        <v>157.73606370876</v>
      </c>
      <c r="AG684" s="4">
        <f t="shared" si="179"/>
        <v>83.7315130830489</v>
      </c>
      <c r="AH684" s="4">
        <f t="shared" si="180"/>
        <v>0.170648464163823</v>
      </c>
    </row>
    <row r="685" spans="1:34">
      <c r="A685" s="2">
        <v>20260314</v>
      </c>
      <c r="B685" s="2" t="s">
        <v>1412</v>
      </c>
      <c r="C685" s="2" t="s">
        <v>1413</v>
      </c>
      <c r="D685" s="2">
        <v>3</v>
      </c>
      <c r="E685" s="2">
        <v>4</v>
      </c>
      <c r="F685" s="2">
        <v>3</v>
      </c>
      <c r="G685" s="2">
        <v>3</v>
      </c>
      <c r="H685" s="2">
        <v>11</v>
      </c>
      <c r="I685" s="3">
        <v>21</v>
      </c>
      <c r="J685" s="2">
        <v>15</v>
      </c>
      <c r="K685" s="2">
        <v>10</v>
      </c>
      <c r="L685" s="2">
        <v>0</v>
      </c>
      <c r="M685" s="2">
        <v>5</v>
      </c>
      <c r="N685" s="2">
        <v>42</v>
      </c>
      <c r="O685" s="2">
        <v>0</v>
      </c>
      <c r="P685" s="3">
        <v>3</v>
      </c>
      <c r="Q685" s="2">
        <v>8</v>
      </c>
      <c r="R685" s="2">
        <v>259</v>
      </c>
      <c r="S685" s="2">
        <v>2</v>
      </c>
      <c r="T685" s="2">
        <v>4</v>
      </c>
      <c r="U685" s="2">
        <v>2</v>
      </c>
      <c r="V685" s="2">
        <f t="shared" ref="V685:V691" si="181">AA685-Y685-X685-W685-U685</f>
        <v>71</v>
      </c>
      <c r="W685" s="2">
        <v>0</v>
      </c>
      <c r="X685" s="2">
        <v>1</v>
      </c>
      <c r="Y685" s="2">
        <v>0</v>
      </c>
      <c r="Z685" s="2">
        <f t="shared" si="175"/>
        <v>3</v>
      </c>
      <c r="AA685" s="2">
        <f t="shared" si="176"/>
        <v>74</v>
      </c>
      <c r="AB685" s="2">
        <v>5165</v>
      </c>
      <c r="AC685" s="20">
        <f t="shared" si="177"/>
        <v>1.43272023233301</v>
      </c>
      <c r="AD685" s="2" t="s">
        <v>58</v>
      </c>
      <c r="AE685" s="2">
        <v>100</v>
      </c>
      <c r="AF685" s="21">
        <f t="shared" si="178"/>
        <v>2.69351403678606</v>
      </c>
      <c r="AG685" s="4">
        <f t="shared" si="179"/>
        <v>1.37463697967086</v>
      </c>
      <c r="AH685" s="4">
        <f t="shared" si="180"/>
        <v>0.0580832526621491</v>
      </c>
    </row>
    <row r="686" spans="1:34">
      <c r="A686" s="2">
        <v>20260315</v>
      </c>
      <c r="B686" s="2" t="s">
        <v>1414</v>
      </c>
      <c r="C686" s="2" t="s">
        <v>1415</v>
      </c>
      <c r="D686" s="2">
        <v>1</v>
      </c>
      <c r="E686" s="2">
        <v>12</v>
      </c>
      <c r="F686" s="2">
        <v>5</v>
      </c>
      <c r="G686" s="2">
        <v>2</v>
      </c>
      <c r="H686" s="2">
        <v>23</v>
      </c>
      <c r="I686" s="3">
        <v>26</v>
      </c>
      <c r="J686" s="2">
        <v>14</v>
      </c>
      <c r="K686" s="2">
        <v>21</v>
      </c>
      <c r="L686" s="2">
        <v>4</v>
      </c>
      <c r="M686" s="2">
        <v>7</v>
      </c>
      <c r="N686" s="2">
        <v>47</v>
      </c>
      <c r="O686" s="2">
        <v>2</v>
      </c>
      <c r="P686" s="3">
        <v>8</v>
      </c>
      <c r="Q686" s="2">
        <v>8</v>
      </c>
      <c r="R686" s="2">
        <v>341</v>
      </c>
      <c r="S686" s="2">
        <v>2</v>
      </c>
      <c r="T686" s="2">
        <v>2</v>
      </c>
      <c r="U686" s="2">
        <v>2</v>
      </c>
      <c r="V686" s="2">
        <f t="shared" si="181"/>
        <v>101</v>
      </c>
      <c r="W686" s="2">
        <v>2</v>
      </c>
      <c r="X686" s="2">
        <v>4</v>
      </c>
      <c r="Y686" s="2">
        <v>0</v>
      </c>
      <c r="Z686" s="2">
        <f t="shared" si="175"/>
        <v>8</v>
      </c>
      <c r="AA686" s="2">
        <f t="shared" si="176"/>
        <v>109</v>
      </c>
      <c r="AB686" s="2">
        <v>6175</v>
      </c>
      <c r="AC686" s="20">
        <f t="shared" si="177"/>
        <v>1.76518218623482</v>
      </c>
      <c r="AD686" s="2" t="s">
        <v>58</v>
      </c>
      <c r="AE686" s="2">
        <v>100</v>
      </c>
      <c r="AF686" s="21">
        <f t="shared" si="178"/>
        <v>3.31854251012146</v>
      </c>
      <c r="AG686" s="4">
        <f t="shared" si="179"/>
        <v>1.63562753036437</v>
      </c>
      <c r="AH686" s="4">
        <f t="shared" si="180"/>
        <v>0.129554655870445</v>
      </c>
    </row>
    <row r="687" spans="1:34">
      <c r="A687" s="2">
        <v>20260315</v>
      </c>
      <c r="B687" s="2" t="s">
        <v>1416</v>
      </c>
      <c r="C687" s="2" t="s">
        <v>1417</v>
      </c>
      <c r="D687" s="2">
        <v>2</v>
      </c>
      <c r="E687" s="2">
        <v>16</v>
      </c>
      <c r="F687" s="2">
        <v>5</v>
      </c>
      <c r="G687" s="2">
        <v>10</v>
      </c>
      <c r="H687" s="2">
        <v>74</v>
      </c>
      <c r="I687" s="3">
        <v>30</v>
      </c>
      <c r="J687" s="2">
        <v>25</v>
      </c>
      <c r="K687" s="2">
        <v>14</v>
      </c>
      <c r="L687" s="2">
        <v>0</v>
      </c>
      <c r="M687" s="2">
        <v>2</v>
      </c>
      <c r="N687" s="2">
        <v>55</v>
      </c>
      <c r="O687" s="2">
        <v>0</v>
      </c>
      <c r="P687" s="3">
        <v>4</v>
      </c>
      <c r="Q687" s="2">
        <v>17</v>
      </c>
      <c r="R687" s="2">
        <v>887</v>
      </c>
      <c r="S687" s="2">
        <v>1</v>
      </c>
      <c r="T687" s="2">
        <v>12</v>
      </c>
      <c r="U687" s="2">
        <v>0</v>
      </c>
      <c r="V687" s="2">
        <f t="shared" si="181"/>
        <v>169</v>
      </c>
      <c r="W687" s="2">
        <v>0</v>
      </c>
      <c r="X687" s="2">
        <v>2</v>
      </c>
      <c r="Y687" s="2">
        <v>0</v>
      </c>
      <c r="Z687" s="2">
        <f t="shared" si="175"/>
        <v>2</v>
      </c>
      <c r="AA687" s="2">
        <f t="shared" si="176"/>
        <v>171</v>
      </c>
      <c r="AB687" s="2">
        <v>6175</v>
      </c>
      <c r="AC687" s="20">
        <f t="shared" si="177"/>
        <v>2.76923076923077</v>
      </c>
      <c r="AD687" s="2" t="s">
        <v>58</v>
      </c>
      <c r="AE687" s="2">
        <v>100</v>
      </c>
      <c r="AF687" s="21">
        <f t="shared" si="178"/>
        <v>5.20615384615385</v>
      </c>
      <c r="AG687" s="4">
        <f t="shared" si="179"/>
        <v>2.73684210526316</v>
      </c>
      <c r="AH687" s="4">
        <f t="shared" si="180"/>
        <v>0.0323886639676113</v>
      </c>
    </row>
    <row r="688" spans="1:34">
      <c r="A688" s="2">
        <v>20260315</v>
      </c>
      <c r="B688" s="2" t="s">
        <v>1418</v>
      </c>
      <c r="C688" s="2" t="s">
        <v>1419</v>
      </c>
      <c r="D688" s="2">
        <v>8</v>
      </c>
      <c r="E688" s="2">
        <v>5</v>
      </c>
      <c r="F688" s="2">
        <v>8</v>
      </c>
      <c r="G688" s="2">
        <v>3</v>
      </c>
      <c r="H688" s="2">
        <v>23</v>
      </c>
      <c r="I688" s="3">
        <v>22</v>
      </c>
      <c r="J688" s="2">
        <v>23</v>
      </c>
      <c r="K688" s="2">
        <v>66</v>
      </c>
      <c r="L688" s="2">
        <v>3</v>
      </c>
      <c r="M688" s="2">
        <v>2</v>
      </c>
      <c r="N688" s="2">
        <v>163</v>
      </c>
      <c r="O688" s="2">
        <v>0</v>
      </c>
      <c r="P688" s="3">
        <v>7</v>
      </c>
      <c r="Q688" s="2">
        <v>19</v>
      </c>
      <c r="R688" s="2">
        <v>303</v>
      </c>
      <c r="S688" s="2">
        <v>12</v>
      </c>
      <c r="T688" s="2">
        <v>9</v>
      </c>
      <c r="U688" s="2">
        <v>3</v>
      </c>
      <c r="V688" s="2">
        <f t="shared" si="181"/>
        <v>156</v>
      </c>
      <c r="W688" s="2">
        <v>2</v>
      </c>
      <c r="X688" s="2">
        <v>0</v>
      </c>
      <c r="Y688" s="2">
        <v>0</v>
      </c>
      <c r="Z688" s="2">
        <f t="shared" si="175"/>
        <v>5</v>
      </c>
      <c r="AA688" s="2">
        <f t="shared" si="176"/>
        <v>161</v>
      </c>
      <c r="AB688" s="2">
        <v>5686</v>
      </c>
      <c r="AC688" s="20">
        <f t="shared" si="177"/>
        <v>2.83151600422089</v>
      </c>
      <c r="AD688" s="2" t="s">
        <v>58</v>
      </c>
      <c r="AE688" s="2">
        <v>100</v>
      </c>
      <c r="AF688" s="21">
        <f t="shared" si="178"/>
        <v>5.32325008793528</v>
      </c>
      <c r="AG688" s="4">
        <f t="shared" si="179"/>
        <v>2.7435807245867</v>
      </c>
      <c r="AH688" s="4">
        <f t="shared" si="180"/>
        <v>0.0879352796341892</v>
      </c>
    </row>
    <row r="689" spans="1:34">
      <c r="A689" s="2">
        <v>20260315</v>
      </c>
      <c r="B689" s="2" t="s">
        <v>1420</v>
      </c>
      <c r="C689" s="2" t="s">
        <v>1421</v>
      </c>
      <c r="D689" s="2">
        <v>5</v>
      </c>
      <c r="E689" s="2">
        <v>540</v>
      </c>
      <c r="F689" s="2">
        <v>80</v>
      </c>
      <c r="G689" s="2">
        <v>44</v>
      </c>
      <c r="H689" s="2">
        <v>57</v>
      </c>
      <c r="I689" s="3">
        <v>40</v>
      </c>
      <c r="J689" s="2">
        <v>29</v>
      </c>
      <c r="K689" s="2">
        <v>18</v>
      </c>
      <c r="L689" s="2">
        <v>4</v>
      </c>
      <c r="M689" s="2">
        <v>18</v>
      </c>
      <c r="N689" s="2">
        <v>118</v>
      </c>
      <c r="O689" s="2">
        <v>192</v>
      </c>
      <c r="P689" s="3">
        <v>19</v>
      </c>
      <c r="Q689" s="2">
        <v>40</v>
      </c>
      <c r="R689" s="2">
        <v>195</v>
      </c>
      <c r="S689" s="2">
        <v>0</v>
      </c>
      <c r="T689" s="2">
        <v>146</v>
      </c>
      <c r="U689" s="2">
        <v>6</v>
      </c>
      <c r="V689" s="2">
        <f t="shared" si="181"/>
        <v>375</v>
      </c>
      <c r="W689" s="2">
        <v>0</v>
      </c>
      <c r="X689" s="2">
        <v>0</v>
      </c>
      <c r="Y689" s="2">
        <v>0</v>
      </c>
      <c r="Z689" s="2">
        <f t="shared" si="175"/>
        <v>6</v>
      </c>
      <c r="AA689" s="2">
        <f t="shared" si="176"/>
        <v>381</v>
      </c>
      <c r="AB689" s="2">
        <v>4116</v>
      </c>
      <c r="AC689" s="20">
        <f t="shared" si="177"/>
        <v>9.25655976676385</v>
      </c>
      <c r="AD689" s="2" t="s">
        <v>58</v>
      </c>
      <c r="AE689" s="2">
        <v>100</v>
      </c>
      <c r="AF689" s="21">
        <f t="shared" si="178"/>
        <v>17.402332361516</v>
      </c>
      <c r="AG689" s="4">
        <f t="shared" si="179"/>
        <v>9.11078717201166</v>
      </c>
      <c r="AH689" s="4">
        <f t="shared" si="180"/>
        <v>0.145772594752187</v>
      </c>
    </row>
    <row r="690" spans="1:34">
      <c r="A690" s="2">
        <v>20260315</v>
      </c>
      <c r="B690" s="2" t="s">
        <v>1422</v>
      </c>
      <c r="C690" s="2" t="s">
        <v>1423</v>
      </c>
      <c r="D690" s="2">
        <v>4</v>
      </c>
      <c r="E690" s="2">
        <v>936</v>
      </c>
      <c r="F690" s="2">
        <v>6</v>
      </c>
      <c r="G690" s="2">
        <v>47</v>
      </c>
      <c r="H690" s="2">
        <v>36</v>
      </c>
      <c r="I690" s="3">
        <v>36</v>
      </c>
      <c r="J690" s="2">
        <v>21</v>
      </c>
      <c r="K690" s="2">
        <v>15</v>
      </c>
      <c r="L690" s="2">
        <v>2</v>
      </c>
      <c r="M690" s="2">
        <v>11</v>
      </c>
      <c r="N690" s="2">
        <v>59</v>
      </c>
      <c r="O690" s="2">
        <v>6</v>
      </c>
      <c r="P690" s="3">
        <v>15</v>
      </c>
      <c r="Q690" s="2">
        <v>10</v>
      </c>
      <c r="R690" s="2">
        <v>700</v>
      </c>
      <c r="S690" s="2">
        <v>6</v>
      </c>
      <c r="T690" s="2">
        <v>14</v>
      </c>
      <c r="U690" s="2">
        <v>1</v>
      </c>
      <c r="V690" s="2">
        <f t="shared" si="181"/>
        <v>182</v>
      </c>
      <c r="W690" s="2">
        <v>1</v>
      </c>
      <c r="X690" s="2">
        <v>14</v>
      </c>
      <c r="Y690" s="2">
        <v>0</v>
      </c>
      <c r="Z690" s="2">
        <f t="shared" si="175"/>
        <v>16</v>
      </c>
      <c r="AA690" s="2">
        <f t="shared" si="176"/>
        <v>198</v>
      </c>
      <c r="AB690" s="2">
        <v>6175</v>
      </c>
      <c r="AC690" s="20">
        <f t="shared" si="177"/>
        <v>3.20647773279352</v>
      </c>
      <c r="AD690" s="2" t="s">
        <v>58</v>
      </c>
      <c r="AE690" s="2">
        <v>100</v>
      </c>
      <c r="AF690" s="21">
        <f t="shared" si="178"/>
        <v>6.02817813765182</v>
      </c>
      <c r="AG690" s="4">
        <f t="shared" si="179"/>
        <v>2.94736842105263</v>
      </c>
      <c r="AH690" s="4">
        <f t="shared" si="180"/>
        <v>0.259109311740891</v>
      </c>
    </row>
    <row r="691" spans="1:34">
      <c r="A691" s="2">
        <v>20260315</v>
      </c>
      <c r="B691" s="2" t="s">
        <v>1424</v>
      </c>
      <c r="C691" s="2" t="s">
        <v>1425</v>
      </c>
      <c r="D691" s="2">
        <v>5</v>
      </c>
      <c r="E691" s="2">
        <v>24</v>
      </c>
      <c r="F691" s="2">
        <v>19</v>
      </c>
      <c r="G691" s="2">
        <v>7</v>
      </c>
      <c r="H691" s="2">
        <v>47</v>
      </c>
      <c r="I691" s="3">
        <v>31</v>
      </c>
      <c r="J691" s="2">
        <v>66</v>
      </c>
      <c r="K691" s="2">
        <v>5</v>
      </c>
      <c r="L691" s="2">
        <v>1</v>
      </c>
      <c r="M691" s="2">
        <v>15</v>
      </c>
      <c r="N691" s="2">
        <v>57</v>
      </c>
      <c r="O691" s="2">
        <v>10</v>
      </c>
      <c r="P691" s="3">
        <v>12</v>
      </c>
      <c r="Q691" s="2">
        <v>9</v>
      </c>
      <c r="R691" s="2">
        <v>864</v>
      </c>
      <c r="S691" s="2">
        <v>2</v>
      </c>
      <c r="T691" s="2">
        <v>22</v>
      </c>
      <c r="U691" s="2">
        <v>0</v>
      </c>
      <c r="V691" s="2">
        <f t="shared" si="181"/>
        <v>186</v>
      </c>
      <c r="W691" s="2">
        <v>10</v>
      </c>
      <c r="X691" s="2">
        <v>9</v>
      </c>
      <c r="Y691" s="2">
        <v>1</v>
      </c>
      <c r="Z691" s="2">
        <f t="shared" si="175"/>
        <v>20</v>
      </c>
      <c r="AA691" s="2">
        <f t="shared" si="176"/>
        <v>206</v>
      </c>
      <c r="AB691" s="2">
        <v>6175</v>
      </c>
      <c r="AC691" s="20">
        <f t="shared" si="177"/>
        <v>3.33603238866397</v>
      </c>
      <c r="AD691" s="2" t="s">
        <v>58</v>
      </c>
      <c r="AE691" s="2">
        <v>100</v>
      </c>
      <c r="AF691" s="21">
        <f t="shared" si="178"/>
        <v>6.27174089068826</v>
      </c>
      <c r="AG691" s="4">
        <f t="shared" si="179"/>
        <v>3.01214574898785</v>
      </c>
      <c r="AH691" s="4">
        <f t="shared" si="180"/>
        <v>0.323886639676113</v>
      </c>
    </row>
    <row r="692" spans="1:34">
      <c r="A692" s="2">
        <v>20260315</v>
      </c>
      <c r="B692" s="2" t="s">
        <v>1426</v>
      </c>
      <c r="C692" s="2" t="s">
        <v>1427</v>
      </c>
      <c r="D692" s="2">
        <v>5</v>
      </c>
      <c r="E692" s="2">
        <v>18</v>
      </c>
      <c r="F692" s="2">
        <v>14</v>
      </c>
      <c r="G692" s="2">
        <v>11</v>
      </c>
      <c r="H692" s="2">
        <v>35</v>
      </c>
      <c r="I692" s="3">
        <v>29</v>
      </c>
      <c r="J692" s="2">
        <v>19</v>
      </c>
      <c r="K692" s="2">
        <v>40</v>
      </c>
      <c r="L692" s="2">
        <v>3</v>
      </c>
      <c r="M692" s="2">
        <v>20</v>
      </c>
      <c r="N692" s="2">
        <v>181</v>
      </c>
      <c r="O692" s="2">
        <v>8</v>
      </c>
      <c r="P692" s="3">
        <v>12</v>
      </c>
      <c r="Q692" s="2">
        <v>8</v>
      </c>
      <c r="R692" s="2">
        <v>414</v>
      </c>
      <c r="S692" s="2">
        <v>11</v>
      </c>
      <c r="T692" s="2">
        <v>12</v>
      </c>
      <c r="U692" s="2">
        <v>0</v>
      </c>
      <c r="V692" s="2">
        <f t="shared" si="174"/>
        <v>166</v>
      </c>
      <c r="W692" s="2">
        <v>1</v>
      </c>
      <c r="X692" s="2">
        <v>14</v>
      </c>
      <c r="Y692" s="2">
        <v>0</v>
      </c>
      <c r="Z692" s="2">
        <f t="shared" si="175"/>
        <v>15</v>
      </c>
      <c r="AA692" s="2">
        <f t="shared" si="176"/>
        <v>181</v>
      </c>
      <c r="AB692" s="2">
        <v>6625</v>
      </c>
      <c r="AC692" s="20">
        <f t="shared" si="177"/>
        <v>2.73207547169811</v>
      </c>
      <c r="AD692" s="2" t="s">
        <v>58</v>
      </c>
      <c r="AE692" s="2">
        <v>100</v>
      </c>
      <c r="AF692" s="21">
        <f t="shared" si="178"/>
        <v>5.13630188679245</v>
      </c>
      <c r="AG692" s="4">
        <f t="shared" si="179"/>
        <v>2.50566037735849</v>
      </c>
      <c r="AH692" s="4">
        <f t="shared" si="180"/>
        <v>0.226415094339623</v>
      </c>
    </row>
    <row r="693" spans="1:34">
      <c r="A693" s="2">
        <v>20260315</v>
      </c>
      <c r="B693" s="2" t="s">
        <v>1428</v>
      </c>
      <c r="C693" s="2" t="s">
        <v>1429</v>
      </c>
      <c r="D693" s="2">
        <v>5</v>
      </c>
      <c r="E693" s="2">
        <v>14</v>
      </c>
      <c r="F693" s="2">
        <v>27</v>
      </c>
      <c r="G693" s="2">
        <v>11</v>
      </c>
      <c r="H693" s="2">
        <v>37</v>
      </c>
      <c r="I693" s="3">
        <v>35</v>
      </c>
      <c r="J693" s="2">
        <v>24</v>
      </c>
      <c r="K693" s="2">
        <v>12</v>
      </c>
      <c r="L693" s="2">
        <v>0</v>
      </c>
      <c r="M693" s="2">
        <v>8</v>
      </c>
      <c r="N693" s="2">
        <v>151</v>
      </c>
      <c r="O693" s="2">
        <v>18</v>
      </c>
      <c r="P693" s="3">
        <v>12</v>
      </c>
      <c r="Q693" s="2">
        <v>22</v>
      </c>
      <c r="R693" s="2">
        <v>396</v>
      </c>
      <c r="S693" s="2">
        <v>5</v>
      </c>
      <c r="T693" s="2">
        <v>23</v>
      </c>
      <c r="U693" s="2">
        <v>0</v>
      </c>
      <c r="V693" s="2">
        <f t="shared" si="174"/>
        <v>137</v>
      </c>
      <c r="W693" s="2">
        <v>15</v>
      </c>
      <c r="X693" s="2">
        <v>10</v>
      </c>
      <c r="Y693" s="2">
        <v>0</v>
      </c>
      <c r="Z693" s="2">
        <f t="shared" si="175"/>
        <v>25</v>
      </c>
      <c r="AA693" s="2">
        <f t="shared" si="176"/>
        <v>162</v>
      </c>
      <c r="AB693" s="2">
        <v>6175</v>
      </c>
      <c r="AC693" s="20">
        <f t="shared" si="177"/>
        <v>2.62348178137652</v>
      </c>
      <c r="AD693" s="2" t="s">
        <v>58</v>
      </c>
      <c r="AE693" s="2">
        <v>100</v>
      </c>
      <c r="AF693" s="21">
        <f t="shared" si="178"/>
        <v>4.93214574898785</v>
      </c>
      <c r="AG693" s="4">
        <f t="shared" si="179"/>
        <v>2.21862348178138</v>
      </c>
      <c r="AH693" s="4">
        <f t="shared" si="180"/>
        <v>0.404858299595142</v>
      </c>
    </row>
    <row r="694" spans="1:34">
      <c r="A694" s="2">
        <v>20260315</v>
      </c>
      <c r="B694" s="2" t="s">
        <v>1430</v>
      </c>
      <c r="C694" s="2" t="s">
        <v>1431</v>
      </c>
      <c r="D694" s="2">
        <v>9</v>
      </c>
      <c r="E694" s="2">
        <v>18</v>
      </c>
      <c r="F694" s="2">
        <v>20</v>
      </c>
      <c r="G694" s="2">
        <v>10</v>
      </c>
      <c r="H694" s="2">
        <v>37</v>
      </c>
      <c r="I694" s="3">
        <v>36</v>
      </c>
      <c r="J694" s="2">
        <v>56</v>
      </c>
      <c r="K694" s="2">
        <v>73</v>
      </c>
      <c r="L694" s="2">
        <v>2</v>
      </c>
      <c r="M694" s="2">
        <v>21</v>
      </c>
      <c r="N694" s="2">
        <v>222</v>
      </c>
      <c r="O694" s="2">
        <v>8</v>
      </c>
      <c r="P694" s="3">
        <v>31</v>
      </c>
      <c r="Q694" s="2">
        <v>28</v>
      </c>
      <c r="R694" s="2">
        <v>444</v>
      </c>
      <c r="S694" s="2">
        <v>20</v>
      </c>
      <c r="T694" s="2">
        <v>34</v>
      </c>
      <c r="U694" s="2">
        <v>1</v>
      </c>
      <c r="V694" s="2">
        <f t="shared" si="174"/>
        <v>281</v>
      </c>
      <c r="W694" s="2">
        <v>0</v>
      </c>
      <c r="X694" s="2">
        <v>19</v>
      </c>
      <c r="Y694" s="2">
        <v>0</v>
      </c>
      <c r="Z694" s="2">
        <f t="shared" si="175"/>
        <v>20</v>
      </c>
      <c r="AA694" s="2">
        <f t="shared" si="176"/>
        <v>301</v>
      </c>
      <c r="AB694" s="2">
        <v>6835</v>
      </c>
      <c r="AC694" s="20">
        <f t="shared" si="177"/>
        <v>4.40380395025603</v>
      </c>
      <c r="AD694" s="2" t="s">
        <v>58</v>
      </c>
      <c r="AE694" s="2">
        <v>100</v>
      </c>
      <c r="AF694" s="21">
        <f t="shared" ref="AF694:AF725" si="182">188/AE694*AC694</f>
        <v>8.27915142648135</v>
      </c>
      <c r="AG694" s="4">
        <f t="shared" ref="AG694:AG725" si="183">V694/AB694*100</f>
        <v>4.11119239209949</v>
      </c>
      <c r="AH694" s="4">
        <f t="shared" ref="AH694:AH725" si="184">Z694/AB694*100</f>
        <v>0.292611558156547</v>
      </c>
    </row>
    <row r="695" spans="1:34">
      <c r="A695" s="2">
        <v>20260315</v>
      </c>
      <c r="B695" s="2" t="s">
        <v>1432</v>
      </c>
      <c r="C695" s="2" t="s">
        <v>1433</v>
      </c>
      <c r="D695" s="2">
        <v>0</v>
      </c>
      <c r="E695" s="2">
        <v>4</v>
      </c>
      <c r="F695" s="2">
        <v>4</v>
      </c>
      <c r="G695" s="2">
        <v>4</v>
      </c>
      <c r="H695" s="2">
        <v>12</v>
      </c>
      <c r="I695" s="3">
        <v>16</v>
      </c>
      <c r="J695" s="2">
        <v>5</v>
      </c>
      <c r="K695" s="2">
        <v>8</v>
      </c>
      <c r="L695" s="2">
        <v>0</v>
      </c>
      <c r="M695" s="2">
        <v>4</v>
      </c>
      <c r="N695" s="2">
        <v>48</v>
      </c>
      <c r="O695" s="2">
        <v>0</v>
      </c>
      <c r="P695" s="3">
        <v>7</v>
      </c>
      <c r="Q695" s="2">
        <v>8</v>
      </c>
      <c r="R695" s="2">
        <v>199</v>
      </c>
      <c r="S695" s="2">
        <v>2</v>
      </c>
      <c r="T695" s="2">
        <v>3</v>
      </c>
      <c r="U695" s="2">
        <v>0</v>
      </c>
      <c r="V695" s="2">
        <f t="shared" ref="V695:V710" si="185">AA695-Y695-X695-W695-U695</f>
        <v>44</v>
      </c>
      <c r="W695" s="2">
        <v>5</v>
      </c>
      <c r="X695" s="2">
        <v>10</v>
      </c>
      <c r="Y695" s="2">
        <v>0</v>
      </c>
      <c r="Z695" s="2">
        <f t="shared" ref="Z695:Z713" si="186">Y695+X695+W695+U695</f>
        <v>15</v>
      </c>
      <c r="AA695" s="2">
        <f t="shared" ref="AA695:AA710" si="187">G695+H695+I695+J695+K695+L695+M695+P695+T695+U695</f>
        <v>59</v>
      </c>
      <c r="AB695" s="2">
        <v>2504</v>
      </c>
      <c r="AC695" s="20">
        <f t="shared" ref="AC695:AC709" si="188">AA695/AB695*100</f>
        <v>2.35623003194888</v>
      </c>
      <c r="AD695" s="2" t="s">
        <v>58</v>
      </c>
      <c r="AE695" s="2">
        <v>100</v>
      </c>
      <c r="AF695" s="21">
        <f t="shared" si="182"/>
        <v>4.4297124600639</v>
      </c>
      <c r="AG695" s="4">
        <f t="shared" si="183"/>
        <v>1.75718849840256</v>
      </c>
      <c r="AH695" s="4">
        <f t="shared" si="184"/>
        <v>0.599041533546326</v>
      </c>
    </row>
    <row r="696" spans="1:34">
      <c r="A696" s="2">
        <v>20260315</v>
      </c>
      <c r="B696" s="2" t="s">
        <v>1434</v>
      </c>
      <c r="C696" s="2" t="s">
        <v>1435</v>
      </c>
      <c r="D696" s="2">
        <v>1</v>
      </c>
      <c r="E696" s="2">
        <v>5</v>
      </c>
      <c r="F696" s="2">
        <v>10</v>
      </c>
      <c r="G696" s="2">
        <v>6</v>
      </c>
      <c r="H696" s="2">
        <v>10</v>
      </c>
      <c r="I696" s="3">
        <v>52</v>
      </c>
      <c r="J696" s="2">
        <v>15</v>
      </c>
      <c r="K696" s="2">
        <v>5</v>
      </c>
      <c r="L696" s="2">
        <v>0</v>
      </c>
      <c r="M696" s="2">
        <v>27</v>
      </c>
      <c r="N696" s="2">
        <v>54</v>
      </c>
      <c r="O696" s="2">
        <v>3</v>
      </c>
      <c r="P696" s="3">
        <v>6</v>
      </c>
      <c r="Q696" s="2">
        <v>11</v>
      </c>
      <c r="R696" s="2">
        <v>115</v>
      </c>
      <c r="S696" s="2">
        <v>0</v>
      </c>
      <c r="T696" s="2">
        <v>4</v>
      </c>
      <c r="U696" s="2">
        <v>0</v>
      </c>
      <c r="V696" s="2">
        <f t="shared" si="185"/>
        <v>77</v>
      </c>
      <c r="W696" s="2">
        <v>17</v>
      </c>
      <c r="X696" s="2">
        <v>31</v>
      </c>
      <c r="Y696" s="2">
        <v>0</v>
      </c>
      <c r="Z696" s="2">
        <f t="shared" si="186"/>
        <v>48</v>
      </c>
      <c r="AA696" s="2">
        <f t="shared" si="187"/>
        <v>125</v>
      </c>
      <c r="AB696" s="2">
        <v>3108</v>
      </c>
      <c r="AC696" s="20">
        <f t="shared" si="188"/>
        <v>4.02187902187902</v>
      </c>
      <c r="AD696" s="2" t="s">
        <v>58</v>
      </c>
      <c r="AE696" s="2">
        <v>100</v>
      </c>
      <c r="AF696" s="21">
        <f t="shared" si="182"/>
        <v>7.56113256113256</v>
      </c>
      <c r="AG696" s="4">
        <f t="shared" si="183"/>
        <v>2.47747747747748</v>
      </c>
      <c r="AH696" s="4">
        <f t="shared" si="184"/>
        <v>1.54440154440154</v>
      </c>
    </row>
    <row r="697" spans="1:34">
      <c r="A697" s="2">
        <v>20260315</v>
      </c>
      <c r="B697" s="2" t="s">
        <v>1436</v>
      </c>
      <c r="C697" s="2" t="s">
        <v>1437</v>
      </c>
      <c r="D697" s="2">
        <v>3</v>
      </c>
      <c r="E697" s="2">
        <v>21</v>
      </c>
      <c r="F697" s="2">
        <v>14</v>
      </c>
      <c r="G697" s="2">
        <v>13</v>
      </c>
      <c r="H697" s="2">
        <v>26</v>
      </c>
      <c r="I697" s="3">
        <v>66</v>
      </c>
      <c r="J697" s="2">
        <v>37</v>
      </c>
      <c r="K697" s="2">
        <v>16</v>
      </c>
      <c r="L697" s="2">
        <v>2</v>
      </c>
      <c r="M697" s="2">
        <v>64</v>
      </c>
      <c r="N697" s="2">
        <v>63</v>
      </c>
      <c r="O697" s="2">
        <v>16</v>
      </c>
      <c r="P697" s="3">
        <v>12</v>
      </c>
      <c r="Q697" s="2">
        <v>18</v>
      </c>
      <c r="R697" s="2">
        <v>255</v>
      </c>
      <c r="S697" s="2">
        <v>1</v>
      </c>
      <c r="T697" s="2">
        <v>6</v>
      </c>
      <c r="U697" s="2">
        <v>1</v>
      </c>
      <c r="V697" s="2">
        <f t="shared" si="185"/>
        <v>129</v>
      </c>
      <c r="W697" s="2">
        <v>98</v>
      </c>
      <c r="X697" s="2">
        <v>15</v>
      </c>
      <c r="Y697" s="2">
        <v>0</v>
      </c>
      <c r="Z697" s="2">
        <f t="shared" si="186"/>
        <v>114</v>
      </c>
      <c r="AA697" s="2">
        <f t="shared" si="187"/>
        <v>243</v>
      </c>
      <c r="AB697" s="2">
        <v>6175</v>
      </c>
      <c r="AC697" s="20">
        <f t="shared" si="188"/>
        <v>3.93522267206478</v>
      </c>
      <c r="AD697" s="2" t="s">
        <v>58</v>
      </c>
      <c r="AE697" s="2">
        <v>100</v>
      </c>
      <c r="AF697" s="21">
        <f t="shared" si="182"/>
        <v>7.39821862348178</v>
      </c>
      <c r="AG697" s="4">
        <f t="shared" si="183"/>
        <v>2.08906882591093</v>
      </c>
      <c r="AH697" s="4">
        <f t="shared" si="184"/>
        <v>1.84615384615385</v>
      </c>
    </row>
    <row r="698" spans="1:34">
      <c r="A698" s="2">
        <v>20260315</v>
      </c>
      <c r="B698" s="2" t="s">
        <v>1438</v>
      </c>
      <c r="C698" s="2" t="s">
        <v>1439</v>
      </c>
      <c r="D698" s="2">
        <v>2</v>
      </c>
      <c r="E698" s="2">
        <v>3</v>
      </c>
      <c r="F698" s="2">
        <v>2</v>
      </c>
      <c r="G698" s="2">
        <v>6</v>
      </c>
      <c r="H698" s="2">
        <v>25</v>
      </c>
      <c r="I698" s="3">
        <v>35</v>
      </c>
      <c r="J698" s="2">
        <v>29</v>
      </c>
      <c r="K698" s="2">
        <v>71</v>
      </c>
      <c r="L698" s="2">
        <v>0</v>
      </c>
      <c r="M698" s="2">
        <v>36</v>
      </c>
      <c r="N698" s="2">
        <v>112</v>
      </c>
      <c r="O698" s="2">
        <v>3</v>
      </c>
      <c r="P698" s="3">
        <v>10</v>
      </c>
      <c r="Q698" s="2">
        <v>8</v>
      </c>
      <c r="R698" s="2">
        <v>282</v>
      </c>
      <c r="S698" s="2">
        <v>11</v>
      </c>
      <c r="T698" s="2">
        <v>3</v>
      </c>
      <c r="U698" s="2">
        <v>2</v>
      </c>
      <c r="V698" s="2">
        <f t="shared" si="185"/>
        <v>169</v>
      </c>
      <c r="W698" s="2">
        <v>35</v>
      </c>
      <c r="X698" s="2">
        <v>11</v>
      </c>
      <c r="Y698" s="2">
        <v>0</v>
      </c>
      <c r="Z698" s="2">
        <f t="shared" si="186"/>
        <v>48</v>
      </c>
      <c r="AA698" s="2">
        <f t="shared" si="187"/>
        <v>217</v>
      </c>
      <c r="AB698" s="2">
        <v>4116</v>
      </c>
      <c r="AC698" s="20">
        <f t="shared" si="188"/>
        <v>5.27210884353742</v>
      </c>
      <c r="AD698" s="2" t="s">
        <v>58</v>
      </c>
      <c r="AE698" s="2">
        <v>100</v>
      </c>
      <c r="AF698" s="21">
        <f t="shared" si="182"/>
        <v>9.91156462585034</v>
      </c>
      <c r="AG698" s="4">
        <f t="shared" si="183"/>
        <v>4.10592808551992</v>
      </c>
      <c r="AH698" s="4">
        <f t="shared" si="184"/>
        <v>1.16618075801749</v>
      </c>
    </row>
    <row r="699" spans="1:34">
      <c r="A699" s="2">
        <v>20260315</v>
      </c>
      <c r="B699" s="2" t="s">
        <v>1440</v>
      </c>
      <c r="C699" s="2" t="s">
        <v>1441</v>
      </c>
      <c r="D699" s="2">
        <v>27</v>
      </c>
      <c r="E699" s="2">
        <v>12</v>
      </c>
      <c r="F699" s="2">
        <v>15</v>
      </c>
      <c r="G699" s="2">
        <v>35</v>
      </c>
      <c r="H699" s="2">
        <v>273</v>
      </c>
      <c r="I699" s="3">
        <v>963</v>
      </c>
      <c r="J699" s="2">
        <v>177</v>
      </c>
      <c r="K699" s="2">
        <v>17</v>
      </c>
      <c r="L699" s="2">
        <v>4</v>
      </c>
      <c r="M699" s="2">
        <v>981</v>
      </c>
      <c r="N699" s="2">
        <v>139</v>
      </c>
      <c r="O699" s="2">
        <v>10</v>
      </c>
      <c r="P699" s="3">
        <v>247</v>
      </c>
      <c r="Q699" s="2">
        <v>16</v>
      </c>
      <c r="R699" s="2">
        <v>695</v>
      </c>
      <c r="S699" s="2">
        <v>9</v>
      </c>
      <c r="T699" s="2">
        <v>26</v>
      </c>
      <c r="U699" s="2">
        <v>7</v>
      </c>
      <c r="V699" s="2">
        <f t="shared" si="185"/>
        <v>2711</v>
      </c>
      <c r="W699" s="2">
        <v>4</v>
      </c>
      <c r="X699" s="2">
        <v>8</v>
      </c>
      <c r="Y699" s="2">
        <v>0</v>
      </c>
      <c r="Z699" s="2">
        <f t="shared" si="186"/>
        <v>19</v>
      </c>
      <c r="AA699" s="2">
        <f t="shared" si="187"/>
        <v>2730</v>
      </c>
      <c r="AB699" s="2">
        <v>4788</v>
      </c>
      <c r="AC699" s="20">
        <f t="shared" si="188"/>
        <v>57.0175438596491</v>
      </c>
      <c r="AD699" s="2" t="s">
        <v>58</v>
      </c>
      <c r="AE699" s="2">
        <v>100</v>
      </c>
      <c r="AF699" s="21">
        <f t="shared" si="182"/>
        <v>107.19298245614</v>
      </c>
      <c r="AG699" s="4">
        <f t="shared" si="183"/>
        <v>56.6207184628237</v>
      </c>
      <c r="AH699" s="4">
        <f t="shared" si="184"/>
        <v>0.396825396825397</v>
      </c>
    </row>
    <row r="700" spans="1:34">
      <c r="A700" s="2">
        <v>20260315</v>
      </c>
      <c r="B700" s="2" t="s">
        <v>1442</v>
      </c>
      <c r="C700" s="2" t="s">
        <v>1443</v>
      </c>
      <c r="D700" s="2">
        <v>4</v>
      </c>
      <c r="E700" s="2">
        <v>31</v>
      </c>
      <c r="F700" s="2">
        <v>16</v>
      </c>
      <c r="G700" s="2">
        <v>12</v>
      </c>
      <c r="H700" s="2">
        <v>13</v>
      </c>
      <c r="I700" s="3">
        <v>21</v>
      </c>
      <c r="J700" s="2">
        <v>17</v>
      </c>
      <c r="K700" s="2">
        <v>14</v>
      </c>
      <c r="L700" s="2">
        <v>1</v>
      </c>
      <c r="M700" s="2">
        <v>10</v>
      </c>
      <c r="N700" s="2">
        <v>67</v>
      </c>
      <c r="O700" s="2">
        <v>9</v>
      </c>
      <c r="P700" s="3">
        <v>6</v>
      </c>
      <c r="Q700" s="2">
        <v>7</v>
      </c>
      <c r="R700" s="2">
        <v>502</v>
      </c>
      <c r="S700" s="2">
        <v>1</v>
      </c>
      <c r="T700" s="2">
        <v>5</v>
      </c>
      <c r="U700" s="2">
        <v>2</v>
      </c>
      <c r="V700" s="2">
        <f t="shared" si="185"/>
        <v>77</v>
      </c>
      <c r="W700" s="2">
        <v>4</v>
      </c>
      <c r="X700" s="2">
        <v>18</v>
      </c>
      <c r="Y700" s="2">
        <v>0</v>
      </c>
      <c r="Z700" s="2">
        <f t="shared" si="186"/>
        <v>24</v>
      </c>
      <c r="AA700" s="2">
        <f t="shared" si="187"/>
        <v>101</v>
      </c>
      <c r="AB700" s="2">
        <v>6731</v>
      </c>
      <c r="AC700" s="20">
        <f t="shared" si="188"/>
        <v>1.50051998217204</v>
      </c>
      <c r="AD700" s="2" t="s">
        <v>58</v>
      </c>
      <c r="AE700" s="2">
        <v>100</v>
      </c>
      <c r="AF700" s="21">
        <f t="shared" si="182"/>
        <v>2.82097756648343</v>
      </c>
      <c r="AG700" s="4">
        <f t="shared" si="183"/>
        <v>1.14396077848759</v>
      </c>
      <c r="AH700" s="4">
        <f t="shared" si="184"/>
        <v>0.356559203684445</v>
      </c>
    </row>
    <row r="701" spans="1:34">
      <c r="A701" s="2">
        <v>20260316</v>
      </c>
      <c r="B701" s="2" t="s">
        <v>1444</v>
      </c>
      <c r="C701" s="2" t="s">
        <v>1445</v>
      </c>
      <c r="D701" s="2">
        <v>2</v>
      </c>
      <c r="E701" s="2">
        <v>2</v>
      </c>
      <c r="F701" s="2">
        <v>9</v>
      </c>
      <c r="G701" s="2">
        <v>2</v>
      </c>
      <c r="H701" s="2">
        <v>7</v>
      </c>
      <c r="I701" s="3">
        <v>19</v>
      </c>
      <c r="J701" s="2">
        <v>9</v>
      </c>
      <c r="K701" s="2">
        <v>78</v>
      </c>
      <c r="L701" s="2">
        <v>0</v>
      </c>
      <c r="M701" s="2">
        <v>8</v>
      </c>
      <c r="N701" s="2">
        <v>145</v>
      </c>
      <c r="O701" s="2">
        <v>1</v>
      </c>
      <c r="P701" s="3">
        <v>5</v>
      </c>
      <c r="Q701" s="2">
        <v>24</v>
      </c>
      <c r="R701" s="2">
        <v>283</v>
      </c>
      <c r="S701" s="2">
        <v>5</v>
      </c>
      <c r="T701" s="2">
        <v>2</v>
      </c>
      <c r="U701" s="2">
        <v>2</v>
      </c>
      <c r="V701" s="2">
        <f t="shared" si="185"/>
        <v>114</v>
      </c>
      <c r="W701" s="2">
        <v>6</v>
      </c>
      <c r="X701" s="2">
        <v>10</v>
      </c>
      <c r="Y701" s="2">
        <v>0</v>
      </c>
      <c r="Z701" s="2">
        <f t="shared" si="186"/>
        <v>18</v>
      </c>
      <c r="AA701" s="2">
        <f t="shared" si="187"/>
        <v>132</v>
      </c>
      <c r="AB701" s="2">
        <v>6375</v>
      </c>
      <c r="AC701" s="20">
        <f t="shared" si="188"/>
        <v>2.07058823529412</v>
      </c>
      <c r="AD701" s="2" t="s">
        <v>58</v>
      </c>
      <c r="AE701" s="2">
        <v>100</v>
      </c>
      <c r="AF701" s="21">
        <f t="shared" si="182"/>
        <v>3.89270588235294</v>
      </c>
      <c r="AG701" s="4">
        <f t="shared" si="183"/>
        <v>1.78823529411765</v>
      </c>
      <c r="AH701" s="4">
        <f t="shared" si="184"/>
        <v>0.282352941176471</v>
      </c>
    </row>
    <row r="702" spans="1:34">
      <c r="A702" s="2">
        <v>20260316</v>
      </c>
      <c r="B702" s="2" t="s">
        <v>1446</v>
      </c>
      <c r="C702" s="2" t="s">
        <v>1447</v>
      </c>
      <c r="D702" s="2">
        <v>4</v>
      </c>
      <c r="E702" s="2">
        <v>5</v>
      </c>
      <c r="F702" s="2">
        <v>7</v>
      </c>
      <c r="G702" s="2">
        <v>4</v>
      </c>
      <c r="H702" s="2">
        <v>10</v>
      </c>
      <c r="I702" s="3">
        <v>15</v>
      </c>
      <c r="J702" s="2">
        <v>20</v>
      </c>
      <c r="K702" s="2">
        <v>35</v>
      </c>
      <c r="L702" s="2">
        <v>1</v>
      </c>
      <c r="M702" s="2">
        <v>6</v>
      </c>
      <c r="N702" s="2">
        <v>64</v>
      </c>
      <c r="O702" s="2">
        <v>5</v>
      </c>
      <c r="P702" s="3">
        <v>4</v>
      </c>
      <c r="Q702" s="2">
        <v>11</v>
      </c>
      <c r="R702" s="2">
        <v>292</v>
      </c>
      <c r="S702" s="2">
        <v>3</v>
      </c>
      <c r="T702" s="2">
        <v>3</v>
      </c>
      <c r="U702" s="2">
        <v>1</v>
      </c>
      <c r="V702" s="2">
        <f t="shared" si="185"/>
        <v>83</v>
      </c>
      <c r="W702" s="2">
        <v>5</v>
      </c>
      <c r="X702" s="2">
        <v>10</v>
      </c>
      <c r="Y702" s="2">
        <v>0</v>
      </c>
      <c r="Z702" s="2">
        <f t="shared" si="186"/>
        <v>16</v>
      </c>
      <c r="AA702" s="2">
        <f t="shared" si="187"/>
        <v>99</v>
      </c>
      <c r="AB702" s="2">
        <v>6175</v>
      </c>
      <c r="AC702" s="20">
        <f t="shared" si="188"/>
        <v>1.60323886639676</v>
      </c>
      <c r="AD702" s="2" t="s">
        <v>58</v>
      </c>
      <c r="AE702" s="2">
        <v>100</v>
      </c>
      <c r="AF702" s="21">
        <f t="shared" si="182"/>
        <v>3.01408906882591</v>
      </c>
      <c r="AG702" s="4">
        <f t="shared" si="183"/>
        <v>1.34412955465587</v>
      </c>
      <c r="AH702" s="4">
        <f t="shared" si="184"/>
        <v>0.259109311740891</v>
      </c>
    </row>
    <row r="703" spans="1:34">
      <c r="A703" s="2">
        <v>20260316</v>
      </c>
      <c r="B703" s="2" t="s">
        <v>1448</v>
      </c>
      <c r="C703" s="2" t="s">
        <v>1449</v>
      </c>
      <c r="D703" s="2">
        <v>1</v>
      </c>
      <c r="E703" s="2">
        <v>13</v>
      </c>
      <c r="F703" s="2">
        <v>3</v>
      </c>
      <c r="G703" s="2">
        <v>1</v>
      </c>
      <c r="H703" s="2">
        <v>11</v>
      </c>
      <c r="I703" s="3">
        <v>12</v>
      </c>
      <c r="J703" s="2">
        <v>8</v>
      </c>
      <c r="K703" s="2">
        <v>11</v>
      </c>
      <c r="L703" s="2">
        <v>0</v>
      </c>
      <c r="M703" s="2">
        <v>11</v>
      </c>
      <c r="N703" s="2">
        <v>26</v>
      </c>
      <c r="O703" s="2">
        <v>1</v>
      </c>
      <c r="P703" s="3">
        <v>2</v>
      </c>
      <c r="Q703" s="2">
        <v>16</v>
      </c>
      <c r="R703" s="2">
        <v>292</v>
      </c>
      <c r="S703" s="2">
        <v>4</v>
      </c>
      <c r="T703" s="2">
        <v>1</v>
      </c>
      <c r="U703" s="2">
        <v>2</v>
      </c>
      <c r="V703" s="2">
        <f t="shared" si="185"/>
        <v>45</v>
      </c>
      <c r="W703" s="2">
        <v>8</v>
      </c>
      <c r="X703" s="2">
        <v>4</v>
      </c>
      <c r="Y703" s="2">
        <v>0</v>
      </c>
      <c r="Z703" s="2">
        <f t="shared" si="186"/>
        <v>14</v>
      </c>
      <c r="AA703" s="2">
        <f t="shared" si="187"/>
        <v>59</v>
      </c>
      <c r="AB703" s="2">
        <v>6175</v>
      </c>
      <c r="AC703" s="20">
        <f t="shared" si="188"/>
        <v>0.955465587044534</v>
      </c>
      <c r="AD703" s="2" t="s">
        <v>58</v>
      </c>
      <c r="AE703" s="2">
        <v>100</v>
      </c>
      <c r="AF703" s="21">
        <f t="shared" si="182"/>
        <v>1.79627530364372</v>
      </c>
      <c r="AG703" s="4">
        <f t="shared" si="183"/>
        <v>0.728744939271255</v>
      </c>
      <c r="AH703" s="4">
        <f t="shared" si="184"/>
        <v>0.226720647773279</v>
      </c>
    </row>
    <row r="704" spans="1:34">
      <c r="A704" s="2">
        <v>20260316</v>
      </c>
      <c r="B704" s="2" t="s">
        <v>1450</v>
      </c>
      <c r="C704" s="2" t="s">
        <v>1451</v>
      </c>
      <c r="D704" s="2">
        <v>1</v>
      </c>
      <c r="E704" s="2">
        <v>31</v>
      </c>
      <c r="F704" s="2">
        <v>7</v>
      </c>
      <c r="G704" s="2">
        <v>2</v>
      </c>
      <c r="H704" s="2">
        <v>33</v>
      </c>
      <c r="I704" s="3">
        <v>9</v>
      </c>
      <c r="J704" s="2">
        <v>19</v>
      </c>
      <c r="K704" s="2">
        <v>0</v>
      </c>
      <c r="L704" s="2">
        <v>0</v>
      </c>
      <c r="M704" s="2">
        <v>0</v>
      </c>
      <c r="N704" s="2">
        <v>21</v>
      </c>
      <c r="O704" s="2">
        <v>7</v>
      </c>
      <c r="P704" s="3">
        <v>0</v>
      </c>
      <c r="Q704" s="2">
        <v>3</v>
      </c>
      <c r="R704" s="2">
        <v>55</v>
      </c>
      <c r="S704" s="2">
        <v>1</v>
      </c>
      <c r="T704" s="2">
        <v>1</v>
      </c>
      <c r="U704" s="2">
        <v>6</v>
      </c>
      <c r="V704" s="2">
        <f t="shared" si="185"/>
        <v>58</v>
      </c>
      <c r="W704" s="2">
        <v>1</v>
      </c>
      <c r="X704" s="2">
        <v>5</v>
      </c>
      <c r="Y704" s="2">
        <v>0</v>
      </c>
      <c r="Z704" s="2">
        <f t="shared" si="186"/>
        <v>12</v>
      </c>
      <c r="AA704" s="2">
        <f t="shared" si="187"/>
        <v>70</v>
      </c>
      <c r="AB704" s="2">
        <v>3117</v>
      </c>
      <c r="AC704" s="20">
        <f t="shared" si="188"/>
        <v>2.24574911774142</v>
      </c>
      <c r="AD704" s="2" t="s">
        <v>58</v>
      </c>
      <c r="AE704" s="2">
        <v>100</v>
      </c>
      <c r="AF704" s="21">
        <f t="shared" si="182"/>
        <v>4.22200834135387</v>
      </c>
      <c r="AG704" s="4">
        <f t="shared" si="183"/>
        <v>1.86076355470003</v>
      </c>
      <c r="AH704" s="4">
        <f t="shared" si="184"/>
        <v>0.384985563041386</v>
      </c>
    </row>
    <row r="705" spans="1:34">
      <c r="A705" s="2">
        <v>20260316</v>
      </c>
      <c r="B705" s="2" t="s">
        <v>1452</v>
      </c>
      <c r="C705" s="2" t="s">
        <v>1453</v>
      </c>
      <c r="D705" s="2">
        <v>5</v>
      </c>
      <c r="E705" s="2">
        <v>12</v>
      </c>
      <c r="F705" s="2">
        <v>14</v>
      </c>
      <c r="G705" s="2">
        <v>8</v>
      </c>
      <c r="H705" s="2">
        <v>24</v>
      </c>
      <c r="I705" s="3">
        <v>22</v>
      </c>
      <c r="J705" s="2">
        <v>24</v>
      </c>
      <c r="K705" s="2">
        <v>55</v>
      </c>
      <c r="L705" s="2">
        <v>4</v>
      </c>
      <c r="M705" s="2">
        <v>5</v>
      </c>
      <c r="N705" s="2">
        <v>112</v>
      </c>
      <c r="O705" s="2">
        <v>0</v>
      </c>
      <c r="P705" s="3">
        <v>2</v>
      </c>
      <c r="Q705" s="2">
        <v>16</v>
      </c>
      <c r="R705" s="2">
        <v>494</v>
      </c>
      <c r="S705" s="2">
        <v>8</v>
      </c>
      <c r="T705" s="2">
        <v>2</v>
      </c>
      <c r="U705" s="2">
        <v>1</v>
      </c>
      <c r="V705" s="2">
        <f t="shared" si="185"/>
        <v>128</v>
      </c>
      <c r="W705" s="2">
        <v>5</v>
      </c>
      <c r="X705" s="2">
        <v>12</v>
      </c>
      <c r="Y705" s="2">
        <v>1</v>
      </c>
      <c r="Z705" s="2">
        <f t="shared" si="186"/>
        <v>19</v>
      </c>
      <c r="AA705" s="2">
        <f t="shared" si="187"/>
        <v>147</v>
      </c>
      <c r="AB705" s="2">
        <v>6375</v>
      </c>
      <c r="AC705" s="20">
        <f t="shared" si="188"/>
        <v>2.30588235294118</v>
      </c>
      <c r="AD705" s="2" t="s">
        <v>58</v>
      </c>
      <c r="AE705" s="2">
        <v>100</v>
      </c>
      <c r="AF705" s="21">
        <f t="shared" si="182"/>
        <v>4.33505882352941</v>
      </c>
      <c r="AG705" s="4">
        <f t="shared" si="183"/>
        <v>2.0078431372549</v>
      </c>
      <c r="AH705" s="4">
        <f t="shared" si="184"/>
        <v>0.298039215686275</v>
      </c>
    </row>
    <row r="706" spans="1:34">
      <c r="A706" s="2">
        <v>20260316</v>
      </c>
      <c r="B706" s="2" t="s">
        <v>1454</v>
      </c>
      <c r="C706" s="2" t="s">
        <v>1455</v>
      </c>
      <c r="D706" s="2">
        <v>2</v>
      </c>
      <c r="E706" s="2">
        <v>12</v>
      </c>
      <c r="F706" s="2">
        <v>10</v>
      </c>
      <c r="G706" s="2">
        <v>8</v>
      </c>
      <c r="H706" s="2">
        <v>31</v>
      </c>
      <c r="I706" s="3">
        <v>23</v>
      </c>
      <c r="J706" s="2">
        <v>22</v>
      </c>
      <c r="K706" s="2">
        <v>35</v>
      </c>
      <c r="L706" s="2">
        <v>11</v>
      </c>
      <c r="M706" s="2">
        <v>78</v>
      </c>
      <c r="N706" s="2">
        <v>5</v>
      </c>
      <c r="O706" s="2">
        <v>7</v>
      </c>
      <c r="P706" s="3">
        <v>14</v>
      </c>
      <c r="Q706" s="2">
        <v>494</v>
      </c>
      <c r="R706" s="2">
        <v>4</v>
      </c>
      <c r="S706" s="2">
        <v>13</v>
      </c>
      <c r="T706" s="2">
        <v>0</v>
      </c>
      <c r="U706" s="2">
        <v>0</v>
      </c>
      <c r="V706" s="2">
        <f t="shared" si="185"/>
        <v>214</v>
      </c>
      <c r="W706" s="2">
        <v>3</v>
      </c>
      <c r="X706" s="2">
        <v>5</v>
      </c>
      <c r="Y706" s="2">
        <v>0</v>
      </c>
      <c r="Z706" s="2">
        <f t="shared" si="186"/>
        <v>8</v>
      </c>
      <c r="AA706" s="2">
        <f t="shared" si="187"/>
        <v>222</v>
      </c>
      <c r="AB706" s="2">
        <v>6173</v>
      </c>
      <c r="AC706" s="20">
        <f t="shared" si="188"/>
        <v>3.5963064960311</v>
      </c>
      <c r="AD706" s="2" t="s">
        <v>58</v>
      </c>
      <c r="AE706" s="2">
        <v>100</v>
      </c>
      <c r="AF706" s="21">
        <f t="shared" si="182"/>
        <v>6.76105621253847</v>
      </c>
      <c r="AG706" s="4">
        <f t="shared" si="183"/>
        <v>3.4667098655435</v>
      </c>
      <c r="AH706" s="4">
        <f t="shared" si="184"/>
        <v>0.129596630487607</v>
      </c>
    </row>
    <row r="707" spans="1:34">
      <c r="A707" s="2">
        <v>20260316</v>
      </c>
      <c r="B707" s="2" t="s">
        <v>1456</v>
      </c>
      <c r="C707" s="2" t="s">
        <v>1457</v>
      </c>
      <c r="D707" s="2">
        <v>1</v>
      </c>
      <c r="E707" s="2">
        <v>1</v>
      </c>
      <c r="F707" s="2">
        <v>3</v>
      </c>
      <c r="G707" s="2">
        <v>1</v>
      </c>
      <c r="H707" s="2">
        <v>2</v>
      </c>
      <c r="I707" s="3">
        <v>10</v>
      </c>
      <c r="J707" s="2">
        <v>5</v>
      </c>
      <c r="K707" s="2">
        <v>2</v>
      </c>
      <c r="L707" s="2">
        <v>1</v>
      </c>
      <c r="M707" s="2">
        <v>0</v>
      </c>
      <c r="N707" s="2">
        <v>20</v>
      </c>
      <c r="O707" s="2">
        <v>10</v>
      </c>
      <c r="P707" s="3">
        <v>3</v>
      </c>
      <c r="Q707" s="2">
        <v>6</v>
      </c>
      <c r="R707" s="2">
        <v>15</v>
      </c>
      <c r="S707" s="2">
        <v>1</v>
      </c>
      <c r="T707" s="2">
        <v>0</v>
      </c>
      <c r="U707" s="2">
        <v>0</v>
      </c>
      <c r="V707" s="2">
        <f t="shared" si="185"/>
        <v>18</v>
      </c>
      <c r="W707" s="2">
        <v>0</v>
      </c>
      <c r="X707" s="2">
        <v>6</v>
      </c>
      <c r="Y707" s="2">
        <v>0</v>
      </c>
      <c r="Z707" s="2">
        <f t="shared" si="186"/>
        <v>6</v>
      </c>
      <c r="AA707" s="2">
        <f t="shared" si="187"/>
        <v>24</v>
      </c>
      <c r="AB707" s="2">
        <v>2404</v>
      </c>
      <c r="AC707" s="20">
        <f t="shared" si="188"/>
        <v>0.998336106489185</v>
      </c>
      <c r="AD707" s="2" t="s">
        <v>83</v>
      </c>
      <c r="AE707" s="2">
        <v>125</v>
      </c>
      <c r="AF707" s="21">
        <f t="shared" si="182"/>
        <v>1.50149750415973</v>
      </c>
      <c r="AG707" s="4">
        <f t="shared" si="183"/>
        <v>0.748752079866889</v>
      </c>
      <c r="AH707" s="4">
        <f t="shared" si="184"/>
        <v>0.249584026622296</v>
      </c>
    </row>
    <row r="708" spans="1:34">
      <c r="A708" s="2">
        <v>20260316</v>
      </c>
      <c r="B708" s="2" t="s">
        <v>1458</v>
      </c>
      <c r="C708" s="2" t="s">
        <v>1459</v>
      </c>
      <c r="D708" s="2">
        <v>0</v>
      </c>
      <c r="E708" s="2">
        <v>1</v>
      </c>
      <c r="F708" s="2">
        <v>7</v>
      </c>
      <c r="G708" s="2">
        <v>2</v>
      </c>
      <c r="H708" s="2">
        <v>5</v>
      </c>
      <c r="I708" s="3">
        <v>11</v>
      </c>
      <c r="J708" s="2">
        <v>4</v>
      </c>
      <c r="K708" s="2">
        <v>6</v>
      </c>
      <c r="L708" s="2">
        <v>0</v>
      </c>
      <c r="M708" s="2">
        <v>6</v>
      </c>
      <c r="N708" s="2">
        <v>23</v>
      </c>
      <c r="O708" s="2">
        <v>11</v>
      </c>
      <c r="P708" s="3">
        <v>3</v>
      </c>
      <c r="Q708" s="2">
        <v>12</v>
      </c>
      <c r="R708" s="2">
        <v>42</v>
      </c>
      <c r="S708" s="2">
        <v>2</v>
      </c>
      <c r="T708" s="2">
        <v>2</v>
      </c>
      <c r="U708" s="2">
        <v>1</v>
      </c>
      <c r="V708" s="2">
        <f t="shared" si="185"/>
        <v>39</v>
      </c>
      <c r="W708" s="2">
        <v>0</v>
      </c>
      <c r="X708" s="2">
        <v>0</v>
      </c>
      <c r="Y708" s="2">
        <v>0</v>
      </c>
      <c r="Z708" s="2">
        <f t="shared" si="186"/>
        <v>1</v>
      </c>
      <c r="AA708" s="2">
        <f t="shared" si="187"/>
        <v>40</v>
      </c>
      <c r="AB708" s="2">
        <v>4152</v>
      </c>
      <c r="AC708" s="20">
        <f t="shared" si="188"/>
        <v>0.963391136801541</v>
      </c>
      <c r="AD708" s="2" t="s">
        <v>83</v>
      </c>
      <c r="AE708" s="2">
        <v>125</v>
      </c>
      <c r="AF708" s="21">
        <f t="shared" si="182"/>
        <v>1.44894026974952</v>
      </c>
      <c r="AG708" s="4">
        <f t="shared" si="183"/>
        <v>0.939306358381503</v>
      </c>
      <c r="AH708" s="4">
        <f t="shared" si="184"/>
        <v>0.0240847784200385</v>
      </c>
    </row>
    <row r="709" spans="1:34">
      <c r="A709" s="2">
        <v>20260316</v>
      </c>
      <c r="B709" s="2" t="s">
        <v>1460</v>
      </c>
      <c r="C709" s="2" t="s">
        <v>1461</v>
      </c>
      <c r="D709" s="2">
        <v>6</v>
      </c>
      <c r="E709" s="2">
        <v>0</v>
      </c>
      <c r="F709" s="2">
        <v>9</v>
      </c>
      <c r="G709" s="2">
        <v>5</v>
      </c>
      <c r="H709" s="2">
        <v>1</v>
      </c>
      <c r="I709" s="3">
        <v>20</v>
      </c>
      <c r="J709" s="2">
        <v>9</v>
      </c>
      <c r="K709" s="2">
        <v>19</v>
      </c>
      <c r="L709" s="2">
        <v>1</v>
      </c>
      <c r="M709" s="2">
        <v>1</v>
      </c>
      <c r="N709" s="2">
        <v>54</v>
      </c>
      <c r="O709" s="2">
        <v>5</v>
      </c>
      <c r="P709" s="3">
        <v>1</v>
      </c>
      <c r="Q709" s="2">
        <v>8</v>
      </c>
      <c r="R709" s="2">
        <v>16</v>
      </c>
      <c r="S709" s="2">
        <v>3</v>
      </c>
      <c r="T709" s="2">
        <v>1</v>
      </c>
      <c r="U709" s="2">
        <v>0</v>
      </c>
      <c r="V709" s="2">
        <f t="shared" si="185"/>
        <v>55</v>
      </c>
      <c r="W709" s="2">
        <v>0</v>
      </c>
      <c r="X709" s="2">
        <v>3</v>
      </c>
      <c r="Y709" s="2">
        <v>0</v>
      </c>
      <c r="Z709" s="2">
        <f t="shared" si="186"/>
        <v>3</v>
      </c>
      <c r="AA709" s="2">
        <f t="shared" si="187"/>
        <v>58</v>
      </c>
      <c r="AB709" s="2">
        <v>2104</v>
      </c>
      <c r="AC709" s="20">
        <f t="shared" si="188"/>
        <v>2.75665399239544</v>
      </c>
      <c r="AD709" s="2" t="s">
        <v>83</v>
      </c>
      <c r="AE709" s="2">
        <v>125</v>
      </c>
      <c r="AF709" s="21">
        <f t="shared" si="182"/>
        <v>4.14600760456274</v>
      </c>
      <c r="AG709" s="4">
        <f t="shared" si="183"/>
        <v>2.61406844106464</v>
      </c>
      <c r="AH709" s="4">
        <f t="shared" si="184"/>
        <v>0.142585551330798</v>
      </c>
    </row>
    <row r="710" spans="1:34">
      <c r="A710" s="2">
        <v>20260316</v>
      </c>
      <c r="B710" s="2" t="s">
        <v>1462</v>
      </c>
      <c r="C710" s="2" t="s">
        <v>1463</v>
      </c>
      <c r="D710" s="2">
        <v>1</v>
      </c>
      <c r="E710" s="2">
        <v>8654</v>
      </c>
      <c r="F710" s="2">
        <v>10</v>
      </c>
      <c r="G710" s="2">
        <v>2</v>
      </c>
      <c r="H710" s="2">
        <v>85</v>
      </c>
      <c r="I710" s="3">
        <v>52</v>
      </c>
      <c r="J710" s="2">
        <v>359</v>
      </c>
      <c r="K710" s="2">
        <v>2</v>
      </c>
      <c r="L710" s="2">
        <v>2</v>
      </c>
      <c r="M710" s="2">
        <v>129</v>
      </c>
      <c r="N710" s="2">
        <v>948</v>
      </c>
      <c r="O710" s="2">
        <v>33</v>
      </c>
      <c r="P710" s="3">
        <v>152</v>
      </c>
      <c r="Q710" s="2">
        <v>14</v>
      </c>
      <c r="R710" s="2">
        <v>98</v>
      </c>
      <c r="S710" s="2">
        <v>1</v>
      </c>
      <c r="T710" s="2">
        <v>830</v>
      </c>
      <c r="U710" s="2">
        <v>3</v>
      </c>
      <c r="V710" s="2">
        <f t="shared" ref="V710:V719" si="189">AA710-Y710-X710-W710-U710</f>
        <v>1613</v>
      </c>
      <c r="W710" s="2">
        <v>0</v>
      </c>
      <c r="X710" s="2">
        <v>0</v>
      </c>
      <c r="Y710" s="2">
        <v>0</v>
      </c>
      <c r="Z710" s="2">
        <f t="shared" si="186"/>
        <v>3</v>
      </c>
      <c r="AA710" s="2">
        <f t="shared" ref="AA710:AA719" si="190">G710+H710+I710+J710+K710+L710+M710+P710+T710+U710</f>
        <v>1616</v>
      </c>
      <c r="AB710" s="2">
        <v>2187</v>
      </c>
      <c r="AC710" s="20">
        <f t="shared" ref="AC710:AC718" si="191">AA710/AB710*100</f>
        <v>73.891175125743</v>
      </c>
      <c r="AD710" s="2" t="s">
        <v>343</v>
      </c>
      <c r="AE710" s="2">
        <v>150</v>
      </c>
      <c r="AF710" s="21">
        <f t="shared" si="182"/>
        <v>92.6102728242646</v>
      </c>
      <c r="AG710" s="4">
        <f t="shared" si="183"/>
        <v>73.7540009144947</v>
      </c>
      <c r="AH710" s="4">
        <f t="shared" si="184"/>
        <v>0.137174211248285</v>
      </c>
    </row>
    <row r="711" spans="1:34">
      <c r="A711" s="2">
        <v>20260316</v>
      </c>
      <c r="B711" s="2" t="s">
        <v>1464</v>
      </c>
      <c r="C711" s="2" t="s">
        <v>1465</v>
      </c>
      <c r="D711" s="2">
        <v>0</v>
      </c>
      <c r="E711" s="2">
        <v>731</v>
      </c>
      <c r="F711" s="2">
        <v>1</v>
      </c>
      <c r="G711" s="2">
        <v>3</v>
      </c>
      <c r="H711" s="2">
        <v>27</v>
      </c>
      <c r="I711" s="3">
        <v>48</v>
      </c>
      <c r="J711" s="2">
        <v>27</v>
      </c>
      <c r="K711" s="2">
        <v>3</v>
      </c>
      <c r="L711" s="2">
        <v>0</v>
      </c>
      <c r="M711" s="2">
        <v>77</v>
      </c>
      <c r="N711" s="2">
        <v>18</v>
      </c>
      <c r="O711" s="2">
        <v>0</v>
      </c>
      <c r="P711" s="3">
        <v>120</v>
      </c>
      <c r="Q711" s="2">
        <v>1</v>
      </c>
      <c r="R711" s="2">
        <v>93</v>
      </c>
      <c r="S711" s="2">
        <v>3</v>
      </c>
      <c r="T711" s="2">
        <v>12</v>
      </c>
      <c r="U711" s="2">
        <v>0</v>
      </c>
      <c r="V711" s="2">
        <f t="shared" si="189"/>
        <v>317</v>
      </c>
      <c r="W711" s="2">
        <v>0</v>
      </c>
      <c r="X711" s="2">
        <v>0</v>
      </c>
      <c r="Y711" s="2">
        <v>0</v>
      </c>
      <c r="Z711" s="2">
        <f t="shared" si="186"/>
        <v>0</v>
      </c>
      <c r="AA711" s="2">
        <f t="shared" si="190"/>
        <v>317</v>
      </c>
      <c r="AB711" s="2">
        <v>2087</v>
      </c>
      <c r="AC711" s="20">
        <f t="shared" si="191"/>
        <v>15.1892668902731</v>
      </c>
      <c r="AD711" s="2" t="s">
        <v>343</v>
      </c>
      <c r="AE711" s="2">
        <v>150</v>
      </c>
      <c r="AF711" s="21">
        <f t="shared" si="182"/>
        <v>19.0372145024756</v>
      </c>
      <c r="AG711" s="4">
        <f t="shared" si="183"/>
        <v>15.1892668902731</v>
      </c>
      <c r="AH711" s="4">
        <f t="shared" si="184"/>
        <v>0</v>
      </c>
    </row>
    <row r="712" spans="1:34">
      <c r="A712" s="2">
        <v>20260316</v>
      </c>
      <c r="B712" s="2" t="s">
        <v>1466</v>
      </c>
      <c r="C712" s="2" t="s">
        <v>1467</v>
      </c>
      <c r="D712" s="2">
        <v>893</v>
      </c>
      <c r="E712" s="2">
        <v>2415</v>
      </c>
      <c r="F712" s="2">
        <v>15</v>
      </c>
      <c r="G712" s="2">
        <v>5</v>
      </c>
      <c r="H712" s="2">
        <v>37</v>
      </c>
      <c r="I712" s="3">
        <v>5021</v>
      </c>
      <c r="J712" s="2">
        <v>59</v>
      </c>
      <c r="K712" s="2">
        <v>4</v>
      </c>
      <c r="L712" s="2">
        <v>0</v>
      </c>
      <c r="M712" s="2">
        <v>73</v>
      </c>
      <c r="N712" s="2">
        <v>183</v>
      </c>
      <c r="O712" s="2">
        <v>504</v>
      </c>
      <c r="P712" s="3">
        <v>115</v>
      </c>
      <c r="Q712" s="2">
        <v>4</v>
      </c>
      <c r="R712" s="2">
        <v>74</v>
      </c>
      <c r="S712" s="2">
        <v>1</v>
      </c>
      <c r="T712" s="2">
        <v>86</v>
      </c>
      <c r="U712" s="2">
        <v>2</v>
      </c>
      <c r="V712" s="2">
        <f t="shared" si="189"/>
        <v>5400</v>
      </c>
      <c r="W712" s="2">
        <v>0</v>
      </c>
      <c r="X712" s="2">
        <v>0</v>
      </c>
      <c r="Y712" s="2">
        <v>0</v>
      </c>
      <c r="Z712" s="2">
        <f t="shared" si="186"/>
        <v>2</v>
      </c>
      <c r="AA712" s="2">
        <f t="shared" si="190"/>
        <v>5402</v>
      </c>
      <c r="AB712" s="2">
        <v>2097</v>
      </c>
      <c r="AC712" s="20">
        <f t="shared" si="191"/>
        <v>257.606103958035</v>
      </c>
      <c r="AD712" s="2" t="s">
        <v>343</v>
      </c>
      <c r="AE712" s="2">
        <v>150</v>
      </c>
      <c r="AF712" s="21">
        <f t="shared" si="182"/>
        <v>322.866316960738</v>
      </c>
      <c r="AG712" s="4">
        <f t="shared" si="183"/>
        <v>257.510729613734</v>
      </c>
      <c r="AH712" s="4">
        <f t="shared" si="184"/>
        <v>0.0953743443013829</v>
      </c>
    </row>
    <row r="713" spans="1:34">
      <c r="A713" s="2">
        <v>20260316</v>
      </c>
      <c r="B713" s="2" t="s">
        <v>1468</v>
      </c>
      <c r="C713" s="2" t="s">
        <v>1469</v>
      </c>
      <c r="D713" s="2">
        <v>578</v>
      </c>
      <c r="E713" s="2">
        <f>1300+48</f>
        <v>1348</v>
      </c>
      <c r="F713" s="2">
        <v>4</v>
      </c>
      <c r="G713" s="2">
        <v>5</v>
      </c>
      <c r="H713" s="2">
        <v>44</v>
      </c>
      <c r="I713" s="3">
        <v>2723</v>
      </c>
      <c r="J713" s="2">
        <v>64</v>
      </c>
      <c r="K713" s="2">
        <v>0</v>
      </c>
      <c r="L713" s="2">
        <v>2</v>
      </c>
      <c r="M713" s="2">
        <v>131</v>
      </c>
      <c r="N713" s="2">
        <v>17</v>
      </c>
      <c r="O713" s="2">
        <v>231</v>
      </c>
      <c r="P713" s="3">
        <f>117+23</f>
        <v>140</v>
      </c>
      <c r="Q713" s="2">
        <v>4</v>
      </c>
      <c r="R713" s="2">
        <f>197+64</f>
        <v>261</v>
      </c>
      <c r="S713" s="2">
        <v>2</v>
      </c>
      <c r="T713" s="2">
        <v>38</v>
      </c>
      <c r="U713" s="2">
        <v>2</v>
      </c>
      <c r="V713" s="2">
        <f t="shared" si="189"/>
        <v>3136</v>
      </c>
      <c r="W713" s="2">
        <v>3</v>
      </c>
      <c r="X713" s="2">
        <v>8</v>
      </c>
      <c r="Y713" s="2">
        <v>0</v>
      </c>
      <c r="Z713" s="2">
        <f t="shared" si="186"/>
        <v>13</v>
      </c>
      <c r="AA713" s="2">
        <f t="shared" si="190"/>
        <v>3149</v>
      </c>
      <c r="AB713" s="2">
        <v>4205</v>
      </c>
      <c r="AC713" s="20">
        <f t="shared" si="191"/>
        <v>74.8870392390012</v>
      </c>
      <c r="AD713" s="2" t="s">
        <v>343</v>
      </c>
      <c r="AE713" s="2">
        <v>150</v>
      </c>
      <c r="AF713" s="21">
        <f t="shared" si="182"/>
        <v>93.8584225128815</v>
      </c>
      <c r="AG713" s="4">
        <f t="shared" si="183"/>
        <v>74.5778834720571</v>
      </c>
      <c r="AH713" s="4">
        <f t="shared" si="184"/>
        <v>0.309155766944114</v>
      </c>
    </row>
    <row r="714" spans="1:34">
      <c r="A714" s="2">
        <v>20260316</v>
      </c>
      <c r="B714" s="8" t="s">
        <v>1470</v>
      </c>
      <c r="C714" s="2" t="s">
        <v>1471</v>
      </c>
      <c r="D714" s="2">
        <v>1</v>
      </c>
      <c r="E714" s="2">
        <v>66</v>
      </c>
      <c r="F714" s="2">
        <v>1</v>
      </c>
      <c r="G714" s="2">
        <v>3</v>
      </c>
      <c r="H714" s="2">
        <v>25</v>
      </c>
      <c r="I714" s="3">
        <v>26</v>
      </c>
      <c r="J714" s="2">
        <v>26</v>
      </c>
      <c r="K714" s="2">
        <v>1</v>
      </c>
      <c r="L714" s="2">
        <v>2</v>
      </c>
      <c r="M714" s="2">
        <v>44</v>
      </c>
      <c r="N714" s="2">
        <v>6</v>
      </c>
      <c r="O714" s="2">
        <v>0</v>
      </c>
      <c r="P714" s="3">
        <v>75</v>
      </c>
      <c r="Q714" s="2">
        <v>0</v>
      </c>
      <c r="R714" s="2">
        <v>210</v>
      </c>
      <c r="S714" s="2">
        <v>0</v>
      </c>
      <c r="T714" s="2">
        <v>6</v>
      </c>
      <c r="U714" s="2">
        <v>0</v>
      </c>
      <c r="V714" s="2">
        <f t="shared" si="189"/>
        <v>202</v>
      </c>
      <c r="W714" s="2">
        <v>0</v>
      </c>
      <c r="X714" s="2">
        <v>6</v>
      </c>
      <c r="Y714" s="2">
        <v>0</v>
      </c>
      <c r="Z714" s="2">
        <f t="shared" ref="Z710:Z719" si="192">Y714+X714+W714+U714</f>
        <v>6</v>
      </c>
      <c r="AA714" s="2">
        <f t="shared" si="190"/>
        <v>208</v>
      </c>
      <c r="AB714" s="2">
        <v>2013</v>
      </c>
      <c r="AC714" s="20">
        <f t="shared" si="191"/>
        <v>10.3328365623448</v>
      </c>
      <c r="AD714" s="2" t="s">
        <v>343</v>
      </c>
      <c r="AE714" s="2">
        <v>150</v>
      </c>
      <c r="AF714" s="21">
        <f t="shared" si="182"/>
        <v>12.9504884914721</v>
      </c>
      <c r="AG714" s="4">
        <f t="shared" si="183"/>
        <v>10.0347739692002</v>
      </c>
      <c r="AH714" s="4">
        <f t="shared" si="184"/>
        <v>0.29806259314456</v>
      </c>
    </row>
    <row r="715" spans="1:34">
      <c r="A715" s="2">
        <v>20260317</v>
      </c>
      <c r="B715" s="8" t="s">
        <v>1472</v>
      </c>
      <c r="C715" s="2" t="s">
        <v>1473</v>
      </c>
      <c r="D715" s="2">
        <v>3</v>
      </c>
      <c r="E715" s="2">
        <v>103</v>
      </c>
      <c r="F715" s="2">
        <v>3</v>
      </c>
      <c r="G715" s="2">
        <v>2</v>
      </c>
      <c r="H715" s="3">
        <v>40</v>
      </c>
      <c r="I715" s="2">
        <v>61</v>
      </c>
      <c r="J715" s="2">
        <v>53</v>
      </c>
      <c r="K715" s="2">
        <v>0</v>
      </c>
      <c r="L715" s="2">
        <v>0</v>
      </c>
      <c r="M715" s="2">
        <v>74</v>
      </c>
      <c r="N715" s="2">
        <v>9</v>
      </c>
      <c r="O715" s="3">
        <v>3</v>
      </c>
      <c r="P715" s="2">
        <v>130</v>
      </c>
      <c r="Q715" s="2">
        <v>1</v>
      </c>
      <c r="R715" s="2">
        <v>421</v>
      </c>
      <c r="S715" s="2">
        <v>0</v>
      </c>
      <c r="T715" s="2">
        <v>10</v>
      </c>
      <c r="U715" s="2">
        <v>10</v>
      </c>
      <c r="V715" s="2">
        <v>1</v>
      </c>
      <c r="W715" s="2">
        <v>1</v>
      </c>
      <c r="X715" s="2">
        <v>4</v>
      </c>
      <c r="Y715" s="2">
        <v>0</v>
      </c>
      <c r="Z715" s="2">
        <f t="shared" si="192"/>
        <v>15</v>
      </c>
      <c r="AA715" s="2">
        <f t="shared" si="190"/>
        <v>380</v>
      </c>
      <c r="AB715" s="2">
        <v>3980</v>
      </c>
      <c r="AC715" s="20">
        <f t="shared" si="191"/>
        <v>9.54773869346734</v>
      </c>
      <c r="AD715" s="2" t="s">
        <v>343</v>
      </c>
      <c r="AE715" s="2">
        <v>150</v>
      </c>
      <c r="AF715" s="21">
        <f t="shared" si="182"/>
        <v>11.9664991624791</v>
      </c>
      <c r="AG715" s="4">
        <f t="shared" si="183"/>
        <v>0.0251256281407035</v>
      </c>
      <c r="AH715" s="4">
        <f t="shared" si="184"/>
        <v>0.376884422110553</v>
      </c>
    </row>
    <row r="716" ht="15.75" spans="1:34">
      <c r="A716" s="2">
        <v>20260317</v>
      </c>
      <c r="B716" s="8" t="s">
        <v>1474</v>
      </c>
      <c r="C716" s="2" t="s">
        <v>1475</v>
      </c>
      <c r="D716" s="2">
        <v>0</v>
      </c>
      <c r="E716" s="2">
        <v>5</v>
      </c>
      <c r="F716" s="2">
        <v>0</v>
      </c>
      <c r="G716" s="2">
        <v>1</v>
      </c>
      <c r="H716" s="2">
        <v>5</v>
      </c>
      <c r="I716" s="3">
        <v>55</v>
      </c>
      <c r="J716" s="2">
        <v>10</v>
      </c>
      <c r="K716" s="2">
        <v>4</v>
      </c>
      <c r="L716" s="2">
        <v>0</v>
      </c>
      <c r="M716" s="2">
        <v>22</v>
      </c>
      <c r="N716" s="2">
        <v>6</v>
      </c>
      <c r="O716" s="2">
        <v>0</v>
      </c>
      <c r="P716" s="3">
        <v>41</v>
      </c>
      <c r="Q716" s="2">
        <v>0</v>
      </c>
      <c r="R716" s="2">
        <v>31</v>
      </c>
      <c r="S716" s="2">
        <v>0</v>
      </c>
      <c r="T716" s="2">
        <v>6</v>
      </c>
      <c r="U716" s="2">
        <v>0</v>
      </c>
      <c r="V716" s="2">
        <f t="shared" si="189"/>
        <v>138</v>
      </c>
      <c r="W716" s="2">
        <v>0</v>
      </c>
      <c r="X716" s="2">
        <v>6</v>
      </c>
      <c r="Y716" s="2">
        <v>0</v>
      </c>
      <c r="Z716" s="2">
        <f t="shared" si="192"/>
        <v>6</v>
      </c>
      <c r="AA716" s="2">
        <f t="shared" si="190"/>
        <v>144</v>
      </c>
      <c r="AB716" s="2">
        <v>3755</v>
      </c>
      <c r="AC716" s="20">
        <f t="shared" si="191"/>
        <v>3.83488681757656</v>
      </c>
      <c r="AD716" s="32" t="s">
        <v>676</v>
      </c>
      <c r="AE716" s="2">
        <v>100</v>
      </c>
      <c r="AF716" s="21">
        <f t="shared" si="182"/>
        <v>7.20958721704394</v>
      </c>
      <c r="AG716" s="4">
        <f t="shared" si="183"/>
        <v>3.67509986684421</v>
      </c>
      <c r="AH716" s="4">
        <f t="shared" si="184"/>
        <v>0.159786950732357</v>
      </c>
    </row>
    <row r="717" ht="15.75" spans="1:34">
      <c r="A717" s="2">
        <v>20260317</v>
      </c>
      <c r="B717" s="8" t="s">
        <v>1476</v>
      </c>
      <c r="C717" s="2" t="s">
        <v>1477</v>
      </c>
      <c r="D717" s="2">
        <v>0</v>
      </c>
      <c r="E717" s="2">
        <v>1</v>
      </c>
      <c r="F717" s="2">
        <v>1</v>
      </c>
      <c r="G717" s="2">
        <v>0</v>
      </c>
      <c r="H717" s="2">
        <v>5</v>
      </c>
      <c r="I717" s="3">
        <v>20</v>
      </c>
      <c r="J717" s="2">
        <v>4</v>
      </c>
      <c r="K717" s="2">
        <v>0</v>
      </c>
      <c r="L717" s="2">
        <v>0</v>
      </c>
      <c r="M717" s="2">
        <v>19</v>
      </c>
      <c r="N717" s="2">
        <v>9</v>
      </c>
      <c r="O717" s="2">
        <v>1</v>
      </c>
      <c r="P717" s="3">
        <v>32</v>
      </c>
      <c r="Q717" s="2">
        <v>1</v>
      </c>
      <c r="R717" s="2">
        <v>17</v>
      </c>
      <c r="S717" s="2">
        <v>2</v>
      </c>
      <c r="T717" s="2">
        <v>1</v>
      </c>
      <c r="U717" s="2">
        <v>0</v>
      </c>
      <c r="V717" s="2">
        <f t="shared" ref="V717:V725" si="193">AA717-Y717-X717-W717-U717</f>
        <v>75</v>
      </c>
      <c r="W717" s="2">
        <v>1</v>
      </c>
      <c r="X717" s="2">
        <v>5</v>
      </c>
      <c r="Y717" s="2">
        <v>0</v>
      </c>
      <c r="Z717" s="2">
        <f t="shared" si="192"/>
        <v>6</v>
      </c>
      <c r="AA717" s="2">
        <f t="shared" si="190"/>
        <v>81</v>
      </c>
      <c r="AB717" s="2">
        <v>2707</v>
      </c>
      <c r="AC717" s="20">
        <f t="shared" si="191"/>
        <v>2.99224233468785</v>
      </c>
      <c r="AD717" s="32" t="s">
        <v>676</v>
      </c>
      <c r="AE717" s="2">
        <v>100</v>
      </c>
      <c r="AF717" s="21">
        <f t="shared" si="182"/>
        <v>5.62541558921315</v>
      </c>
      <c r="AG717" s="4">
        <f t="shared" si="183"/>
        <v>2.7705947543406</v>
      </c>
      <c r="AH717" s="4">
        <f t="shared" si="184"/>
        <v>0.221647580347248</v>
      </c>
    </row>
    <row r="718" spans="1:34">
      <c r="A718" s="2">
        <v>20260317</v>
      </c>
      <c r="B718" s="8" t="s">
        <v>1478</v>
      </c>
      <c r="C718" s="2" t="s">
        <v>1479</v>
      </c>
      <c r="D718" s="2">
        <v>10</v>
      </c>
      <c r="E718" s="2">
        <v>99</v>
      </c>
      <c r="F718" s="2">
        <v>2</v>
      </c>
      <c r="G718" s="2">
        <v>8</v>
      </c>
      <c r="H718" s="2">
        <v>13</v>
      </c>
      <c r="I718" s="3">
        <v>180</v>
      </c>
      <c r="J718" s="2">
        <v>20</v>
      </c>
      <c r="K718" s="2">
        <v>1</v>
      </c>
      <c r="L718" s="2">
        <v>0</v>
      </c>
      <c r="M718" s="2">
        <v>29</v>
      </c>
      <c r="N718" s="2">
        <v>4</v>
      </c>
      <c r="O718" s="2">
        <v>1</v>
      </c>
      <c r="P718" s="3">
        <v>64</v>
      </c>
      <c r="Q718" s="2">
        <v>0</v>
      </c>
      <c r="R718" s="2">
        <v>290</v>
      </c>
      <c r="S718" s="2">
        <v>2</v>
      </c>
      <c r="T718" s="2">
        <v>4</v>
      </c>
      <c r="U718" s="2">
        <v>0</v>
      </c>
      <c r="V718" s="2">
        <f t="shared" si="193"/>
        <v>301</v>
      </c>
      <c r="W718" s="2">
        <v>0</v>
      </c>
      <c r="X718" s="2">
        <v>18</v>
      </c>
      <c r="Y718" s="2">
        <v>0</v>
      </c>
      <c r="Z718" s="2">
        <f t="shared" si="192"/>
        <v>18</v>
      </c>
      <c r="AA718" s="2">
        <f t="shared" si="190"/>
        <v>319</v>
      </c>
      <c r="AB718" s="2">
        <v>2087</v>
      </c>
      <c r="AC718" s="20">
        <f t="shared" si="191"/>
        <v>15.2850982271203</v>
      </c>
      <c r="AD718" s="2" t="s">
        <v>343</v>
      </c>
      <c r="AE718" s="2">
        <v>150</v>
      </c>
      <c r="AF718" s="21">
        <f t="shared" si="182"/>
        <v>19.1573231113241</v>
      </c>
      <c r="AG718" s="4">
        <f t="shared" si="183"/>
        <v>14.4226161954959</v>
      </c>
      <c r="AH718" s="4">
        <f t="shared" si="184"/>
        <v>0.862482031624341</v>
      </c>
    </row>
    <row r="719" ht="15.75" spans="1:34">
      <c r="A719" s="2">
        <v>20260317</v>
      </c>
      <c r="B719" s="8" t="s">
        <v>1480</v>
      </c>
      <c r="C719" s="2" t="s">
        <v>1481</v>
      </c>
      <c r="D719" s="2">
        <v>4</v>
      </c>
      <c r="E719" s="2">
        <v>92</v>
      </c>
      <c r="F719" s="2">
        <v>1</v>
      </c>
      <c r="G719" s="2">
        <v>6</v>
      </c>
      <c r="H719" s="2">
        <v>7</v>
      </c>
      <c r="I719" s="3">
        <v>57</v>
      </c>
      <c r="J719" s="2">
        <v>15</v>
      </c>
      <c r="K719" s="2">
        <v>1</v>
      </c>
      <c r="L719" s="2">
        <v>1</v>
      </c>
      <c r="M719" s="2">
        <v>14</v>
      </c>
      <c r="N719" s="2">
        <v>7</v>
      </c>
      <c r="O719" s="2">
        <v>4</v>
      </c>
      <c r="P719" s="2">
        <v>28</v>
      </c>
      <c r="Q719" s="3">
        <v>1</v>
      </c>
      <c r="R719" s="2">
        <v>242</v>
      </c>
      <c r="S719" s="2">
        <v>0</v>
      </c>
      <c r="T719" s="2">
        <v>2</v>
      </c>
      <c r="U719" s="2">
        <v>2</v>
      </c>
      <c r="V719" s="2">
        <f t="shared" si="193"/>
        <v>126</v>
      </c>
      <c r="W719" s="2">
        <v>0</v>
      </c>
      <c r="X719" s="2">
        <v>5</v>
      </c>
      <c r="Y719" s="2">
        <v>0</v>
      </c>
      <c r="Z719" s="2">
        <f t="shared" ref="Z719:Z729" si="194">Y719+X719+W719+U719</f>
        <v>7</v>
      </c>
      <c r="AA719" s="2">
        <f t="shared" ref="AA719:AA728" si="195">G719+H719+I719+J719+K719+L719+M719+P719+T719+U719</f>
        <v>133</v>
      </c>
      <c r="AB719" s="2">
        <v>3480</v>
      </c>
      <c r="AC719" s="20">
        <f t="shared" ref="AC719:AC728" si="196">AA719/AB719*100</f>
        <v>3.82183908045977</v>
      </c>
      <c r="AD719" s="32" t="s">
        <v>676</v>
      </c>
      <c r="AE719" s="2">
        <v>100</v>
      </c>
      <c r="AF719" s="21">
        <f t="shared" si="182"/>
        <v>7.18505747126437</v>
      </c>
      <c r="AG719" s="4">
        <f t="shared" si="183"/>
        <v>3.62068965517241</v>
      </c>
      <c r="AH719" s="4">
        <f t="shared" si="184"/>
        <v>0.201149425287356</v>
      </c>
    </row>
    <row r="720" ht="15.75" spans="1:34">
      <c r="A720" s="2">
        <v>20260317</v>
      </c>
      <c r="B720" s="2" t="s">
        <v>1482</v>
      </c>
      <c r="C720" s="2" t="s">
        <v>1483</v>
      </c>
      <c r="D720" s="2">
        <v>2</v>
      </c>
      <c r="E720" s="2">
        <v>86</v>
      </c>
      <c r="F720" s="2">
        <v>7</v>
      </c>
      <c r="G720" s="2">
        <v>6</v>
      </c>
      <c r="H720" s="2">
        <v>18</v>
      </c>
      <c r="I720" s="3">
        <v>69</v>
      </c>
      <c r="J720" s="2">
        <v>27</v>
      </c>
      <c r="K720" s="2">
        <v>2</v>
      </c>
      <c r="L720" s="2">
        <v>0</v>
      </c>
      <c r="M720" s="2">
        <v>22</v>
      </c>
      <c r="N720" s="2">
        <v>20</v>
      </c>
      <c r="O720" s="2">
        <v>1</v>
      </c>
      <c r="P720" s="3">
        <v>34</v>
      </c>
      <c r="Q720" s="2">
        <v>1</v>
      </c>
      <c r="R720" s="2">
        <v>799</v>
      </c>
      <c r="S720" s="2">
        <v>1</v>
      </c>
      <c r="T720" s="2">
        <v>7</v>
      </c>
      <c r="U720" s="2">
        <v>0</v>
      </c>
      <c r="V720" s="2">
        <f t="shared" si="193"/>
        <v>157</v>
      </c>
      <c r="W720" s="2">
        <v>5</v>
      </c>
      <c r="X720" s="2">
        <v>23</v>
      </c>
      <c r="Y720" s="2">
        <v>0</v>
      </c>
      <c r="Z720" s="2">
        <f t="shared" si="194"/>
        <v>28</v>
      </c>
      <c r="AA720" s="2">
        <f t="shared" si="195"/>
        <v>185</v>
      </c>
      <c r="AB720" s="2">
        <v>5338</v>
      </c>
      <c r="AC720" s="20">
        <f t="shared" si="196"/>
        <v>3.46571749718996</v>
      </c>
      <c r="AD720" s="32" t="s">
        <v>676</v>
      </c>
      <c r="AE720" s="2">
        <v>100</v>
      </c>
      <c r="AF720" s="21">
        <f t="shared" si="182"/>
        <v>6.51554889471712</v>
      </c>
      <c r="AG720" s="4">
        <f t="shared" si="183"/>
        <v>2.94117647058823</v>
      </c>
      <c r="AH720" s="4">
        <f t="shared" si="184"/>
        <v>0.524541026601724</v>
      </c>
    </row>
    <row r="721" ht="15.75" spans="1:34">
      <c r="A721" s="2">
        <v>20260317</v>
      </c>
      <c r="B721" s="2" t="s">
        <v>1484</v>
      </c>
      <c r="C721" s="2" t="s">
        <v>1485</v>
      </c>
      <c r="D721" s="2">
        <v>4</v>
      </c>
      <c r="E721" s="2">
        <v>121</v>
      </c>
      <c r="F721" s="2">
        <v>4</v>
      </c>
      <c r="G721" s="2">
        <v>3</v>
      </c>
      <c r="H721" s="2">
        <v>10</v>
      </c>
      <c r="I721" s="3">
        <v>51</v>
      </c>
      <c r="J721" s="2">
        <v>40</v>
      </c>
      <c r="K721" s="2">
        <v>4</v>
      </c>
      <c r="L721" s="2">
        <v>0</v>
      </c>
      <c r="M721" s="2">
        <v>23</v>
      </c>
      <c r="N721" s="2">
        <v>27</v>
      </c>
      <c r="O721" s="2">
        <v>6</v>
      </c>
      <c r="P721" s="3">
        <v>37</v>
      </c>
      <c r="Q721" s="2">
        <v>6</v>
      </c>
      <c r="R721" s="2">
        <v>1689</v>
      </c>
      <c r="S721" s="2">
        <v>0</v>
      </c>
      <c r="T721" s="2">
        <v>3</v>
      </c>
      <c r="U721" s="2">
        <v>0</v>
      </c>
      <c r="V721" s="2">
        <f t="shared" si="193"/>
        <v>159</v>
      </c>
      <c r="W721" s="2">
        <v>3</v>
      </c>
      <c r="X721" s="2">
        <v>9</v>
      </c>
      <c r="Y721" s="2">
        <v>0</v>
      </c>
      <c r="Z721" s="2">
        <f t="shared" si="194"/>
        <v>12</v>
      </c>
      <c r="AA721" s="2">
        <f t="shared" si="195"/>
        <v>171</v>
      </c>
      <c r="AB721" s="2">
        <v>5378</v>
      </c>
      <c r="AC721" s="20">
        <f t="shared" si="196"/>
        <v>3.17962067683154</v>
      </c>
      <c r="AD721" s="32" t="s">
        <v>676</v>
      </c>
      <c r="AE721" s="2">
        <v>100</v>
      </c>
      <c r="AF721" s="21">
        <f t="shared" si="182"/>
        <v>5.97768687244329</v>
      </c>
      <c r="AG721" s="4">
        <f t="shared" si="183"/>
        <v>2.95648940126441</v>
      </c>
      <c r="AH721" s="4">
        <f t="shared" si="184"/>
        <v>0.223131275567125</v>
      </c>
    </row>
    <row r="722" ht="15.75" spans="1:34">
      <c r="A722" s="2">
        <v>20260317</v>
      </c>
      <c r="B722" s="2" t="s">
        <v>1486</v>
      </c>
      <c r="C722" s="2" t="s">
        <v>1487</v>
      </c>
      <c r="D722" s="2">
        <v>2</v>
      </c>
      <c r="E722" s="2">
        <v>85</v>
      </c>
      <c r="F722" s="2">
        <v>2</v>
      </c>
      <c r="G722" s="2">
        <v>1</v>
      </c>
      <c r="H722" s="2">
        <v>3</v>
      </c>
      <c r="I722" s="3">
        <v>12</v>
      </c>
      <c r="J722" s="2">
        <v>9</v>
      </c>
      <c r="K722" s="2">
        <v>1</v>
      </c>
      <c r="L722" s="2">
        <v>0</v>
      </c>
      <c r="M722" s="2">
        <v>14</v>
      </c>
      <c r="N722" s="2">
        <v>5</v>
      </c>
      <c r="O722" s="2">
        <v>0</v>
      </c>
      <c r="P722" s="3">
        <v>27</v>
      </c>
      <c r="Q722" s="2">
        <v>2</v>
      </c>
      <c r="R722" s="2">
        <v>681</v>
      </c>
      <c r="S722" s="2">
        <v>0</v>
      </c>
      <c r="T722" s="2">
        <v>1</v>
      </c>
      <c r="U722" s="2">
        <v>0</v>
      </c>
      <c r="V722" s="2">
        <f t="shared" si="193"/>
        <v>66</v>
      </c>
      <c r="W722" s="2">
        <v>1</v>
      </c>
      <c r="X722" s="2">
        <v>1</v>
      </c>
      <c r="Y722" s="2">
        <v>0</v>
      </c>
      <c r="Z722" s="2">
        <f t="shared" si="194"/>
        <v>2</v>
      </c>
      <c r="AA722" s="2">
        <f t="shared" si="195"/>
        <v>68</v>
      </c>
      <c r="AB722" s="2">
        <v>2712</v>
      </c>
      <c r="AC722" s="20">
        <f t="shared" si="196"/>
        <v>2.50737463126844</v>
      </c>
      <c r="AD722" s="32" t="s">
        <v>676</v>
      </c>
      <c r="AE722" s="2">
        <v>100</v>
      </c>
      <c r="AF722" s="21">
        <f t="shared" si="182"/>
        <v>4.71386430678466</v>
      </c>
      <c r="AG722" s="4">
        <f t="shared" si="183"/>
        <v>2.43362831858407</v>
      </c>
      <c r="AH722" s="4">
        <f t="shared" si="184"/>
        <v>0.0737463126843658</v>
      </c>
    </row>
    <row r="723" ht="15.75" spans="1:34">
      <c r="A723" s="2">
        <v>20260317</v>
      </c>
      <c r="B723" s="2" t="s">
        <v>1488</v>
      </c>
      <c r="C723" s="2" t="s">
        <v>1489</v>
      </c>
      <c r="D723" s="2">
        <v>3</v>
      </c>
      <c r="E723" s="2">
        <v>2</v>
      </c>
      <c r="F723" s="2">
        <v>3</v>
      </c>
      <c r="G723" s="2">
        <v>2</v>
      </c>
      <c r="H723" s="2">
        <v>7</v>
      </c>
      <c r="I723" s="2">
        <v>22</v>
      </c>
      <c r="J723" s="2">
        <v>4</v>
      </c>
      <c r="K723" s="2">
        <v>1</v>
      </c>
      <c r="L723" s="2">
        <v>0</v>
      </c>
      <c r="M723" s="2">
        <v>4</v>
      </c>
      <c r="N723" s="2">
        <v>16</v>
      </c>
      <c r="O723" s="3">
        <v>7</v>
      </c>
      <c r="P723" s="2">
        <v>19</v>
      </c>
      <c r="Q723" s="2">
        <v>6</v>
      </c>
      <c r="R723" s="2">
        <v>34</v>
      </c>
      <c r="S723" s="2">
        <v>2</v>
      </c>
      <c r="T723" s="2">
        <v>3</v>
      </c>
      <c r="U723" s="2">
        <v>1</v>
      </c>
      <c r="V723" s="2">
        <f t="shared" si="193"/>
        <v>54</v>
      </c>
      <c r="W723" s="2">
        <v>2</v>
      </c>
      <c r="X723" s="2">
        <v>6</v>
      </c>
      <c r="Y723" s="2">
        <v>0</v>
      </c>
      <c r="Z723" s="2">
        <f t="shared" si="194"/>
        <v>9</v>
      </c>
      <c r="AA723" s="2">
        <f t="shared" si="195"/>
        <v>63</v>
      </c>
      <c r="AB723" s="2">
        <v>2762</v>
      </c>
      <c r="AC723" s="20">
        <f t="shared" si="196"/>
        <v>2.28095582910934</v>
      </c>
      <c r="AD723" s="32" t="s">
        <v>676</v>
      </c>
      <c r="AE723" s="2">
        <v>100</v>
      </c>
      <c r="AF723" s="21">
        <f t="shared" si="182"/>
        <v>4.28819695872556</v>
      </c>
      <c r="AG723" s="4">
        <f t="shared" si="183"/>
        <v>1.95510499637944</v>
      </c>
      <c r="AH723" s="4">
        <f t="shared" si="184"/>
        <v>0.325850832729906</v>
      </c>
    </row>
    <row r="724" ht="15.75" spans="1:34">
      <c r="A724" s="2">
        <v>20260317</v>
      </c>
      <c r="B724" s="2" t="s">
        <v>1490</v>
      </c>
      <c r="C724" s="2" t="s">
        <v>1491</v>
      </c>
      <c r="D724" s="2">
        <v>32</v>
      </c>
      <c r="E724" s="2">
        <v>16</v>
      </c>
      <c r="F724" s="2">
        <v>1</v>
      </c>
      <c r="G724" s="2">
        <v>7</v>
      </c>
      <c r="H724" s="2">
        <v>8</v>
      </c>
      <c r="I724" s="3">
        <v>158</v>
      </c>
      <c r="J724" s="2">
        <v>20</v>
      </c>
      <c r="K724" s="2">
        <v>9</v>
      </c>
      <c r="L724" s="2">
        <v>1</v>
      </c>
      <c r="M724" s="2">
        <v>19</v>
      </c>
      <c r="N724" s="2">
        <v>121</v>
      </c>
      <c r="O724" s="2">
        <v>0</v>
      </c>
      <c r="P724" s="3">
        <v>48</v>
      </c>
      <c r="Q724" s="2">
        <v>11</v>
      </c>
      <c r="R724" s="2">
        <v>117</v>
      </c>
      <c r="S724" s="2">
        <v>1</v>
      </c>
      <c r="T724" s="2">
        <v>64</v>
      </c>
      <c r="U724" s="2">
        <v>1</v>
      </c>
      <c r="V724" s="2">
        <f t="shared" si="193"/>
        <v>313</v>
      </c>
      <c r="W724" s="2">
        <v>7</v>
      </c>
      <c r="X724" s="2">
        <v>14</v>
      </c>
      <c r="Y724" s="2">
        <v>0</v>
      </c>
      <c r="Z724" s="2">
        <f t="shared" si="194"/>
        <v>22</v>
      </c>
      <c r="AA724" s="2">
        <f t="shared" si="195"/>
        <v>335</v>
      </c>
      <c r="AB724" s="2">
        <v>5378</v>
      </c>
      <c r="AC724" s="20">
        <f t="shared" si="196"/>
        <v>6.22908144291558</v>
      </c>
      <c r="AD724" s="32" t="s">
        <v>676</v>
      </c>
      <c r="AE724" s="2">
        <v>100</v>
      </c>
      <c r="AF724" s="21">
        <f t="shared" si="182"/>
        <v>11.7106731126813</v>
      </c>
      <c r="AG724" s="4">
        <f t="shared" si="183"/>
        <v>5.82000743770919</v>
      </c>
      <c r="AH724" s="4">
        <f t="shared" si="184"/>
        <v>0.409074005206396</v>
      </c>
    </row>
    <row r="725" ht="15.75" spans="1:34">
      <c r="A725" s="2">
        <v>20260317</v>
      </c>
      <c r="B725" s="2" t="s">
        <v>1492</v>
      </c>
      <c r="C725" s="2" t="s">
        <v>1493</v>
      </c>
      <c r="D725" s="2">
        <v>0</v>
      </c>
      <c r="E725" s="2">
        <v>1</v>
      </c>
      <c r="F725" s="2">
        <v>1</v>
      </c>
      <c r="G725" s="2">
        <v>6</v>
      </c>
      <c r="H725" s="2">
        <v>13</v>
      </c>
      <c r="I725" s="3">
        <v>21</v>
      </c>
      <c r="J725" s="2">
        <v>20</v>
      </c>
      <c r="K725" s="2">
        <v>2</v>
      </c>
      <c r="L725" s="2">
        <v>5</v>
      </c>
      <c r="M725" s="2">
        <v>20</v>
      </c>
      <c r="N725" s="2">
        <v>9</v>
      </c>
      <c r="O725" s="2">
        <v>0</v>
      </c>
      <c r="P725" s="3">
        <v>43</v>
      </c>
      <c r="Q725" s="2">
        <v>3</v>
      </c>
      <c r="R725" s="2">
        <v>41</v>
      </c>
      <c r="S725" s="2">
        <v>3</v>
      </c>
      <c r="T725" s="2">
        <v>4</v>
      </c>
      <c r="U725" s="2">
        <v>2</v>
      </c>
      <c r="V725" s="2">
        <f t="shared" si="193"/>
        <v>115</v>
      </c>
      <c r="W725" s="2">
        <v>6</v>
      </c>
      <c r="X725" s="2">
        <v>13</v>
      </c>
      <c r="Y725" s="2">
        <v>0</v>
      </c>
      <c r="Z725" s="2">
        <f t="shared" si="194"/>
        <v>21</v>
      </c>
      <c r="AA725" s="2">
        <f t="shared" si="195"/>
        <v>136</v>
      </c>
      <c r="AB725" s="2">
        <v>5378</v>
      </c>
      <c r="AC725" s="20">
        <f t="shared" si="196"/>
        <v>2.52882112309409</v>
      </c>
      <c r="AD725" s="32" t="s">
        <v>676</v>
      </c>
      <c r="AE725" s="2">
        <v>100</v>
      </c>
      <c r="AF725" s="21">
        <f t="shared" si="182"/>
        <v>4.75418371141688</v>
      </c>
      <c r="AG725" s="4">
        <f t="shared" si="183"/>
        <v>2.13834139085162</v>
      </c>
      <c r="AH725" s="4">
        <f t="shared" si="184"/>
        <v>0.390479732242469</v>
      </c>
    </row>
    <row r="726" ht="15.75" spans="1:34">
      <c r="A726" s="2">
        <v>20260317</v>
      </c>
      <c r="B726" s="2" t="s">
        <v>1494</v>
      </c>
      <c r="C726" s="2" t="s">
        <v>1495</v>
      </c>
      <c r="D726" s="2">
        <v>0</v>
      </c>
      <c r="E726" s="2">
        <v>805</v>
      </c>
      <c r="F726" s="2">
        <v>9</v>
      </c>
      <c r="G726" s="2">
        <v>20</v>
      </c>
      <c r="H726" s="2">
        <v>5</v>
      </c>
      <c r="I726" s="3">
        <v>14</v>
      </c>
      <c r="J726" s="2">
        <v>299</v>
      </c>
      <c r="K726" s="2">
        <v>2</v>
      </c>
      <c r="L726" s="2">
        <v>1</v>
      </c>
      <c r="M726" s="2">
        <v>24</v>
      </c>
      <c r="N726" s="2">
        <v>6</v>
      </c>
      <c r="O726" s="2">
        <v>0</v>
      </c>
      <c r="P726" s="3">
        <v>31</v>
      </c>
      <c r="Q726" s="2">
        <v>2</v>
      </c>
      <c r="R726" s="2">
        <v>2217</v>
      </c>
      <c r="S726" s="2">
        <v>1</v>
      </c>
      <c r="T726" s="2">
        <v>11</v>
      </c>
      <c r="U726" s="2">
        <v>0</v>
      </c>
      <c r="V726" s="2">
        <f t="shared" ref="V726:V738" si="197">AA726-Y726-X726-W726-U726</f>
        <v>395</v>
      </c>
      <c r="W726" s="2">
        <v>2</v>
      </c>
      <c r="X726" s="2">
        <v>10</v>
      </c>
      <c r="Y726" s="2">
        <v>0</v>
      </c>
      <c r="Z726" s="2">
        <f t="shared" si="194"/>
        <v>12</v>
      </c>
      <c r="AA726" s="2">
        <f t="shared" si="195"/>
        <v>407</v>
      </c>
      <c r="AB726" s="2">
        <v>2095</v>
      </c>
      <c r="AC726" s="20">
        <f t="shared" si="196"/>
        <v>19.4272076372315</v>
      </c>
      <c r="AD726" s="32" t="s">
        <v>257</v>
      </c>
      <c r="AE726" s="2">
        <v>188</v>
      </c>
      <c r="AF726" s="21">
        <f t="shared" ref="AF726:AF757" si="198">188/AE726*AC726</f>
        <v>19.4272076372315</v>
      </c>
      <c r="AG726" s="4">
        <f t="shared" ref="AG726:AG757" si="199">V726/AB726*100</f>
        <v>18.854415274463</v>
      </c>
      <c r="AH726" s="4">
        <f t="shared" ref="AH726:AH757" si="200">Z726/AB726*100</f>
        <v>0.572792362768496</v>
      </c>
    </row>
    <row r="727" ht="15.75" spans="1:34">
      <c r="A727" s="2">
        <v>20260317</v>
      </c>
      <c r="B727" s="2" t="s">
        <v>1496</v>
      </c>
      <c r="C727" s="2" t="s">
        <v>1497</v>
      </c>
      <c r="D727" s="2">
        <v>0</v>
      </c>
      <c r="E727" s="2">
        <v>3</v>
      </c>
      <c r="F727" s="2">
        <v>2</v>
      </c>
      <c r="G727" s="2">
        <v>1</v>
      </c>
      <c r="H727" s="2">
        <v>6</v>
      </c>
      <c r="I727" s="3">
        <v>8</v>
      </c>
      <c r="J727" s="2">
        <v>4</v>
      </c>
      <c r="K727" s="2">
        <v>2</v>
      </c>
      <c r="L727" s="2">
        <v>0</v>
      </c>
      <c r="M727" s="2">
        <v>17</v>
      </c>
      <c r="N727" s="2">
        <v>15</v>
      </c>
      <c r="O727" s="2">
        <v>0</v>
      </c>
      <c r="P727" s="3">
        <v>40</v>
      </c>
      <c r="Q727" s="2">
        <v>2</v>
      </c>
      <c r="R727" s="2">
        <v>43</v>
      </c>
      <c r="S727" s="2">
        <v>3</v>
      </c>
      <c r="T727" s="2">
        <v>2</v>
      </c>
      <c r="U727" s="2">
        <v>0</v>
      </c>
      <c r="V727" s="2">
        <f t="shared" si="197"/>
        <v>69</v>
      </c>
      <c r="W727" s="2">
        <v>4</v>
      </c>
      <c r="X727" s="2">
        <v>7</v>
      </c>
      <c r="Y727" s="2">
        <v>0</v>
      </c>
      <c r="Z727" s="2">
        <f t="shared" si="194"/>
        <v>11</v>
      </c>
      <c r="AA727" s="2">
        <f t="shared" si="195"/>
        <v>80</v>
      </c>
      <c r="AB727" s="2">
        <v>2147</v>
      </c>
      <c r="AC727" s="20">
        <f t="shared" si="196"/>
        <v>3.72612948299953</v>
      </c>
      <c r="AD727" s="32" t="s">
        <v>257</v>
      </c>
      <c r="AE727" s="2">
        <v>188</v>
      </c>
      <c r="AF727" s="21">
        <f t="shared" si="198"/>
        <v>3.72612948299953</v>
      </c>
      <c r="AG727" s="4">
        <f t="shared" si="199"/>
        <v>3.2137866790871</v>
      </c>
      <c r="AH727" s="4">
        <f t="shared" si="200"/>
        <v>0.512342803912436</v>
      </c>
    </row>
    <row r="728" ht="15.75" spans="1:34">
      <c r="A728" s="2">
        <v>20260317</v>
      </c>
      <c r="B728" s="2" t="s">
        <v>1498</v>
      </c>
      <c r="C728" s="2" t="s">
        <v>1499</v>
      </c>
      <c r="D728" s="2">
        <v>0</v>
      </c>
      <c r="E728" s="2">
        <v>16</v>
      </c>
      <c r="F728" s="2">
        <v>3</v>
      </c>
      <c r="G728" s="2">
        <v>4</v>
      </c>
      <c r="H728" s="2">
        <v>5</v>
      </c>
      <c r="I728" s="3">
        <v>10</v>
      </c>
      <c r="J728" s="2">
        <v>3</v>
      </c>
      <c r="K728" s="2">
        <v>0</v>
      </c>
      <c r="L728" s="2">
        <v>2</v>
      </c>
      <c r="M728" s="2">
        <v>14</v>
      </c>
      <c r="N728" s="2">
        <v>1</v>
      </c>
      <c r="O728" s="2">
        <v>0</v>
      </c>
      <c r="P728" s="3">
        <v>31</v>
      </c>
      <c r="Q728" s="2">
        <v>1</v>
      </c>
      <c r="R728" s="2">
        <v>103</v>
      </c>
      <c r="S728" s="2">
        <v>2</v>
      </c>
      <c r="T728" s="2">
        <v>3</v>
      </c>
      <c r="U728" s="2">
        <v>0</v>
      </c>
      <c r="V728" s="2">
        <f t="shared" si="197"/>
        <v>64</v>
      </c>
      <c r="W728" s="2">
        <v>0</v>
      </c>
      <c r="X728" s="2">
        <v>8</v>
      </c>
      <c r="Y728" s="2">
        <v>0</v>
      </c>
      <c r="Z728" s="2">
        <f t="shared" si="194"/>
        <v>8</v>
      </c>
      <c r="AA728" s="2">
        <f t="shared" si="195"/>
        <v>72</v>
      </c>
      <c r="AB728" s="2">
        <v>2097</v>
      </c>
      <c r="AC728" s="20">
        <f t="shared" si="196"/>
        <v>3.43347639484979</v>
      </c>
      <c r="AD728" s="32" t="s">
        <v>257</v>
      </c>
      <c r="AE728" s="2">
        <v>188</v>
      </c>
      <c r="AF728" s="21">
        <f t="shared" si="198"/>
        <v>3.43347639484979</v>
      </c>
      <c r="AG728" s="4">
        <f t="shared" si="199"/>
        <v>3.05197901764425</v>
      </c>
      <c r="AH728" s="4">
        <f t="shared" si="200"/>
        <v>0.381497377205532</v>
      </c>
    </row>
    <row r="729" ht="15.75" spans="1:34">
      <c r="A729" s="2">
        <v>20260317</v>
      </c>
      <c r="B729" s="2" t="s">
        <v>1500</v>
      </c>
      <c r="C729" s="2" t="s">
        <v>1501</v>
      </c>
      <c r="D729" s="2">
        <v>1</v>
      </c>
      <c r="E729" s="2">
        <v>72</v>
      </c>
      <c r="F729" s="2">
        <v>1</v>
      </c>
      <c r="G729" s="2">
        <v>0</v>
      </c>
      <c r="H729" s="2">
        <v>5</v>
      </c>
      <c r="I729" s="3">
        <v>5</v>
      </c>
      <c r="J729" s="2">
        <v>7</v>
      </c>
      <c r="K729" s="2">
        <v>0</v>
      </c>
      <c r="L729" s="2">
        <v>0</v>
      </c>
      <c r="M729" s="2">
        <v>19</v>
      </c>
      <c r="N729" s="2">
        <v>9</v>
      </c>
      <c r="O729" s="2">
        <v>1</v>
      </c>
      <c r="P729" s="3">
        <v>24</v>
      </c>
      <c r="Q729" s="2">
        <v>5</v>
      </c>
      <c r="R729" s="2">
        <v>24</v>
      </c>
      <c r="S729" s="2">
        <v>0</v>
      </c>
      <c r="T729" s="2">
        <v>10</v>
      </c>
      <c r="U729" s="2">
        <v>0</v>
      </c>
      <c r="V729" s="2">
        <f t="shared" si="197"/>
        <v>63</v>
      </c>
      <c r="W729" s="2">
        <v>0</v>
      </c>
      <c r="X729" s="2">
        <v>7</v>
      </c>
      <c r="Y729" s="2">
        <v>0</v>
      </c>
      <c r="Z729" s="2">
        <f t="shared" si="194"/>
        <v>7</v>
      </c>
      <c r="AA729" s="2">
        <f t="shared" ref="AA729:AA737" si="201">G729+H729+I729+J729+K729+L729+M729+P729+T729+U729</f>
        <v>70</v>
      </c>
      <c r="AB729" s="2">
        <v>2097</v>
      </c>
      <c r="AC729" s="20">
        <f t="shared" ref="AC729:AC736" si="202">AA729/AB729*100</f>
        <v>3.3381020505484</v>
      </c>
      <c r="AD729" s="32" t="s">
        <v>257</v>
      </c>
      <c r="AE729" s="2">
        <v>188</v>
      </c>
      <c r="AF729" s="21">
        <f t="shared" si="198"/>
        <v>3.3381020505484</v>
      </c>
      <c r="AG729" s="4">
        <f t="shared" si="199"/>
        <v>3.00429184549356</v>
      </c>
      <c r="AH729" s="4">
        <f t="shared" si="200"/>
        <v>0.33381020505484</v>
      </c>
    </row>
    <row r="730" ht="15.75" spans="1:34">
      <c r="A730" s="2">
        <v>20260317</v>
      </c>
      <c r="B730" s="2" t="s">
        <v>1502</v>
      </c>
      <c r="C730" s="2" t="s">
        <v>1503</v>
      </c>
      <c r="D730" s="2">
        <v>0</v>
      </c>
      <c r="E730" s="2">
        <v>1</v>
      </c>
      <c r="F730" s="2">
        <v>0</v>
      </c>
      <c r="G730" s="2">
        <v>0</v>
      </c>
      <c r="H730" s="2">
        <v>7</v>
      </c>
      <c r="I730" s="3">
        <v>3</v>
      </c>
      <c r="J730" s="2">
        <v>5</v>
      </c>
      <c r="K730" s="2">
        <v>0</v>
      </c>
      <c r="L730" s="2">
        <v>0</v>
      </c>
      <c r="M730" s="2">
        <v>12</v>
      </c>
      <c r="N730" s="2">
        <v>1</v>
      </c>
      <c r="O730" s="2">
        <v>0</v>
      </c>
      <c r="P730" s="3">
        <v>20</v>
      </c>
      <c r="Q730" s="2">
        <v>0</v>
      </c>
      <c r="R730" s="2">
        <v>21</v>
      </c>
      <c r="S730" s="2">
        <v>0</v>
      </c>
      <c r="T730" s="2">
        <v>1</v>
      </c>
      <c r="U730" s="2">
        <v>0</v>
      </c>
      <c r="V730" s="2">
        <f t="shared" si="197"/>
        <v>43</v>
      </c>
      <c r="W730" s="2">
        <v>3</v>
      </c>
      <c r="X730" s="2">
        <v>2</v>
      </c>
      <c r="Y730" s="2">
        <v>0</v>
      </c>
      <c r="Z730" s="2">
        <f t="shared" ref="Z730:Z736" si="203">Y730+X730+W730+U730</f>
        <v>5</v>
      </c>
      <c r="AA730" s="2">
        <f t="shared" si="201"/>
        <v>48</v>
      </c>
      <c r="AB730" s="2">
        <v>2097</v>
      </c>
      <c r="AC730" s="20">
        <f t="shared" si="202"/>
        <v>2.28898426323319</v>
      </c>
      <c r="AD730" s="32" t="s">
        <v>257</v>
      </c>
      <c r="AE730" s="2">
        <v>188</v>
      </c>
      <c r="AF730" s="21">
        <f t="shared" si="198"/>
        <v>2.28898426323319</v>
      </c>
      <c r="AG730" s="4">
        <f t="shared" si="199"/>
        <v>2.05054840247973</v>
      </c>
      <c r="AH730" s="4">
        <f t="shared" si="200"/>
        <v>0.238435860753457</v>
      </c>
    </row>
    <row r="731" ht="15.75" spans="1:34">
      <c r="A731" s="2">
        <v>20260317</v>
      </c>
      <c r="B731" s="2" t="s">
        <v>1504</v>
      </c>
      <c r="C731" s="2" t="s">
        <v>1505</v>
      </c>
      <c r="D731" s="2">
        <v>0</v>
      </c>
      <c r="E731" s="2">
        <v>2</v>
      </c>
      <c r="F731" s="2">
        <v>1</v>
      </c>
      <c r="G731" s="2">
        <v>1</v>
      </c>
      <c r="H731" s="2">
        <v>2</v>
      </c>
      <c r="I731" s="3">
        <v>12</v>
      </c>
      <c r="J731" s="2">
        <v>3</v>
      </c>
      <c r="K731" s="2">
        <v>1</v>
      </c>
      <c r="L731" s="2">
        <v>1</v>
      </c>
      <c r="M731" s="2">
        <v>12</v>
      </c>
      <c r="N731" s="2">
        <v>13</v>
      </c>
      <c r="O731" s="2">
        <v>0</v>
      </c>
      <c r="P731" s="3">
        <v>17</v>
      </c>
      <c r="Q731" s="2">
        <v>2</v>
      </c>
      <c r="R731" s="2">
        <v>41</v>
      </c>
      <c r="S731" s="2">
        <v>0</v>
      </c>
      <c r="T731" s="2">
        <v>1</v>
      </c>
      <c r="U731" s="2">
        <v>0</v>
      </c>
      <c r="V731" s="2">
        <f t="shared" si="197"/>
        <v>49</v>
      </c>
      <c r="W731" s="2">
        <v>0</v>
      </c>
      <c r="X731" s="2">
        <v>0</v>
      </c>
      <c r="Y731" s="2">
        <v>1</v>
      </c>
      <c r="Z731" s="2">
        <f t="shared" si="203"/>
        <v>1</v>
      </c>
      <c r="AA731" s="2">
        <f t="shared" si="201"/>
        <v>50</v>
      </c>
      <c r="AB731" s="2">
        <v>2097</v>
      </c>
      <c r="AC731" s="20">
        <f t="shared" si="202"/>
        <v>2.38435860753457</v>
      </c>
      <c r="AD731" s="32" t="s">
        <v>257</v>
      </c>
      <c r="AE731" s="2">
        <v>188</v>
      </c>
      <c r="AF731" s="21">
        <f t="shared" si="198"/>
        <v>2.38435860753457</v>
      </c>
      <c r="AG731" s="4">
        <f t="shared" si="199"/>
        <v>2.33667143538388</v>
      </c>
      <c r="AH731" s="4">
        <f t="shared" si="200"/>
        <v>0.0476871721506915</v>
      </c>
    </row>
    <row r="732" ht="15.75" spans="1:34">
      <c r="A732" s="2">
        <v>20260317</v>
      </c>
      <c r="B732" s="2" t="s">
        <v>1506</v>
      </c>
      <c r="C732" s="2" t="s">
        <v>1507</v>
      </c>
      <c r="D732" s="2">
        <v>0</v>
      </c>
      <c r="E732" s="2">
        <v>1</v>
      </c>
      <c r="F732" s="2">
        <v>0</v>
      </c>
      <c r="G732" s="2">
        <v>0</v>
      </c>
      <c r="H732" s="2">
        <v>4</v>
      </c>
      <c r="I732" s="3">
        <v>11</v>
      </c>
      <c r="J732" s="2">
        <v>3</v>
      </c>
      <c r="K732" s="2">
        <v>0</v>
      </c>
      <c r="L732" s="2">
        <v>1</v>
      </c>
      <c r="M732" s="2">
        <v>11</v>
      </c>
      <c r="N732" s="2">
        <v>0</v>
      </c>
      <c r="O732" s="2">
        <v>2</v>
      </c>
      <c r="P732" s="3">
        <v>19</v>
      </c>
      <c r="Q732" s="2">
        <v>2</v>
      </c>
      <c r="R732" s="2">
        <v>0</v>
      </c>
      <c r="S732" s="2">
        <v>45</v>
      </c>
      <c r="T732" s="2">
        <v>1</v>
      </c>
      <c r="U732" s="2">
        <v>1</v>
      </c>
      <c r="V732" s="2">
        <f t="shared" si="197"/>
        <v>50</v>
      </c>
      <c r="W732" s="2">
        <v>0</v>
      </c>
      <c r="X732" s="2">
        <v>0</v>
      </c>
      <c r="Y732" s="2">
        <v>0</v>
      </c>
      <c r="Z732" s="2">
        <f t="shared" si="203"/>
        <v>1</v>
      </c>
      <c r="AA732" s="2">
        <f t="shared" si="201"/>
        <v>51</v>
      </c>
      <c r="AB732" s="2">
        <v>2196</v>
      </c>
      <c r="AC732" s="20">
        <f t="shared" si="202"/>
        <v>2.3224043715847</v>
      </c>
      <c r="AD732" s="32" t="s">
        <v>257</v>
      </c>
      <c r="AE732" s="2">
        <v>188</v>
      </c>
      <c r="AF732" s="21">
        <f t="shared" si="198"/>
        <v>2.3224043715847</v>
      </c>
      <c r="AG732" s="4">
        <f t="shared" si="199"/>
        <v>2.27686703096539</v>
      </c>
      <c r="AH732" s="4">
        <f t="shared" si="200"/>
        <v>0.0455373406193078</v>
      </c>
    </row>
    <row r="733" ht="15.75" spans="1:34">
      <c r="A733" s="2">
        <v>20260317</v>
      </c>
      <c r="B733" s="2" t="s">
        <v>1508</v>
      </c>
      <c r="C733" s="2" t="s">
        <v>1509</v>
      </c>
      <c r="D733" s="2">
        <v>0</v>
      </c>
      <c r="E733" s="2">
        <v>4</v>
      </c>
      <c r="F733" s="2">
        <v>0</v>
      </c>
      <c r="G733" s="2">
        <v>1</v>
      </c>
      <c r="H733" s="2">
        <v>2</v>
      </c>
      <c r="I733" s="3">
        <v>17</v>
      </c>
      <c r="J733" s="2">
        <v>1</v>
      </c>
      <c r="K733" s="2">
        <v>0</v>
      </c>
      <c r="L733" s="2">
        <v>0</v>
      </c>
      <c r="M733" s="2">
        <v>5</v>
      </c>
      <c r="N733" s="2">
        <v>2</v>
      </c>
      <c r="O733" s="2">
        <v>0</v>
      </c>
      <c r="P733" s="3">
        <v>14</v>
      </c>
      <c r="Q733" s="2">
        <v>0</v>
      </c>
      <c r="R733" s="2">
        <v>79</v>
      </c>
      <c r="S733" s="2">
        <v>1</v>
      </c>
      <c r="T733" s="2">
        <v>0</v>
      </c>
      <c r="U733" s="2">
        <v>0</v>
      </c>
      <c r="V733" s="2">
        <f t="shared" si="197"/>
        <v>40</v>
      </c>
      <c r="W733" s="2">
        <v>0</v>
      </c>
      <c r="X733" s="2">
        <v>0</v>
      </c>
      <c r="Y733" s="2">
        <v>0</v>
      </c>
      <c r="Z733" s="2">
        <f t="shared" si="203"/>
        <v>0</v>
      </c>
      <c r="AA733" s="2">
        <f t="shared" si="201"/>
        <v>40</v>
      </c>
      <c r="AB733" s="2">
        <v>2108</v>
      </c>
      <c r="AC733" s="20">
        <f t="shared" si="202"/>
        <v>1.89753320683112</v>
      </c>
      <c r="AD733" s="32" t="s">
        <v>58</v>
      </c>
      <c r="AE733" s="2">
        <v>125</v>
      </c>
      <c r="AF733" s="21">
        <f t="shared" si="198"/>
        <v>2.853889943074</v>
      </c>
      <c r="AG733" s="4">
        <f t="shared" si="199"/>
        <v>1.89753320683112</v>
      </c>
      <c r="AH733" s="4">
        <f t="shared" si="200"/>
        <v>0</v>
      </c>
    </row>
    <row r="734" ht="15.75" spans="1:34">
      <c r="A734" s="2">
        <v>20260317</v>
      </c>
      <c r="B734" s="2" t="s">
        <v>1510</v>
      </c>
      <c r="C734" s="2" t="s">
        <v>1511</v>
      </c>
      <c r="D734" s="2">
        <v>3</v>
      </c>
      <c r="E734" s="2">
        <v>27</v>
      </c>
      <c r="F734" s="2">
        <v>1</v>
      </c>
      <c r="G734" s="2">
        <v>4</v>
      </c>
      <c r="H734" s="2">
        <v>17</v>
      </c>
      <c r="I734" s="3">
        <v>19</v>
      </c>
      <c r="J734" s="2">
        <v>14</v>
      </c>
      <c r="K734" s="2">
        <v>1</v>
      </c>
      <c r="L734" s="2">
        <v>0</v>
      </c>
      <c r="M734" s="2">
        <v>12</v>
      </c>
      <c r="N734" s="2">
        <v>28</v>
      </c>
      <c r="O734" s="2">
        <v>0</v>
      </c>
      <c r="P734" s="3">
        <v>17</v>
      </c>
      <c r="Q734" s="2">
        <v>0</v>
      </c>
      <c r="R734" s="2">
        <v>230</v>
      </c>
      <c r="S734" s="2">
        <v>0</v>
      </c>
      <c r="T734" s="2">
        <v>6</v>
      </c>
      <c r="U734" s="2">
        <v>0</v>
      </c>
      <c r="V734" s="2">
        <f t="shared" si="197"/>
        <v>90</v>
      </c>
      <c r="W734" s="2">
        <v>0</v>
      </c>
      <c r="X734" s="2">
        <v>0</v>
      </c>
      <c r="Y734" s="2">
        <v>0</v>
      </c>
      <c r="Z734" s="2">
        <f t="shared" si="203"/>
        <v>0</v>
      </c>
      <c r="AA734" s="2">
        <f t="shared" si="201"/>
        <v>90</v>
      </c>
      <c r="AB734" s="2">
        <v>4155</v>
      </c>
      <c r="AC734" s="20">
        <f t="shared" si="202"/>
        <v>2.16606498194946</v>
      </c>
      <c r="AD734" s="32" t="s">
        <v>58</v>
      </c>
      <c r="AE734" s="2">
        <v>125</v>
      </c>
      <c r="AF734" s="21">
        <f t="shared" si="198"/>
        <v>3.25776173285199</v>
      </c>
      <c r="AG734" s="4">
        <f t="shared" si="199"/>
        <v>2.16606498194946</v>
      </c>
      <c r="AH734" s="4">
        <f t="shared" si="200"/>
        <v>0</v>
      </c>
    </row>
    <row r="735" ht="15.75" spans="1:34">
      <c r="A735" s="2">
        <v>20260318</v>
      </c>
      <c r="B735" s="2" t="s">
        <v>1512</v>
      </c>
      <c r="C735" s="2" t="s">
        <v>1513</v>
      </c>
      <c r="D735" s="2">
        <v>0</v>
      </c>
      <c r="E735" s="2">
        <v>6</v>
      </c>
      <c r="F735" s="2">
        <v>2</v>
      </c>
      <c r="G735" s="2">
        <v>1</v>
      </c>
      <c r="H735" s="2">
        <v>2</v>
      </c>
      <c r="I735" s="3">
        <v>9</v>
      </c>
      <c r="J735" s="2">
        <v>1</v>
      </c>
      <c r="K735" s="2">
        <v>0</v>
      </c>
      <c r="L735" s="2">
        <v>0</v>
      </c>
      <c r="M735" s="2">
        <v>5</v>
      </c>
      <c r="N735" s="2">
        <v>4</v>
      </c>
      <c r="O735" s="2">
        <v>1</v>
      </c>
      <c r="P735" s="3">
        <v>15</v>
      </c>
      <c r="Q735" s="2">
        <v>0</v>
      </c>
      <c r="R735" s="2">
        <v>107</v>
      </c>
      <c r="S735" s="2">
        <v>0</v>
      </c>
      <c r="T735" s="2">
        <v>0</v>
      </c>
      <c r="U735" s="2">
        <v>0</v>
      </c>
      <c r="V735" s="2">
        <f t="shared" si="197"/>
        <v>30</v>
      </c>
      <c r="W735" s="2">
        <v>0</v>
      </c>
      <c r="X735" s="2">
        <v>3</v>
      </c>
      <c r="Y735" s="2">
        <v>0</v>
      </c>
      <c r="Z735" s="2">
        <f t="shared" si="203"/>
        <v>3</v>
      </c>
      <c r="AA735" s="2">
        <f t="shared" si="201"/>
        <v>33</v>
      </c>
      <c r="AB735" s="2">
        <v>2408</v>
      </c>
      <c r="AC735" s="20">
        <f t="shared" si="202"/>
        <v>1.37043189368771</v>
      </c>
      <c r="AD735" s="32" t="s">
        <v>58</v>
      </c>
      <c r="AE735" s="2">
        <v>125</v>
      </c>
      <c r="AF735" s="21">
        <f t="shared" ref="AF735:AF746" si="204">188/AE735*AC735</f>
        <v>2.06112956810631</v>
      </c>
      <c r="AG735" s="4">
        <f t="shared" si="199"/>
        <v>1.24584717607973</v>
      </c>
      <c r="AH735" s="4">
        <f t="shared" si="200"/>
        <v>0.124584717607973</v>
      </c>
    </row>
    <row r="736" ht="15.75" spans="1:34">
      <c r="A736" s="2">
        <v>20260318</v>
      </c>
      <c r="B736" s="2" t="s">
        <v>1514</v>
      </c>
      <c r="C736" s="2" t="s">
        <v>1515</v>
      </c>
      <c r="D736" s="2">
        <v>1</v>
      </c>
      <c r="E736" s="2">
        <v>142</v>
      </c>
      <c r="F736" s="2">
        <v>16</v>
      </c>
      <c r="G736" s="2">
        <v>3</v>
      </c>
      <c r="H736" s="2">
        <v>8</v>
      </c>
      <c r="I736" s="3">
        <v>10</v>
      </c>
      <c r="J736" s="2">
        <v>6</v>
      </c>
      <c r="K736" s="2">
        <v>2</v>
      </c>
      <c r="L736" s="2">
        <v>1</v>
      </c>
      <c r="M736" s="2">
        <v>13</v>
      </c>
      <c r="N736" s="2">
        <v>16</v>
      </c>
      <c r="O736" s="2">
        <v>45</v>
      </c>
      <c r="P736" s="3">
        <v>39</v>
      </c>
      <c r="Q736" s="2">
        <v>4</v>
      </c>
      <c r="R736" s="2">
        <v>129</v>
      </c>
      <c r="S736" s="2">
        <v>2</v>
      </c>
      <c r="T736" s="2">
        <v>34</v>
      </c>
      <c r="U736" s="2">
        <v>1</v>
      </c>
      <c r="V736" s="2">
        <f t="shared" si="197"/>
        <v>116</v>
      </c>
      <c r="W736" s="2">
        <v>0</v>
      </c>
      <c r="X736" s="2">
        <v>0</v>
      </c>
      <c r="Y736" s="2">
        <v>0</v>
      </c>
      <c r="Z736" s="2">
        <f t="shared" ref="Z736:Z742" si="205">Y736+X736+W736+U736</f>
        <v>1</v>
      </c>
      <c r="AA736" s="2">
        <f t="shared" si="201"/>
        <v>117</v>
      </c>
      <c r="AB736" s="2">
        <v>4305</v>
      </c>
      <c r="AC736" s="20">
        <f t="shared" ref="AC736:AC745" si="206">AA736/AB736*100</f>
        <v>2.71777003484321</v>
      </c>
      <c r="AD736" s="32" t="s">
        <v>58</v>
      </c>
      <c r="AE736" s="2">
        <v>125</v>
      </c>
      <c r="AF736" s="21">
        <f t="shared" si="204"/>
        <v>4.08752613240418</v>
      </c>
      <c r="AG736" s="4">
        <f t="shared" si="199"/>
        <v>2.6945412311266</v>
      </c>
      <c r="AH736" s="4">
        <f t="shared" si="200"/>
        <v>0.0232288037166086</v>
      </c>
    </row>
    <row r="737" ht="15.75" spans="1:34">
      <c r="A737" s="2">
        <v>20260318</v>
      </c>
      <c r="B737" s="2" t="s">
        <v>1516</v>
      </c>
      <c r="C737" s="2" t="s">
        <v>1517</v>
      </c>
      <c r="D737" s="2">
        <v>1</v>
      </c>
      <c r="E737" s="2">
        <v>63</v>
      </c>
      <c r="F737" s="2">
        <v>3</v>
      </c>
      <c r="G737" s="2">
        <v>6</v>
      </c>
      <c r="H737" s="2">
        <v>7</v>
      </c>
      <c r="I737" s="3">
        <v>13</v>
      </c>
      <c r="J737" s="2">
        <v>6</v>
      </c>
      <c r="K737" s="2">
        <v>11</v>
      </c>
      <c r="L737" s="2">
        <v>0</v>
      </c>
      <c r="M737" s="2">
        <v>12</v>
      </c>
      <c r="N737" s="2">
        <v>21</v>
      </c>
      <c r="O737" s="2">
        <v>2</v>
      </c>
      <c r="P737" s="3">
        <v>17</v>
      </c>
      <c r="Q737" s="2">
        <v>7</v>
      </c>
      <c r="R737" s="2">
        <v>135</v>
      </c>
      <c r="S737" s="2">
        <v>5</v>
      </c>
      <c r="T737" s="2">
        <v>5</v>
      </c>
      <c r="U737" s="2">
        <v>0</v>
      </c>
      <c r="V737" s="2">
        <f t="shared" ref="V737:V745" si="207">AA737-Y737-X737-W737-U737</f>
        <v>77</v>
      </c>
      <c r="W737" s="2">
        <v>0</v>
      </c>
      <c r="X737" s="2">
        <v>0</v>
      </c>
      <c r="Y737" s="2">
        <v>0</v>
      </c>
      <c r="Z737" s="2">
        <f t="shared" si="205"/>
        <v>0</v>
      </c>
      <c r="AA737" s="2">
        <f t="shared" ref="AA737:AA746" si="208">G737+H737+I737+J737+K737+L737+M737+P737+T737+U737</f>
        <v>77</v>
      </c>
      <c r="AB737" s="2">
        <v>4155</v>
      </c>
      <c r="AC737" s="20">
        <f t="shared" si="206"/>
        <v>1.8531889290012</v>
      </c>
      <c r="AD737" s="32" t="s">
        <v>58</v>
      </c>
      <c r="AE737" s="2">
        <v>125</v>
      </c>
      <c r="AF737" s="21">
        <f t="shared" si="204"/>
        <v>2.78719614921781</v>
      </c>
      <c r="AG737" s="4">
        <f t="shared" si="199"/>
        <v>1.8531889290012</v>
      </c>
      <c r="AH737" s="4">
        <f t="shared" si="200"/>
        <v>0</v>
      </c>
    </row>
    <row r="738" ht="15.75" spans="1:34">
      <c r="A738" s="2">
        <v>20260318</v>
      </c>
      <c r="B738" s="2" t="s">
        <v>1518</v>
      </c>
      <c r="C738" s="2" t="s">
        <v>1519</v>
      </c>
      <c r="D738" s="2">
        <v>0</v>
      </c>
      <c r="E738" s="2">
        <v>46</v>
      </c>
      <c r="F738" s="2">
        <v>1</v>
      </c>
      <c r="G738" s="2">
        <v>13</v>
      </c>
      <c r="H738" s="2">
        <v>15</v>
      </c>
      <c r="I738" s="3">
        <v>16</v>
      </c>
      <c r="J738" s="2">
        <v>20</v>
      </c>
      <c r="K738" s="2">
        <v>1</v>
      </c>
      <c r="L738" s="2">
        <v>1</v>
      </c>
      <c r="M738" s="2">
        <v>20</v>
      </c>
      <c r="N738" s="2">
        <v>10</v>
      </c>
      <c r="O738" s="2">
        <v>0</v>
      </c>
      <c r="P738" s="3">
        <v>44</v>
      </c>
      <c r="Q738" s="2">
        <v>5</v>
      </c>
      <c r="R738" s="2">
        <v>137</v>
      </c>
      <c r="S738" s="2">
        <v>8</v>
      </c>
      <c r="T738" s="2">
        <v>10</v>
      </c>
      <c r="U738" s="2">
        <v>0</v>
      </c>
      <c r="V738" s="2">
        <f t="shared" si="207"/>
        <v>139</v>
      </c>
      <c r="W738" s="2">
        <v>0</v>
      </c>
      <c r="X738" s="2">
        <v>0</v>
      </c>
      <c r="Y738" s="2">
        <v>1</v>
      </c>
      <c r="Z738" s="2">
        <f t="shared" si="205"/>
        <v>1</v>
      </c>
      <c r="AA738" s="2">
        <f t="shared" si="208"/>
        <v>140</v>
      </c>
      <c r="AB738" s="2">
        <v>5155</v>
      </c>
      <c r="AC738" s="20">
        <f t="shared" si="206"/>
        <v>2.71580989330747</v>
      </c>
      <c r="AD738" s="32" t="s">
        <v>58</v>
      </c>
      <c r="AE738" s="2">
        <v>125</v>
      </c>
      <c r="AF738" s="21">
        <f t="shared" si="204"/>
        <v>4.08457807953443</v>
      </c>
      <c r="AG738" s="4">
        <f t="shared" si="199"/>
        <v>2.69641125121242</v>
      </c>
      <c r="AH738" s="4">
        <f t="shared" si="200"/>
        <v>0.0193986420950533</v>
      </c>
    </row>
    <row r="739" ht="15.75" spans="1:34">
      <c r="A739" s="2">
        <v>20260318</v>
      </c>
      <c r="B739" s="2" t="s">
        <v>1520</v>
      </c>
      <c r="C739" s="2" t="s">
        <v>1521</v>
      </c>
      <c r="D739" s="2">
        <v>2</v>
      </c>
      <c r="E739" s="2">
        <v>2443</v>
      </c>
      <c r="F739" s="2">
        <v>4</v>
      </c>
      <c r="G739" s="2">
        <v>10</v>
      </c>
      <c r="H739" s="2">
        <v>44</v>
      </c>
      <c r="I739" s="3">
        <v>8</v>
      </c>
      <c r="J739" s="2">
        <v>39</v>
      </c>
      <c r="K739" s="2">
        <v>2</v>
      </c>
      <c r="L739" s="2">
        <v>0</v>
      </c>
      <c r="M739" s="2">
        <v>14</v>
      </c>
      <c r="N739" s="2">
        <v>20</v>
      </c>
      <c r="O739" s="2">
        <v>6</v>
      </c>
      <c r="P739" s="3">
        <v>35</v>
      </c>
      <c r="Q739" s="2">
        <v>0</v>
      </c>
      <c r="R739" s="2">
        <v>491</v>
      </c>
      <c r="S739" s="2">
        <v>6</v>
      </c>
      <c r="T739" s="2">
        <v>395</v>
      </c>
      <c r="U739" s="2">
        <v>0</v>
      </c>
      <c r="V739" s="2">
        <f t="shared" si="207"/>
        <v>544</v>
      </c>
      <c r="W739" s="2">
        <v>2</v>
      </c>
      <c r="X739" s="2">
        <v>0</v>
      </c>
      <c r="Y739" s="2">
        <v>1</v>
      </c>
      <c r="Z739" s="2">
        <f t="shared" si="205"/>
        <v>3</v>
      </c>
      <c r="AA739" s="2">
        <f t="shared" si="208"/>
        <v>547</v>
      </c>
      <c r="AB739" s="2">
        <v>2508</v>
      </c>
      <c r="AC739" s="20">
        <f t="shared" si="206"/>
        <v>21.8102073365231</v>
      </c>
      <c r="AD739" s="32" t="s">
        <v>41</v>
      </c>
      <c r="AE739" s="2">
        <v>125</v>
      </c>
      <c r="AF739" s="21">
        <f t="shared" si="204"/>
        <v>32.8025518341308</v>
      </c>
      <c r="AG739" s="4">
        <f t="shared" si="199"/>
        <v>21.6905901116427</v>
      </c>
      <c r="AH739" s="4">
        <f t="shared" si="200"/>
        <v>0.119617224880383</v>
      </c>
    </row>
    <row r="740" ht="15.75" spans="1:34">
      <c r="A740" s="2">
        <v>20260318</v>
      </c>
      <c r="B740" s="2" t="s">
        <v>1522</v>
      </c>
      <c r="C740" s="2" t="s">
        <v>1523</v>
      </c>
      <c r="D740" s="2">
        <v>1</v>
      </c>
      <c r="E740" s="2">
        <v>69</v>
      </c>
      <c r="F740" s="2">
        <v>15</v>
      </c>
      <c r="G740" s="2">
        <v>22</v>
      </c>
      <c r="H740" s="2">
        <v>18</v>
      </c>
      <c r="I740" s="3">
        <v>9</v>
      </c>
      <c r="J740" s="2">
        <v>61</v>
      </c>
      <c r="K740" s="2">
        <v>5</v>
      </c>
      <c r="L740" s="2">
        <v>0</v>
      </c>
      <c r="M740" s="2">
        <v>24</v>
      </c>
      <c r="N740" s="2">
        <v>22</v>
      </c>
      <c r="O740" s="2">
        <v>3</v>
      </c>
      <c r="P740" s="3">
        <v>58</v>
      </c>
      <c r="Q740" s="2">
        <v>8</v>
      </c>
      <c r="R740" s="2">
        <v>1790</v>
      </c>
      <c r="S740" s="2">
        <v>8</v>
      </c>
      <c r="T740" s="2">
        <v>11</v>
      </c>
      <c r="U740" s="2">
        <v>1</v>
      </c>
      <c r="V740" s="2">
        <f t="shared" si="207"/>
        <v>199</v>
      </c>
      <c r="W740" s="2">
        <v>7</v>
      </c>
      <c r="X740" s="2">
        <v>0</v>
      </c>
      <c r="Y740" s="2">
        <v>2</v>
      </c>
      <c r="Z740" s="2">
        <f t="shared" si="205"/>
        <v>10</v>
      </c>
      <c r="AA740" s="2">
        <f t="shared" si="208"/>
        <v>209</v>
      </c>
      <c r="AB740" s="2">
        <v>4721</v>
      </c>
      <c r="AC740" s="20">
        <f t="shared" si="206"/>
        <v>4.42702817199746</v>
      </c>
      <c r="AD740" s="32" t="s">
        <v>41</v>
      </c>
      <c r="AE740" s="2">
        <v>125</v>
      </c>
      <c r="AF740" s="21">
        <f t="shared" si="204"/>
        <v>6.65825037068418</v>
      </c>
      <c r="AG740" s="4">
        <f t="shared" si="199"/>
        <v>4.21520864223681</v>
      </c>
      <c r="AH740" s="4">
        <f t="shared" si="200"/>
        <v>0.211819529760644</v>
      </c>
    </row>
    <row r="741" ht="15.75" spans="1:34">
      <c r="A741" s="2">
        <v>20260318</v>
      </c>
      <c r="B741" s="2" t="s">
        <v>1524</v>
      </c>
      <c r="C741" s="2" t="s">
        <v>1525</v>
      </c>
      <c r="D741" s="2">
        <v>3</v>
      </c>
      <c r="E741" s="2">
        <v>8</v>
      </c>
      <c r="F741" s="2">
        <v>14</v>
      </c>
      <c r="G741" s="2">
        <v>41</v>
      </c>
      <c r="H741" s="3">
        <v>51</v>
      </c>
      <c r="I741" s="2">
        <v>27</v>
      </c>
      <c r="J741" s="2">
        <v>57</v>
      </c>
      <c r="K741" s="2">
        <v>14</v>
      </c>
      <c r="L741" s="2">
        <v>0</v>
      </c>
      <c r="M741" s="2">
        <v>53</v>
      </c>
      <c r="N741" s="2">
        <v>90</v>
      </c>
      <c r="O741" s="3">
        <v>6</v>
      </c>
      <c r="P741" s="2">
        <v>59</v>
      </c>
      <c r="Q741" s="2">
        <v>24</v>
      </c>
      <c r="R741" s="2">
        <v>22</v>
      </c>
      <c r="S741" s="2">
        <v>24</v>
      </c>
      <c r="T741" s="2">
        <v>52</v>
      </c>
      <c r="U741" s="2">
        <v>7</v>
      </c>
      <c r="V741" s="2">
        <f t="shared" si="207"/>
        <v>353</v>
      </c>
      <c r="W741" s="2">
        <v>1</v>
      </c>
      <c r="X741" s="2">
        <v>0</v>
      </c>
      <c r="Y741" s="2">
        <v>0</v>
      </c>
      <c r="Z741" s="2">
        <f t="shared" si="205"/>
        <v>8</v>
      </c>
      <c r="AA741" s="2">
        <f t="shared" si="208"/>
        <v>361</v>
      </c>
      <c r="AB741" s="2">
        <v>2858</v>
      </c>
      <c r="AC741" s="20">
        <f t="shared" si="206"/>
        <v>12.631210636809</v>
      </c>
      <c r="AD741" s="32" t="s">
        <v>41</v>
      </c>
      <c r="AE741" s="2">
        <v>125</v>
      </c>
      <c r="AF741" s="21">
        <f t="shared" si="204"/>
        <v>18.9973407977607</v>
      </c>
      <c r="AG741" s="4">
        <f t="shared" si="199"/>
        <v>12.3512946116165</v>
      </c>
      <c r="AH741" s="4">
        <f t="shared" si="200"/>
        <v>0.279916025192442</v>
      </c>
    </row>
    <row r="742" ht="15.75" spans="1:34">
      <c r="A742" s="2">
        <v>20260318</v>
      </c>
      <c r="B742" s="2" t="s">
        <v>1526</v>
      </c>
      <c r="C742" s="2" t="s">
        <v>1527</v>
      </c>
      <c r="D742" s="2">
        <v>0</v>
      </c>
      <c r="E742" s="2">
        <v>2</v>
      </c>
      <c r="F742" s="2">
        <v>8</v>
      </c>
      <c r="G742" s="2">
        <v>5</v>
      </c>
      <c r="H742" s="2">
        <v>5</v>
      </c>
      <c r="I742" s="3">
        <v>10</v>
      </c>
      <c r="J742" s="2">
        <v>11</v>
      </c>
      <c r="K742" s="2">
        <v>3</v>
      </c>
      <c r="L742" s="2">
        <v>0</v>
      </c>
      <c r="M742" s="2">
        <v>25</v>
      </c>
      <c r="N742" s="2">
        <v>8</v>
      </c>
      <c r="O742" s="2">
        <v>3</v>
      </c>
      <c r="P742" s="3">
        <v>19</v>
      </c>
      <c r="Q742" s="2">
        <v>3</v>
      </c>
      <c r="R742" s="2">
        <v>45</v>
      </c>
      <c r="S742" s="2">
        <v>7</v>
      </c>
      <c r="T742" s="2">
        <v>12</v>
      </c>
      <c r="U742" s="2">
        <v>0</v>
      </c>
      <c r="V742" s="2">
        <f t="shared" si="207"/>
        <v>85</v>
      </c>
      <c r="W742" s="2">
        <v>1</v>
      </c>
      <c r="X742" s="2">
        <v>4</v>
      </c>
      <c r="Y742" s="2">
        <v>0</v>
      </c>
      <c r="Z742" s="2">
        <f t="shared" ref="Z742:Z751" si="209">Y742+X742+W742+U742</f>
        <v>5</v>
      </c>
      <c r="AA742" s="2">
        <f t="shared" si="208"/>
        <v>90</v>
      </c>
      <c r="AB742" s="2">
        <v>2117</v>
      </c>
      <c r="AC742" s="20">
        <f t="shared" si="206"/>
        <v>4.25129900803023</v>
      </c>
      <c r="AD742" s="32" t="s">
        <v>41</v>
      </c>
      <c r="AE742" s="2">
        <v>125</v>
      </c>
      <c r="AF742" s="21">
        <f t="shared" si="204"/>
        <v>6.39395370807747</v>
      </c>
      <c r="AG742" s="4">
        <f t="shared" si="199"/>
        <v>4.01511572980633</v>
      </c>
      <c r="AH742" s="4">
        <f t="shared" si="200"/>
        <v>0.236183278223902</v>
      </c>
    </row>
    <row r="743" ht="15.75" spans="1:34">
      <c r="A743" s="2">
        <v>20260318</v>
      </c>
      <c r="B743" s="2" t="s">
        <v>1528</v>
      </c>
      <c r="C743" s="2" t="s">
        <v>1529</v>
      </c>
      <c r="D743" s="2">
        <v>1</v>
      </c>
      <c r="E743" s="2">
        <v>3</v>
      </c>
      <c r="F743" s="2">
        <v>0</v>
      </c>
      <c r="G743" s="2">
        <v>9</v>
      </c>
      <c r="H743" s="2">
        <v>6</v>
      </c>
      <c r="I743" s="3">
        <v>12</v>
      </c>
      <c r="J743" s="2">
        <v>11</v>
      </c>
      <c r="K743" s="2">
        <v>2</v>
      </c>
      <c r="L743" s="2">
        <v>2</v>
      </c>
      <c r="M743" s="2">
        <v>16</v>
      </c>
      <c r="N743" s="2">
        <v>17</v>
      </c>
      <c r="O743" s="2">
        <v>0</v>
      </c>
      <c r="P743" s="3">
        <v>11</v>
      </c>
      <c r="Q743" s="2">
        <v>4</v>
      </c>
      <c r="R743" s="2">
        <v>21</v>
      </c>
      <c r="S743" s="2">
        <v>1</v>
      </c>
      <c r="T743" s="2">
        <v>11</v>
      </c>
      <c r="U743" s="2">
        <v>0</v>
      </c>
      <c r="V743" s="2">
        <f t="shared" si="207"/>
        <v>72</v>
      </c>
      <c r="W743" s="2">
        <v>2</v>
      </c>
      <c r="X743" s="2">
        <v>6</v>
      </c>
      <c r="Y743" s="2">
        <v>0</v>
      </c>
      <c r="Z743" s="2">
        <f t="shared" si="209"/>
        <v>8</v>
      </c>
      <c r="AA743" s="2">
        <f t="shared" si="208"/>
        <v>80</v>
      </c>
      <c r="AB743" s="2">
        <v>2793</v>
      </c>
      <c r="AC743" s="20">
        <f t="shared" si="206"/>
        <v>2.86430361618332</v>
      </c>
      <c r="AD743" s="32" t="s">
        <v>58</v>
      </c>
      <c r="AE743" s="2">
        <v>125</v>
      </c>
      <c r="AF743" s="21">
        <f t="shared" si="204"/>
        <v>4.30791263873971</v>
      </c>
      <c r="AG743" s="4">
        <f t="shared" si="199"/>
        <v>2.57787325456498</v>
      </c>
      <c r="AH743" s="4">
        <f t="shared" si="200"/>
        <v>0.286430361618332</v>
      </c>
    </row>
    <row r="744" ht="15.75" spans="1:34">
      <c r="A744" s="2">
        <v>20260318</v>
      </c>
      <c r="B744" s="2" t="s">
        <v>1530</v>
      </c>
      <c r="C744" s="2" t="s">
        <v>1531</v>
      </c>
      <c r="D744" s="2">
        <v>1</v>
      </c>
      <c r="E744" s="2">
        <v>13</v>
      </c>
      <c r="F744" s="2">
        <v>2</v>
      </c>
      <c r="G744" s="2">
        <v>4</v>
      </c>
      <c r="H744" s="2">
        <v>18</v>
      </c>
      <c r="I744" s="3">
        <v>27</v>
      </c>
      <c r="J744" s="2">
        <v>18</v>
      </c>
      <c r="K744" s="2">
        <v>10</v>
      </c>
      <c r="L744" s="2">
        <v>1</v>
      </c>
      <c r="M744" s="2">
        <v>23</v>
      </c>
      <c r="N744" s="2">
        <v>45</v>
      </c>
      <c r="O744" s="2">
        <v>5</v>
      </c>
      <c r="P744" s="3">
        <v>40</v>
      </c>
      <c r="Q744" s="2">
        <v>10</v>
      </c>
      <c r="R744" s="2">
        <v>149</v>
      </c>
      <c r="S744" s="2">
        <v>3</v>
      </c>
      <c r="T744" s="2">
        <v>6</v>
      </c>
      <c r="U744" s="2">
        <v>1</v>
      </c>
      <c r="V744" s="2">
        <f t="shared" ref="V744:V751" si="210">AA744-Y744-X744-W744-U744</f>
        <v>128</v>
      </c>
      <c r="W744" s="2">
        <v>3</v>
      </c>
      <c r="X744" s="2">
        <v>16</v>
      </c>
      <c r="Y744" s="2">
        <v>0</v>
      </c>
      <c r="Z744" s="2">
        <f t="shared" si="209"/>
        <v>20</v>
      </c>
      <c r="AA744" s="2">
        <f t="shared" si="208"/>
        <v>148</v>
      </c>
      <c r="AB744" s="2">
        <v>5161</v>
      </c>
      <c r="AC744" s="20">
        <f t="shared" si="206"/>
        <v>2.86766130594846</v>
      </c>
      <c r="AD744" s="32" t="s">
        <v>58</v>
      </c>
      <c r="AE744" s="2">
        <v>125</v>
      </c>
      <c r="AF744" s="21">
        <f t="shared" si="204"/>
        <v>4.31296260414648</v>
      </c>
      <c r="AG744" s="4">
        <f t="shared" si="199"/>
        <v>2.48013950784732</v>
      </c>
      <c r="AH744" s="4">
        <f t="shared" si="200"/>
        <v>0.387521798101143</v>
      </c>
    </row>
    <row r="745" ht="15.75" spans="1:34">
      <c r="A745" s="2">
        <v>20260318</v>
      </c>
      <c r="B745" s="2" t="s">
        <v>1532</v>
      </c>
      <c r="C745" s="2" t="s">
        <v>1533</v>
      </c>
      <c r="D745" s="2">
        <v>8</v>
      </c>
      <c r="E745" s="2">
        <v>6</v>
      </c>
      <c r="F745" s="2">
        <v>3</v>
      </c>
      <c r="G745" s="2">
        <v>5</v>
      </c>
      <c r="H745" s="2">
        <v>12</v>
      </c>
      <c r="I745" s="3">
        <v>390</v>
      </c>
      <c r="J745" s="2">
        <v>15</v>
      </c>
      <c r="K745" s="2">
        <v>1</v>
      </c>
      <c r="L745" s="2">
        <v>3</v>
      </c>
      <c r="M745" s="2">
        <v>9</v>
      </c>
      <c r="N745" s="2">
        <v>44</v>
      </c>
      <c r="O745" s="2">
        <v>0</v>
      </c>
      <c r="P745" s="3">
        <v>9</v>
      </c>
      <c r="Q745" s="2">
        <v>2</v>
      </c>
      <c r="R745" s="2">
        <v>43</v>
      </c>
      <c r="S745" s="2">
        <v>0</v>
      </c>
      <c r="T745" s="2">
        <v>6</v>
      </c>
      <c r="U745" s="2">
        <v>1</v>
      </c>
      <c r="V745" s="2">
        <f t="shared" si="210"/>
        <v>447</v>
      </c>
      <c r="W745" s="2">
        <v>1</v>
      </c>
      <c r="X745" s="2">
        <v>2</v>
      </c>
      <c r="Y745" s="2">
        <v>0</v>
      </c>
      <c r="Z745" s="2">
        <f t="shared" si="209"/>
        <v>4</v>
      </c>
      <c r="AA745" s="2">
        <f t="shared" si="208"/>
        <v>451</v>
      </c>
      <c r="AB745" s="2">
        <v>2666</v>
      </c>
      <c r="AC745" s="20">
        <f t="shared" si="206"/>
        <v>16.9167291822956</v>
      </c>
      <c r="AD745" s="32" t="s">
        <v>58</v>
      </c>
      <c r="AE745" s="2">
        <v>125</v>
      </c>
      <c r="AF745" s="21">
        <f t="shared" si="204"/>
        <v>25.4427606901725</v>
      </c>
      <c r="AG745" s="4">
        <f t="shared" si="199"/>
        <v>16.7666916729182</v>
      </c>
      <c r="AH745" s="4">
        <f t="shared" si="200"/>
        <v>0.150037509377344</v>
      </c>
    </row>
    <row r="746" ht="15.75" spans="1:34">
      <c r="A746" s="2">
        <v>20260318</v>
      </c>
      <c r="B746" s="2" t="s">
        <v>1534</v>
      </c>
      <c r="C746" s="2" t="s">
        <v>1535</v>
      </c>
      <c r="D746" s="2">
        <v>0</v>
      </c>
      <c r="E746" s="2">
        <v>15</v>
      </c>
      <c r="F746" s="2">
        <v>2</v>
      </c>
      <c r="G746" s="2">
        <v>1</v>
      </c>
      <c r="H746" s="2">
        <v>1</v>
      </c>
      <c r="I746" s="3">
        <v>8</v>
      </c>
      <c r="J746" s="2">
        <v>5</v>
      </c>
      <c r="K746" s="2">
        <v>4</v>
      </c>
      <c r="L746" s="2">
        <v>0</v>
      </c>
      <c r="M746" s="2">
        <v>10</v>
      </c>
      <c r="N746" s="2">
        <v>12</v>
      </c>
      <c r="O746" s="2">
        <v>4</v>
      </c>
      <c r="P746" s="3">
        <v>7</v>
      </c>
      <c r="Q746" s="2">
        <v>4</v>
      </c>
      <c r="R746" s="2">
        <v>68</v>
      </c>
      <c r="S746" s="2">
        <v>1</v>
      </c>
      <c r="T746" s="2">
        <v>4</v>
      </c>
      <c r="U746" s="2">
        <v>1</v>
      </c>
      <c r="V746" s="2">
        <f t="shared" si="210"/>
        <v>35</v>
      </c>
      <c r="W746" s="2">
        <v>1</v>
      </c>
      <c r="X746" s="2">
        <v>4</v>
      </c>
      <c r="Y746" s="2">
        <v>0</v>
      </c>
      <c r="Z746" s="2">
        <f t="shared" si="209"/>
        <v>6</v>
      </c>
      <c r="AA746" s="2">
        <f t="shared" ref="AA746:AA752" si="211">G746+H746+I746+J746+K746+L746+M746+P746+T746+U746</f>
        <v>41</v>
      </c>
      <c r="AB746" s="2">
        <v>2566</v>
      </c>
      <c r="AC746" s="20">
        <f t="shared" ref="AC746:AC755" si="212">AA746/AB746*100</f>
        <v>1.59781761496493</v>
      </c>
      <c r="AD746" s="32" t="s">
        <v>58</v>
      </c>
      <c r="AE746" s="2">
        <v>125</v>
      </c>
      <c r="AF746" s="21">
        <f t="shared" si="204"/>
        <v>2.40311769290725</v>
      </c>
      <c r="AG746" s="4">
        <f t="shared" si="199"/>
        <v>1.36399064692128</v>
      </c>
      <c r="AH746" s="4">
        <f t="shared" si="200"/>
        <v>0.233826968043648</v>
      </c>
    </row>
    <row r="747" ht="15.75" spans="1:34">
      <c r="A747" s="2">
        <v>20260318</v>
      </c>
      <c r="B747" s="2" t="s">
        <v>1536</v>
      </c>
      <c r="C747" s="2" t="s">
        <v>1537</v>
      </c>
      <c r="D747" s="2">
        <v>13</v>
      </c>
      <c r="E747" s="2">
        <v>12</v>
      </c>
      <c r="F747" s="2">
        <v>12</v>
      </c>
      <c r="G747" s="2">
        <v>22</v>
      </c>
      <c r="H747" s="2">
        <v>12</v>
      </c>
      <c r="I747" s="2">
        <v>21</v>
      </c>
      <c r="J747" s="3">
        <v>45</v>
      </c>
      <c r="K747" s="2">
        <v>23</v>
      </c>
      <c r="L747" s="2">
        <v>24</v>
      </c>
      <c r="M747" s="2">
        <v>1</v>
      </c>
      <c r="N747" s="2">
        <v>7</v>
      </c>
      <c r="O747" s="2">
        <v>35</v>
      </c>
      <c r="P747" s="2">
        <v>50</v>
      </c>
      <c r="Q747" s="3">
        <v>11</v>
      </c>
      <c r="R747" s="2">
        <v>103</v>
      </c>
      <c r="S747" s="2">
        <v>3</v>
      </c>
      <c r="T747" s="2">
        <v>14</v>
      </c>
      <c r="U747" s="2">
        <v>6</v>
      </c>
      <c r="V747" s="2">
        <f t="shared" si="210"/>
        <v>203</v>
      </c>
      <c r="W747" s="2">
        <v>3</v>
      </c>
      <c r="X747" s="2">
        <v>6</v>
      </c>
      <c r="Y747" s="2">
        <v>0</v>
      </c>
      <c r="Z747" s="2">
        <f t="shared" si="209"/>
        <v>15</v>
      </c>
      <c r="AA747" s="2">
        <f t="shared" si="211"/>
        <v>218</v>
      </c>
      <c r="AB747" s="2">
        <v>3255</v>
      </c>
      <c r="AC747" s="20">
        <f t="shared" si="212"/>
        <v>6.6973886328725</v>
      </c>
      <c r="AD747" s="32" t="s">
        <v>58</v>
      </c>
      <c r="AE747" s="2">
        <v>125</v>
      </c>
      <c r="AF747" s="21">
        <f t="shared" si="198"/>
        <v>10.0728725038402</v>
      </c>
      <c r="AG747" s="4">
        <f t="shared" si="199"/>
        <v>6.23655913978495</v>
      </c>
      <c r="AH747" s="4">
        <f t="shared" si="200"/>
        <v>0.460829493087558</v>
      </c>
    </row>
    <row r="748" ht="15.75" spans="1:34">
      <c r="A748" s="2">
        <v>20260318</v>
      </c>
      <c r="B748" s="2" t="s">
        <v>1538</v>
      </c>
      <c r="C748" s="2" t="s">
        <v>1539</v>
      </c>
      <c r="D748" s="2">
        <v>1</v>
      </c>
      <c r="E748" s="2">
        <v>17</v>
      </c>
      <c r="F748" s="2">
        <v>4</v>
      </c>
      <c r="G748" s="2">
        <v>2</v>
      </c>
      <c r="H748" s="2">
        <v>10</v>
      </c>
      <c r="I748" s="3">
        <v>12</v>
      </c>
      <c r="J748" s="2">
        <v>12</v>
      </c>
      <c r="K748" s="2">
        <v>2</v>
      </c>
      <c r="L748" s="2">
        <v>2</v>
      </c>
      <c r="M748" s="2">
        <v>7</v>
      </c>
      <c r="N748" s="2">
        <v>14</v>
      </c>
      <c r="O748" s="2">
        <v>6</v>
      </c>
      <c r="P748" s="3">
        <v>12</v>
      </c>
      <c r="Q748" s="2">
        <v>14</v>
      </c>
      <c r="R748" s="2">
        <v>127</v>
      </c>
      <c r="S748" s="2">
        <v>1</v>
      </c>
      <c r="T748" s="2">
        <v>8</v>
      </c>
      <c r="U748" s="2">
        <v>0</v>
      </c>
      <c r="V748" s="2">
        <f t="shared" si="210"/>
        <v>61</v>
      </c>
      <c r="W748" s="2">
        <v>0</v>
      </c>
      <c r="X748" s="2">
        <v>6</v>
      </c>
      <c r="Y748" s="2">
        <v>0</v>
      </c>
      <c r="Z748" s="2">
        <f t="shared" si="209"/>
        <v>6</v>
      </c>
      <c r="AA748" s="2">
        <f t="shared" si="211"/>
        <v>67</v>
      </c>
      <c r="AB748" s="2">
        <v>2446</v>
      </c>
      <c r="AC748" s="20">
        <f t="shared" si="212"/>
        <v>2.73916598528209</v>
      </c>
      <c r="AD748" s="32" t="s">
        <v>58</v>
      </c>
      <c r="AE748" s="2">
        <v>125</v>
      </c>
      <c r="AF748" s="21">
        <f t="shared" si="198"/>
        <v>4.11970564186427</v>
      </c>
      <c r="AG748" s="4">
        <f t="shared" si="199"/>
        <v>2.49386753883892</v>
      </c>
      <c r="AH748" s="4">
        <f t="shared" si="200"/>
        <v>0.245298446443173</v>
      </c>
    </row>
    <row r="749" ht="15.75" spans="1:34">
      <c r="A749" s="2">
        <v>20260318</v>
      </c>
      <c r="B749" s="2" t="s">
        <v>1540</v>
      </c>
      <c r="C749" s="2" t="s">
        <v>1541</v>
      </c>
      <c r="D749" s="2">
        <v>2</v>
      </c>
      <c r="E749" s="2">
        <v>6</v>
      </c>
      <c r="F749" s="2">
        <v>8</v>
      </c>
      <c r="G749" s="2">
        <v>3</v>
      </c>
      <c r="H749" s="2">
        <v>3</v>
      </c>
      <c r="I749" s="3">
        <v>15</v>
      </c>
      <c r="J749" s="2">
        <v>8</v>
      </c>
      <c r="K749" s="2">
        <v>3</v>
      </c>
      <c r="L749" s="2">
        <v>1</v>
      </c>
      <c r="M749" s="2">
        <v>7</v>
      </c>
      <c r="N749" s="2">
        <v>9</v>
      </c>
      <c r="O749" s="2">
        <v>11</v>
      </c>
      <c r="P749" s="3">
        <v>10</v>
      </c>
      <c r="Q749" s="2">
        <v>13</v>
      </c>
      <c r="R749" s="2">
        <v>101</v>
      </c>
      <c r="S749" s="2">
        <v>1</v>
      </c>
      <c r="T749" s="2">
        <v>5</v>
      </c>
      <c r="U749" s="2">
        <v>0</v>
      </c>
      <c r="V749" s="2">
        <f t="shared" si="210"/>
        <v>44</v>
      </c>
      <c r="W749" s="2">
        <v>1</v>
      </c>
      <c r="X749" s="2">
        <v>10</v>
      </c>
      <c r="Y749" s="2">
        <v>0</v>
      </c>
      <c r="Z749" s="2">
        <f t="shared" si="209"/>
        <v>11</v>
      </c>
      <c r="AA749" s="2">
        <f t="shared" si="211"/>
        <v>55</v>
      </c>
      <c r="AB749" s="2">
        <v>2866</v>
      </c>
      <c r="AC749" s="20">
        <f t="shared" si="212"/>
        <v>1.91905094207955</v>
      </c>
      <c r="AD749" s="32" t="s">
        <v>58</v>
      </c>
      <c r="AE749" s="2">
        <v>125</v>
      </c>
      <c r="AF749" s="21">
        <f t="shared" si="198"/>
        <v>2.88625261688765</v>
      </c>
      <c r="AG749" s="4">
        <f t="shared" si="199"/>
        <v>1.53524075366364</v>
      </c>
      <c r="AH749" s="4">
        <f t="shared" si="200"/>
        <v>0.383810188415911</v>
      </c>
    </row>
    <row r="750" ht="15.75" spans="1:34">
      <c r="A750" s="2">
        <v>20260318</v>
      </c>
      <c r="B750" s="2" t="s">
        <v>1542</v>
      </c>
      <c r="C750" s="2" t="s">
        <v>1543</v>
      </c>
      <c r="D750" s="2">
        <v>1</v>
      </c>
      <c r="E750" s="2">
        <v>7</v>
      </c>
      <c r="F750" s="2">
        <v>3</v>
      </c>
      <c r="G750" s="2">
        <v>5</v>
      </c>
      <c r="H750" s="2">
        <v>4</v>
      </c>
      <c r="I750" s="3">
        <v>10</v>
      </c>
      <c r="J750" s="2">
        <v>9</v>
      </c>
      <c r="K750" s="2">
        <v>2</v>
      </c>
      <c r="L750" s="2">
        <v>2</v>
      </c>
      <c r="M750" s="2">
        <v>3</v>
      </c>
      <c r="N750" s="2">
        <v>12</v>
      </c>
      <c r="O750" s="2">
        <v>3</v>
      </c>
      <c r="P750" s="3">
        <v>10</v>
      </c>
      <c r="Q750" s="2">
        <v>5</v>
      </c>
      <c r="R750" s="2">
        <v>118</v>
      </c>
      <c r="S750" s="2">
        <v>1</v>
      </c>
      <c r="T750" s="2">
        <v>8</v>
      </c>
      <c r="U750" s="2">
        <v>0</v>
      </c>
      <c r="V750" s="2">
        <f t="shared" si="210"/>
        <v>50</v>
      </c>
      <c r="W750" s="2">
        <v>2</v>
      </c>
      <c r="X750" s="2">
        <v>1</v>
      </c>
      <c r="Y750" s="2">
        <v>0</v>
      </c>
      <c r="Z750" s="2">
        <f t="shared" si="209"/>
        <v>3</v>
      </c>
      <c r="AA750" s="2">
        <f t="shared" si="211"/>
        <v>53</v>
      </c>
      <c r="AB750" s="2">
        <v>2607</v>
      </c>
      <c r="AC750" s="20">
        <f t="shared" si="212"/>
        <v>2.03298810893748</v>
      </c>
      <c r="AD750" s="32" t="s">
        <v>58</v>
      </c>
      <c r="AE750" s="2">
        <v>125</v>
      </c>
      <c r="AF750" s="21">
        <f t="shared" si="198"/>
        <v>3.05761411584196</v>
      </c>
      <c r="AG750" s="4">
        <f t="shared" si="199"/>
        <v>1.91791331031837</v>
      </c>
      <c r="AH750" s="4">
        <f t="shared" si="200"/>
        <v>0.115074798619102</v>
      </c>
    </row>
    <row r="751" ht="31.5" spans="1:34">
      <c r="A751" s="2">
        <v>20260318</v>
      </c>
      <c r="B751" s="2" t="s">
        <v>1544</v>
      </c>
      <c r="C751" s="2" t="s">
        <v>1545</v>
      </c>
      <c r="D751" s="2">
        <v>3</v>
      </c>
      <c r="E751" s="2">
        <v>86</v>
      </c>
      <c r="F751" s="2">
        <v>26</v>
      </c>
      <c r="G751" s="2">
        <v>11</v>
      </c>
      <c r="H751" s="2">
        <v>7</v>
      </c>
      <c r="I751" s="3">
        <v>25</v>
      </c>
      <c r="J751" s="2">
        <v>9</v>
      </c>
      <c r="K751" s="2">
        <v>10</v>
      </c>
      <c r="L751" s="2">
        <v>3</v>
      </c>
      <c r="M751" s="2">
        <v>6</v>
      </c>
      <c r="N751" s="2">
        <v>18</v>
      </c>
      <c r="O751" s="2">
        <v>10</v>
      </c>
      <c r="P751" s="3">
        <v>9</v>
      </c>
      <c r="Q751" s="2">
        <v>79</v>
      </c>
      <c r="R751" s="2">
        <v>260</v>
      </c>
      <c r="S751" s="2">
        <v>1</v>
      </c>
      <c r="T751" s="2">
        <v>7</v>
      </c>
      <c r="U751" s="2">
        <v>0</v>
      </c>
      <c r="V751" s="2">
        <f t="shared" si="210"/>
        <v>77</v>
      </c>
      <c r="W751" s="2">
        <v>4</v>
      </c>
      <c r="X751" s="2">
        <v>6</v>
      </c>
      <c r="Y751" s="2">
        <v>0</v>
      </c>
      <c r="Z751" s="2">
        <f t="shared" si="209"/>
        <v>10</v>
      </c>
      <c r="AA751" s="2">
        <f t="shared" si="211"/>
        <v>87</v>
      </c>
      <c r="AB751" s="2">
        <v>3905</v>
      </c>
      <c r="AC751" s="20">
        <f t="shared" si="212"/>
        <v>2.22791293213828</v>
      </c>
      <c r="AD751" s="32" t="s">
        <v>49</v>
      </c>
      <c r="AE751" s="2">
        <v>125</v>
      </c>
      <c r="AF751" s="21">
        <f t="shared" si="198"/>
        <v>3.35078104993598</v>
      </c>
      <c r="AG751" s="4">
        <f t="shared" si="199"/>
        <v>1.97183098591549</v>
      </c>
      <c r="AH751" s="4">
        <f t="shared" si="200"/>
        <v>0.256081946222791</v>
      </c>
    </row>
    <row r="752" ht="31.5" spans="1:34">
      <c r="A752" s="2">
        <v>20260318</v>
      </c>
      <c r="B752" s="2" t="s">
        <v>1546</v>
      </c>
      <c r="C752" s="2" t="s">
        <v>1547</v>
      </c>
      <c r="D752" s="2">
        <v>2</v>
      </c>
      <c r="E752" s="2">
        <v>5</v>
      </c>
      <c r="F752" s="2">
        <v>5</v>
      </c>
      <c r="G752" s="2">
        <v>1</v>
      </c>
      <c r="H752" s="2">
        <v>6</v>
      </c>
      <c r="I752" s="3">
        <v>10</v>
      </c>
      <c r="J752" s="2">
        <v>4</v>
      </c>
      <c r="K752" s="2">
        <v>3</v>
      </c>
      <c r="L752" s="2">
        <v>1</v>
      </c>
      <c r="M752" s="2">
        <v>13</v>
      </c>
      <c r="N752" s="2">
        <v>8</v>
      </c>
      <c r="O752" s="2">
        <v>5</v>
      </c>
      <c r="P752" s="3">
        <v>12</v>
      </c>
      <c r="Q752" s="2">
        <v>10</v>
      </c>
      <c r="R752" s="2">
        <v>154</v>
      </c>
      <c r="S752" s="2">
        <v>2</v>
      </c>
      <c r="T752" s="2">
        <v>5</v>
      </c>
      <c r="U752" s="2">
        <v>1</v>
      </c>
      <c r="V752" s="2">
        <f t="shared" ref="V752:V766" si="213">AA752-Y752-X752-W752-U752</f>
        <v>47</v>
      </c>
      <c r="W752" s="2">
        <v>4</v>
      </c>
      <c r="X752" s="2">
        <v>3</v>
      </c>
      <c r="Y752" s="2">
        <v>1</v>
      </c>
      <c r="Z752" s="2">
        <f t="shared" ref="Z752:Z765" si="214">Y752+X752+W752+U752</f>
        <v>9</v>
      </c>
      <c r="AA752" s="2">
        <f t="shared" ref="AA752:AA765" si="215">G752+H752+I752+J752+K752+L752+M752+P752+T752+U752</f>
        <v>56</v>
      </c>
      <c r="AB752" s="2">
        <v>3505</v>
      </c>
      <c r="AC752" s="20">
        <f t="shared" si="212"/>
        <v>1.59771754636234</v>
      </c>
      <c r="AD752" s="32" t="s">
        <v>49</v>
      </c>
      <c r="AE752" s="2">
        <v>125</v>
      </c>
      <c r="AF752" s="21">
        <f t="shared" si="198"/>
        <v>2.40296718972896</v>
      </c>
      <c r="AG752" s="4">
        <f t="shared" si="199"/>
        <v>1.34094151212553</v>
      </c>
      <c r="AH752" s="4">
        <f t="shared" si="200"/>
        <v>0.256776034236805</v>
      </c>
    </row>
    <row r="753" ht="31.5" spans="1:34">
      <c r="A753" s="2">
        <v>20260319</v>
      </c>
      <c r="B753" s="2" t="s">
        <v>1548</v>
      </c>
      <c r="C753" s="2" t="s">
        <v>1549</v>
      </c>
      <c r="D753" s="2">
        <v>2</v>
      </c>
      <c r="E753" s="2">
        <v>59</v>
      </c>
      <c r="F753" s="2">
        <v>9</v>
      </c>
      <c r="G753" s="2">
        <v>3</v>
      </c>
      <c r="H753" s="2">
        <v>10</v>
      </c>
      <c r="I753" s="3">
        <v>12</v>
      </c>
      <c r="J753" s="2">
        <v>9</v>
      </c>
      <c r="K753" s="2">
        <v>7</v>
      </c>
      <c r="L753" s="2">
        <v>1</v>
      </c>
      <c r="M753" s="2">
        <v>8</v>
      </c>
      <c r="N753" s="2">
        <v>15</v>
      </c>
      <c r="O753" s="2">
        <v>13</v>
      </c>
      <c r="P753" s="3">
        <v>8</v>
      </c>
      <c r="Q753" s="2">
        <v>18</v>
      </c>
      <c r="R753" s="2">
        <v>222</v>
      </c>
      <c r="S753" s="2">
        <v>2</v>
      </c>
      <c r="T753" s="2">
        <v>4</v>
      </c>
      <c r="U753" s="2">
        <v>0</v>
      </c>
      <c r="V753" s="2">
        <f t="shared" si="213"/>
        <v>50</v>
      </c>
      <c r="W753" s="2">
        <v>8</v>
      </c>
      <c r="X753" s="2">
        <v>4</v>
      </c>
      <c r="Y753" s="2">
        <v>0</v>
      </c>
      <c r="Z753" s="2">
        <f t="shared" si="214"/>
        <v>12</v>
      </c>
      <c r="AA753" s="2">
        <f t="shared" si="215"/>
        <v>62</v>
      </c>
      <c r="AB753" s="2">
        <v>3605</v>
      </c>
      <c r="AC753" s="20">
        <f t="shared" si="212"/>
        <v>1.71983356449376</v>
      </c>
      <c r="AD753" s="32" t="s">
        <v>49</v>
      </c>
      <c r="AE753" s="2">
        <v>125</v>
      </c>
      <c r="AF753" s="21">
        <f t="shared" si="198"/>
        <v>2.58662968099861</v>
      </c>
      <c r="AG753" s="4">
        <f t="shared" si="199"/>
        <v>1.3869625520111</v>
      </c>
      <c r="AH753" s="4">
        <f t="shared" si="200"/>
        <v>0.332871012482663</v>
      </c>
    </row>
    <row r="754" ht="31.5" spans="1:34">
      <c r="A754" s="2">
        <v>20260319</v>
      </c>
      <c r="B754" s="2" t="s">
        <v>1550</v>
      </c>
      <c r="C754" s="2" t="s">
        <v>1551</v>
      </c>
      <c r="D754" s="2">
        <v>2</v>
      </c>
      <c r="E754" s="2">
        <v>2</v>
      </c>
      <c r="F754" s="2">
        <v>2</v>
      </c>
      <c r="G754" s="2">
        <v>1</v>
      </c>
      <c r="H754" s="2">
        <v>2</v>
      </c>
      <c r="I754" s="3">
        <v>7</v>
      </c>
      <c r="J754" s="2">
        <v>9</v>
      </c>
      <c r="K754" s="2">
        <v>5</v>
      </c>
      <c r="L754" s="2">
        <v>0</v>
      </c>
      <c r="M754" s="2">
        <v>6</v>
      </c>
      <c r="N754" s="2">
        <v>23</v>
      </c>
      <c r="O754" s="2">
        <v>16</v>
      </c>
      <c r="P754" s="3">
        <v>10</v>
      </c>
      <c r="Q754" s="2">
        <v>5</v>
      </c>
      <c r="R754" s="2">
        <v>122</v>
      </c>
      <c r="S754" s="2">
        <v>3</v>
      </c>
      <c r="T754" s="2">
        <v>1</v>
      </c>
      <c r="U754" s="2">
        <v>1</v>
      </c>
      <c r="V754" s="2">
        <f t="shared" si="213"/>
        <v>31</v>
      </c>
      <c r="W754" s="2">
        <v>7</v>
      </c>
      <c r="X754" s="2">
        <v>3</v>
      </c>
      <c r="Y754" s="2">
        <v>0</v>
      </c>
      <c r="Z754" s="2">
        <f t="shared" si="214"/>
        <v>11</v>
      </c>
      <c r="AA754" s="2">
        <f t="shared" si="215"/>
        <v>42</v>
      </c>
      <c r="AB754" s="2">
        <v>3205</v>
      </c>
      <c r="AC754" s="20">
        <f t="shared" si="212"/>
        <v>1.31045241809672</v>
      </c>
      <c r="AD754" s="32" t="s">
        <v>49</v>
      </c>
      <c r="AE754" s="2">
        <v>125</v>
      </c>
      <c r="AF754" s="21">
        <f t="shared" si="198"/>
        <v>1.97092043681747</v>
      </c>
      <c r="AG754" s="4">
        <f t="shared" si="199"/>
        <v>0.967238689547582</v>
      </c>
      <c r="AH754" s="4">
        <f t="shared" si="200"/>
        <v>0.343213728549142</v>
      </c>
    </row>
    <row r="755" ht="31.5" spans="1:34">
      <c r="A755" s="2">
        <v>20260319</v>
      </c>
      <c r="B755" s="2" t="s">
        <v>1552</v>
      </c>
      <c r="C755" s="2" t="s">
        <v>1553</v>
      </c>
      <c r="D755" s="2">
        <v>13</v>
      </c>
      <c r="E755" s="2">
        <v>7</v>
      </c>
      <c r="F755" s="2">
        <v>29</v>
      </c>
      <c r="G755" s="2">
        <v>5</v>
      </c>
      <c r="H755" s="2">
        <v>21</v>
      </c>
      <c r="I755" s="3">
        <v>14</v>
      </c>
      <c r="J755" s="2">
        <v>8</v>
      </c>
      <c r="K755" s="2">
        <v>24</v>
      </c>
      <c r="L755" s="2">
        <v>0</v>
      </c>
      <c r="M755" s="2">
        <v>10</v>
      </c>
      <c r="N755" s="2">
        <v>24</v>
      </c>
      <c r="O755" s="2">
        <v>68</v>
      </c>
      <c r="P755" s="3">
        <v>28</v>
      </c>
      <c r="Q755" s="2">
        <v>20</v>
      </c>
      <c r="R755" s="2">
        <v>131</v>
      </c>
      <c r="S755" s="2">
        <v>0</v>
      </c>
      <c r="T755" s="2">
        <v>9</v>
      </c>
      <c r="U755" s="2">
        <v>2</v>
      </c>
      <c r="V755" s="2">
        <f t="shared" si="213"/>
        <v>108</v>
      </c>
      <c r="W755" s="2">
        <v>5</v>
      </c>
      <c r="X755" s="2">
        <v>6</v>
      </c>
      <c r="Y755" s="2">
        <v>0</v>
      </c>
      <c r="Z755" s="2">
        <f t="shared" si="214"/>
        <v>13</v>
      </c>
      <c r="AA755" s="2">
        <f t="shared" si="215"/>
        <v>121</v>
      </c>
      <c r="AB755" s="2">
        <v>3675</v>
      </c>
      <c r="AC755" s="20">
        <f t="shared" si="212"/>
        <v>3.29251700680272</v>
      </c>
      <c r="AD755" s="32" t="s">
        <v>49</v>
      </c>
      <c r="AE755" s="2">
        <v>125</v>
      </c>
      <c r="AF755" s="21">
        <f t="shared" si="198"/>
        <v>4.95194557823129</v>
      </c>
      <c r="AG755" s="4">
        <f t="shared" si="199"/>
        <v>2.93877551020408</v>
      </c>
      <c r="AH755" s="4">
        <f t="shared" si="200"/>
        <v>0.353741496598639</v>
      </c>
    </row>
    <row r="756" ht="31.5" spans="1:34">
      <c r="A756" s="2">
        <v>20260319</v>
      </c>
      <c r="B756" s="2" t="s">
        <v>1554</v>
      </c>
      <c r="C756" s="2" t="s">
        <v>1555</v>
      </c>
      <c r="D756" s="2">
        <v>1</v>
      </c>
      <c r="E756" s="2">
        <v>4</v>
      </c>
      <c r="F756" s="2">
        <v>8</v>
      </c>
      <c r="G756" s="2">
        <v>5</v>
      </c>
      <c r="H756" s="2">
        <v>7</v>
      </c>
      <c r="I756" s="3">
        <v>17</v>
      </c>
      <c r="J756" s="2">
        <v>5</v>
      </c>
      <c r="K756" s="2">
        <v>2</v>
      </c>
      <c r="L756" s="2">
        <v>0</v>
      </c>
      <c r="M756" s="2">
        <v>19</v>
      </c>
      <c r="N756" s="2">
        <v>6</v>
      </c>
      <c r="O756" s="2">
        <v>13</v>
      </c>
      <c r="P756" s="3">
        <v>17</v>
      </c>
      <c r="Q756" s="2">
        <v>15</v>
      </c>
      <c r="R756" s="2">
        <v>0</v>
      </c>
      <c r="S756" s="2">
        <v>2</v>
      </c>
      <c r="T756" s="2">
        <v>1</v>
      </c>
      <c r="U756" s="2">
        <v>0</v>
      </c>
      <c r="V756" s="2">
        <f t="shared" si="213"/>
        <v>65</v>
      </c>
      <c r="W756" s="2">
        <v>3</v>
      </c>
      <c r="X756" s="2">
        <v>5</v>
      </c>
      <c r="Y756" s="2">
        <v>0</v>
      </c>
      <c r="Z756" s="2">
        <f t="shared" si="214"/>
        <v>8</v>
      </c>
      <c r="AA756" s="2">
        <f t="shared" si="215"/>
        <v>73</v>
      </c>
      <c r="AB756" s="2">
        <v>3356</v>
      </c>
      <c r="AC756" s="20">
        <f t="shared" ref="AC756:AC765" si="216">AA756/AB756*100</f>
        <v>2.17520858164482</v>
      </c>
      <c r="AD756" s="32" t="s">
        <v>49</v>
      </c>
      <c r="AE756" s="2">
        <v>125</v>
      </c>
      <c r="AF756" s="21">
        <f t="shared" si="198"/>
        <v>3.2715137067938</v>
      </c>
      <c r="AG756" s="4">
        <f t="shared" si="199"/>
        <v>1.93682955899881</v>
      </c>
      <c r="AH756" s="4">
        <f t="shared" si="200"/>
        <v>0.238379022646007</v>
      </c>
    </row>
    <row r="757" ht="31.5" spans="1:34">
      <c r="A757" s="2">
        <v>20260319</v>
      </c>
      <c r="B757" s="2" t="s">
        <v>1556</v>
      </c>
      <c r="C757" s="2" t="s">
        <v>1557</v>
      </c>
      <c r="D757" s="2">
        <v>4</v>
      </c>
      <c r="E757" s="2">
        <v>3</v>
      </c>
      <c r="F757" s="2">
        <v>6</v>
      </c>
      <c r="G757" s="2">
        <v>9</v>
      </c>
      <c r="H757" s="2">
        <v>8</v>
      </c>
      <c r="I757" s="3">
        <v>2</v>
      </c>
      <c r="J757" s="2">
        <v>7</v>
      </c>
      <c r="K757" s="2">
        <v>3</v>
      </c>
      <c r="L757" s="2">
        <v>0</v>
      </c>
      <c r="M757" s="2">
        <v>14</v>
      </c>
      <c r="N757" s="2">
        <v>14</v>
      </c>
      <c r="O757" s="2">
        <v>4</v>
      </c>
      <c r="P757" s="3">
        <v>12</v>
      </c>
      <c r="Q757" s="2">
        <v>6</v>
      </c>
      <c r="R757" s="2">
        <v>3</v>
      </c>
      <c r="S757" s="2">
        <v>3</v>
      </c>
      <c r="T757" s="2">
        <v>10</v>
      </c>
      <c r="U757" s="2">
        <v>0</v>
      </c>
      <c r="V757" s="2">
        <f t="shared" si="213"/>
        <v>62</v>
      </c>
      <c r="W757" s="2">
        <v>2</v>
      </c>
      <c r="X757" s="2">
        <v>1</v>
      </c>
      <c r="Y757" s="2">
        <v>0</v>
      </c>
      <c r="Z757" s="2">
        <f t="shared" si="214"/>
        <v>3</v>
      </c>
      <c r="AA757" s="2">
        <f t="shared" si="215"/>
        <v>65</v>
      </c>
      <c r="AB757" s="2">
        <v>3356</v>
      </c>
      <c r="AC757" s="20">
        <f t="shared" si="216"/>
        <v>1.93682955899881</v>
      </c>
      <c r="AD757" s="32" t="s">
        <v>49</v>
      </c>
      <c r="AE757" s="2">
        <v>125</v>
      </c>
      <c r="AF757" s="21">
        <f t="shared" si="198"/>
        <v>2.91299165673421</v>
      </c>
      <c r="AG757" s="4">
        <f t="shared" si="199"/>
        <v>1.84743742550656</v>
      </c>
      <c r="AH757" s="4">
        <f t="shared" si="200"/>
        <v>0.0893921334922527</v>
      </c>
    </row>
    <row r="758" ht="31.5" spans="1:34">
      <c r="A758" s="2">
        <v>20260319</v>
      </c>
      <c r="B758" s="2" t="s">
        <v>1558</v>
      </c>
      <c r="C758" s="2" t="s">
        <v>1559</v>
      </c>
      <c r="D758" s="2">
        <v>3</v>
      </c>
      <c r="E758" s="2">
        <v>0</v>
      </c>
      <c r="F758" s="2">
        <v>13</v>
      </c>
      <c r="G758" s="2">
        <v>4</v>
      </c>
      <c r="H758" s="2">
        <v>10</v>
      </c>
      <c r="I758" s="3">
        <v>12</v>
      </c>
      <c r="J758" s="2">
        <v>13</v>
      </c>
      <c r="K758" s="2">
        <v>4</v>
      </c>
      <c r="L758" s="2">
        <v>1</v>
      </c>
      <c r="M758" s="2">
        <v>9</v>
      </c>
      <c r="N758" s="2">
        <v>15</v>
      </c>
      <c r="O758" s="2">
        <v>3</v>
      </c>
      <c r="P758" s="3">
        <v>8</v>
      </c>
      <c r="Q758" s="2">
        <v>11</v>
      </c>
      <c r="R758" s="2">
        <v>9</v>
      </c>
      <c r="S758" s="2">
        <v>1</v>
      </c>
      <c r="T758" s="2">
        <v>9</v>
      </c>
      <c r="U758" s="2">
        <v>0</v>
      </c>
      <c r="V758" s="2">
        <f t="shared" si="213"/>
        <v>62</v>
      </c>
      <c r="W758" s="2">
        <v>1</v>
      </c>
      <c r="X758" s="2">
        <v>7</v>
      </c>
      <c r="Y758" s="2">
        <v>0</v>
      </c>
      <c r="Z758" s="2">
        <f t="shared" si="214"/>
        <v>8</v>
      </c>
      <c r="AA758" s="2">
        <f t="shared" si="215"/>
        <v>70</v>
      </c>
      <c r="AB758" s="2">
        <v>3204</v>
      </c>
      <c r="AC758" s="20">
        <f t="shared" si="216"/>
        <v>2.18476903870162</v>
      </c>
      <c r="AD758" s="32" t="s">
        <v>49</v>
      </c>
      <c r="AE758" s="2">
        <v>125</v>
      </c>
      <c r="AF758" s="21">
        <f t="shared" ref="AF758:AF797" si="217">188/AE758*AC758</f>
        <v>3.28589263420724</v>
      </c>
      <c r="AG758" s="4">
        <f t="shared" ref="AG758:AG797" si="218">V758/AB758*100</f>
        <v>1.93508114856429</v>
      </c>
      <c r="AH758" s="4">
        <f t="shared" ref="AH758:AH797" si="219">Z758/AB758*100</f>
        <v>0.249687890137328</v>
      </c>
    </row>
    <row r="759" ht="31.5" spans="1:34">
      <c r="A759" s="2">
        <v>20260319</v>
      </c>
      <c r="B759" s="2" t="s">
        <v>1560</v>
      </c>
      <c r="C759" s="2" t="s">
        <v>1561</v>
      </c>
      <c r="D759" s="2">
        <v>1</v>
      </c>
      <c r="E759" s="2">
        <v>1</v>
      </c>
      <c r="F759" s="2">
        <v>6</v>
      </c>
      <c r="G759" s="2">
        <v>20</v>
      </c>
      <c r="H759" s="2">
        <v>11</v>
      </c>
      <c r="I759" s="3">
        <v>12</v>
      </c>
      <c r="J759" s="2">
        <v>22</v>
      </c>
      <c r="K759" s="2">
        <v>1</v>
      </c>
      <c r="L759" s="2">
        <v>2</v>
      </c>
      <c r="M759" s="2">
        <v>6</v>
      </c>
      <c r="N759" s="2">
        <v>16</v>
      </c>
      <c r="O759" s="2">
        <v>4</v>
      </c>
      <c r="P759" s="3">
        <v>13</v>
      </c>
      <c r="Q759" s="2">
        <v>7</v>
      </c>
      <c r="R759" s="2">
        <v>9</v>
      </c>
      <c r="S759" s="2">
        <v>8</v>
      </c>
      <c r="T759" s="2">
        <v>11</v>
      </c>
      <c r="U759" s="2">
        <v>0</v>
      </c>
      <c r="V759" s="2">
        <f t="shared" si="213"/>
        <v>88</v>
      </c>
      <c r="W759" s="2">
        <v>3</v>
      </c>
      <c r="X759" s="2">
        <v>7</v>
      </c>
      <c r="Y759" s="2">
        <v>0</v>
      </c>
      <c r="Z759" s="2">
        <f t="shared" si="214"/>
        <v>10</v>
      </c>
      <c r="AA759" s="2">
        <f t="shared" si="215"/>
        <v>98</v>
      </c>
      <c r="AB759" s="2">
        <v>3356</v>
      </c>
      <c r="AC759" s="20">
        <f t="shared" si="216"/>
        <v>2.92014302741359</v>
      </c>
      <c r="AD759" s="32" t="s">
        <v>49</v>
      </c>
      <c r="AE759" s="2">
        <v>125</v>
      </c>
      <c r="AF759" s="21">
        <f t="shared" si="217"/>
        <v>4.39189511323004</v>
      </c>
      <c r="AG759" s="4">
        <f t="shared" si="218"/>
        <v>2.62216924910608</v>
      </c>
      <c r="AH759" s="4">
        <f t="shared" si="219"/>
        <v>0.297973778307509</v>
      </c>
    </row>
    <row r="760" ht="31.5" spans="1:34">
      <c r="A760" s="2">
        <v>20260319</v>
      </c>
      <c r="B760" s="2" t="s">
        <v>1562</v>
      </c>
      <c r="C760" s="2" t="s">
        <v>1563</v>
      </c>
      <c r="D760" s="2">
        <v>3</v>
      </c>
      <c r="E760" s="2">
        <v>6</v>
      </c>
      <c r="F760" s="2">
        <v>13</v>
      </c>
      <c r="G760" s="2">
        <v>9</v>
      </c>
      <c r="H760" s="2">
        <v>9</v>
      </c>
      <c r="I760" s="3">
        <v>4</v>
      </c>
      <c r="J760" s="2">
        <v>36</v>
      </c>
      <c r="K760" s="2">
        <v>14</v>
      </c>
      <c r="L760" s="2">
        <v>3</v>
      </c>
      <c r="M760" s="2">
        <v>2</v>
      </c>
      <c r="N760" s="2">
        <v>12</v>
      </c>
      <c r="O760" s="2">
        <v>29</v>
      </c>
      <c r="P760" s="3">
        <v>12</v>
      </c>
      <c r="Q760" s="2">
        <v>11</v>
      </c>
      <c r="R760" s="2">
        <v>11</v>
      </c>
      <c r="S760" s="2">
        <v>16</v>
      </c>
      <c r="T760" s="2">
        <v>3</v>
      </c>
      <c r="U760" s="2">
        <v>11</v>
      </c>
      <c r="V760" s="2">
        <f t="shared" si="213"/>
        <v>82</v>
      </c>
      <c r="W760" s="2">
        <v>4</v>
      </c>
      <c r="X760" s="2">
        <v>6</v>
      </c>
      <c r="Y760" s="2">
        <v>0</v>
      </c>
      <c r="Z760" s="2">
        <f t="shared" si="214"/>
        <v>21</v>
      </c>
      <c r="AA760" s="2">
        <f t="shared" si="215"/>
        <v>103</v>
      </c>
      <c r="AB760" s="2">
        <v>3555</v>
      </c>
      <c r="AC760" s="20">
        <f t="shared" si="216"/>
        <v>2.89732770745429</v>
      </c>
      <c r="AD760" s="32" t="s">
        <v>49</v>
      </c>
      <c r="AE760" s="2">
        <v>125</v>
      </c>
      <c r="AF760" s="21">
        <f t="shared" si="217"/>
        <v>4.35758087201125</v>
      </c>
      <c r="AG760" s="4">
        <f t="shared" si="218"/>
        <v>2.30661040787623</v>
      </c>
      <c r="AH760" s="4">
        <f t="shared" si="219"/>
        <v>0.590717299578059</v>
      </c>
    </row>
    <row r="761" ht="31.5" spans="1:34">
      <c r="A761" s="2">
        <v>20260319</v>
      </c>
      <c r="B761" s="2" t="s">
        <v>1564</v>
      </c>
      <c r="C761" s="2" t="s">
        <v>1565</v>
      </c>
      <c r="D761" s="2">
        <v>0</v>
      </c>
      <c r="E761" s="2">
        <v>1</v>
      </c>
      <c r="F761" s="2">
        <v>12</v>
      </c>
      <c r="G761" s="2">
        <v>7</v>
      </c>
      <c r="H761" s="2">
        <v>8</v>
      </c>
      <c r="I761" s="3">
        <v>23</v>
      </c>
      <c r="J761" s="2">
        <v>9</v>
      </c>
      <c r="K761" s="2">
        <v>6</v>
      </c>
      <c r="L761" s="2">
        <v>2</v>
      </c>
      <c r="M761" s="2">
        <v>14</v>
      </c>
      <c r="N761" s="2">
        <v>20</v>
      </c>
      <c r="O761" s="2">
        <v>6</v>
      </c>
      <c r="P761" s="3">
        <v>6</v>
      </c>
      <c r="Q761" s="2">
        <v>24</v>
      </c>
      <c r="R761" s="2">
        <v>9</v>
      </c>
      <c r="S761" s="2">
        <v>7</v>
      </c>
      <c r="T761" s="2">
        <v>12</v>
      </c>
      <c r="U761" s="2">
        <v>0</v>
      </c>
      <c r="V761" s="2">
        <f t="shared" si="213"/>
        <v>79</v>
      </c>
      <c r="W761" s="2">
        <v>7</v>
      </c>
      <c r="X761" s="2">
        <v>1</v>
      </c>
      <c r="Y761" s="2">
        <v>0</v>
      </c>
      <c r="Z761" s="2">
        <f t="shared" si="214"/>
        <v>8</v>
      </c>
      <c r="AA761" s="2">
        <f t="shared" si="215"/>
        <v>87</v>
      </c>
      <c r="AB761" s="2">
        <v>3454</v>
      </c>
      <c r="AC761" s="20">
        <f t="shared" si="216"/>
        <v>2.51881876085698</v>
      </c>
      <c r="AD761" s="32" t="s">
        <v>49</v>
      </c>
      <c r="AE761" s="2">
        <v>125</v>
      </c>
      <c r="AF761" s="21">
        <f t="shared" si="217"/>
        <v>3.78830341632889</v>
      </c>
      <c r="AG761" s="4">
        <f t="shared" si="218"/>
        <v>2.28720324261725</v>
      </c>
      <c r="AH761" s="4">
        <f t="shared" si="219"/>
        <v>0.231615518239722</v>
      </c>
    </row>
    <row r="762" ht="31.5" spans="1:34">
      <c r="A762" s="2">
        <v>20260319</v>
      </c>
      <c r="B762" s="2" t="s">
        <v>1566</v>
      </c>
      <c r="C762" s="2" t="s">
        <v>1567</v>
      </c>
      <c r="D762" s="2">
        <v>1</v>
      </c>
      <c r="E762" s="2">
        <v>10</v>
      </c>
      <c r="F762" s="2">
        <v>8</v>
      </c>
      <c r="G762" s="2">
        <v>7</v>
      </c>
      <c r="H762" s="2">
        <v>14</v>
      </c>
      <c r="I762" s="3">
        <v>20</v>
      </c>
      <c r="J762" s="2">
        <v>12</v>
      </c>
      <c r="K762" s="2">
        <v>6</v>
      </c>
      <c r="L762" s="2">
        <v>2</v>
      </c>
      <c r="M762" s="2">
        <v>9</v>
      </c>
      <c r="N762" s="2">
        <v>12</v>
      </c>
      <c r="O762" s="2">
        <v>0</v>
      </c>
      <c r="P762" s="3">
        <v>11</v>
      </c>
      <c r="Q762" s="2">
        <v>16</v>
      </c>
      <c r="R762" s="2">
        <v>42</v>
      </c>
      <c r="S762" s="2">
        <v>3</v>
      </c>
      <c r="T762" s="2">
        <v>3</v>
      </c>
      <c r="U762" s="2">
        <v>1</v>
      </c>
      <c r="V762" s="2">
        <f t="shared" si="213"/>
        <v>76</v>
      </c>
      <c r="W762" s="2">
        <v>6</v>
      </c>
      <c r="X762" s="2">
        <v>2</v>
      </c>
      <c r="Y762" s="2">
        <v>0</v>
      </c>
      <c r="Z762" s="2">
        <f t="shared" si="214"/>
        <v>9</v>
      </c>
      <c r="AA762" s="2">
        <f t="shared" si="215"/>
        <v>85</v>
      </c>
      <c r="AB762" s="2">
        <v>3424</v>
      </c>
      <c r="AC762" s="20">
        <f t="shared" si="216"/>
        <v>2.48247663551402</v>
      </c>
      <c r="AD762" s="32" t="s">
        <v>49</v>
      </c>
      <c r="AE762" s="2">
        <v>125</v>
      </c>
      <c r="AF762" s="21">
        <f t="shared" si="217"/>
        <v>3.73364485981308</v>
      </c>
      <c r="AG762" s="4">
        <f t="shared" si="218"/>
        <v>2.2196261682243</v>
      </c>
      <c r="AH762" s="4">
        <f t="shared" si="219"/>
        <v>0.26285046728972</v>
      </c>
    </row>
    <row r="763" ht="31.5" spans="1:34">
      <c r="A763" s="2">
        <v>20260319</v>
      </c>
      <c r="B763" s="2" t="s">
        <v>1568</v>
      </c>
      <c r="C763" s="2" t="s">
        <v>1569</v>
      </c>
      <c r="D763" s="2">
        <v>4</v>
      </c>
      <c r="E763" s="2">
        <v>10</v>
      </c>
      <c r="F763" s="2">
        <v>11</v>
      </c>
      <c r="G763" s="2">
        <v>6</v>
      </c>
      <c r="H763" s="2">
        <v>10</v>
      </c>
      <c r="I763" s="3">
        <v>18</v>
      </c>
      <c r="J763" s="2">
        <v>13</v>
      </c>
      <c r="K763" s="2">
        <v>2</v>
      </c>
      <c r="L763" s="2">
        <v>1</v>
      </c>
      <c r="M763" s="2">
        <v>12</v>
      </c>
      <c r="N763" s="2">
        <v>26</v>
      </c>
      <c r="O763" s="2">
        <v>6</v>
      </c>
      <c r="P763" s="3">
        <v>16</v>
      </c>
      <c r="Q763" s="2">
        <v>17</v>
      </c>
      <c r="R763" s="2">
        <v>34</v>
      </c>
      <c r="S763" s="2">
        <v>3</v>
      </c>
      <c r="T763" s="2">
        <v>12</v>
      </c>
      <c r="U763" s="2">
        <v>1</v>
      </c>
      <c r="V763" s="2">
        <f t="shared" si="213"/>
        <v>86</v>
      </c>
      <c r="W763" s="2">
        <v>4</v>
      </c>
      <c r="X763" s="2">
        <v>0</v>
      </c>
      <c r="Y763" s="2">
        <v>0</v>
      </c>
      <c r="Z763" s="2">
        <f t="shared" si="214"/>
        <v>5</v>
      </c>
      <c r="AA763" s="2">
        <f t="shared" ref="AA763:AA773" si="220">G763+H763+I763+J763+K763+L763+M763+P763+T763+U763</f>
        <v>91</v>
      </c>
      <c r="AB763" s="2">
        <v>3604</v>
      </c>
      <c r="AC763" s="20">
        <f t="shared" si="216"/>
        <v>2.52497225305216</v>
      </c>
      <c r="AD763" s="32" t="s">
        <v>49</v>
      </c>
      <c r="AE763" s="2">
        <v>125</v>
      </c>
      <c r="AF763" s="21">
        <f t="shared" si="217"/>
        <v>3.79755826859045</v>
      </c>
      <c r="AG763" s="4">
        <f t="shared" si="218"/>
        <v>2.38623751387347</v>
      </c>
      <c r="AH763" s="4">
        <f t="shared" si="219"/>
        <v>0.13873473917869</v>
      </c>
    </row>
    <row r="764" ht="31.5" spans="1:34">
      <c r="A764" s="2">
        <v>20260319</v>
      </c>
      <c r="B764" s="2" t="s">
        <v>1570</v>
      </c>
      <c r="C764" s="2" t="s">
        <v>1571</v>
      </c>
      <c r="D764" s="2">
        <v>1</v>
      </c>
      <c r="E764" s="2">
        <v>7</v>
      </c>
      <c r="F764" s="2">
        <v>6</v>
      </c>
      <c r="G764" s="2">
        <v>5</v>
      </c>
      <c r="H764" s="2">
        <v>7</v>
      </c>
      <c r="I764" s="3">
        <v>13</v>
      </c>
      <c r="J764" s="2">
        <v>7</v>
      </c>
      <c r="K764" s="2">
        <v>1</v>
      </c>
      <c r="L764" s="2">
        <v>1</v>
      </c>
      <c r="M764" s="2">
        <v>6</v>
      </c>
      <c r="N764" s="2">
        <v>18</v>
      </c>
      <c r="O764" s="2">
        <v>7</v>
      </c>
      <c r="P764" s="3">
        <v>5</v>
      </c>
      <c r="Q764" s="2">
        <v>15</v>
      </c>
      <c r="R764" s="2">
        <v>16</v>
      </c>
      <c r="S764" s="2">
        <v>2</v>
      </c>
      <c r="T764" s="2">
        <v>3</v>
      </c>
      <c r="U764" s="2">
        <v>2</v>
      </c>
      <c r="V764" s="2">
        <f t="shared" si="213"/>
        <v>44</v>
      </c>
      <c r="W764" s="2">
        <v>3</v>
      </c>
      <c r="X764" s="2">
        <v>1</v>
      </c>
      <c r="Y764" s="2">
        <v>0</v>
      </c>
      <c r="Z764" s="2">
        <f t="shared" ref="Z764:Z774" si="221">Y764+X764+W764+U764</f>
        <v>6</v>
      </c>
      <c r="AA764" s="2">
        <f t="shared" si="220"/>
        <v>50</v>
      </c>
      <c r="AB764" s="2">
        <v>3205</v>
      </c>
      <c r="AC764" s="20">
        <f t="shared" si="216"/>
        <v>1.5600624024961</v>
      </c>
      <c r="AD764" s="32" t="s">
        <v>49</v>
      </c>
      <c r="AE764" s="2">
        <v>125</v>
      </c>
      <c r="AF764" s="21">
        <f t="shared" si="217"/>
        <v>2.34633385335413</v>
      </c>
      <c r="AG764" s="4">
        <f t="shared" si="218"/>
        <v>1.37285491419657</v>
      </c>
      <c r="AH764" s="4">
        <f t="shared" si="219"/>
        <v>0.187207488299532</v>
      </c>
    </row>
    <row r="765" ht="31.5" spans="1:34">
      <c r="A765" s="2">
        <v>20260319</v>
      </c>
      <c r="B765" s="2" t="s">
        <v>1572</v>
      </c>
      <c r="C765" s="2" t="s">
        <v>1573</v>
      </c>
      <c r="D765" s="2">
        <v>1</v>
      </c>
      <c r="E765" s="2">
        <v>3</v>
      </c>
      <c r="F765" s="2">
        <v>8</v>
      </c>
      <c r="G765" s="2">
        <v>3</v>
      </c>
      <c r="H765" s="2">
        <v>5</v>
      </c>
      <c r="I765" s="3">
        <v>17</v>
      </c>
      <c r="J765" s="2">
        <v>9</v>
      </c>
      <c r="K765" s="2">
        <v>3</v>
      </c>
      <c r="L765" s="2">
        <v>2</v>
      </c>
      <c r="M765" s="2">
        <v>7</v>
      </c>
      <c r="N765" s="2">
        <v>16</v>
      </c>
      <c r="O765" s="2">
        <v>7</v>
      </c>
      <c r="P765" s="3">
        <v>15</v>
      </c>
      <c r="Q765" s="2">
        <v>11</v>
      </c>
      <c r="R765" s="2">
        <v>16</v>
      </c>
      <c r="S765" s="2">
        <v>1</v>
      </c>
      <c r="T765" s="2">
        <v>12</v>
      </c>
      <c r="U765" s="2">
        <v>1</v>
      </c>
      <c r="V765" s="2">
        <f t="shared" si="213"/>
        <v>67</v>
      </c>
      <c r="W765" s="2">
        <v>2</v>
      </c>
      <c r="X765" s="2">
        <v>4</v>
      </c>
      <c r="Y765" s="2">
        <v>0</v>
      </c>
      <c r="Z765" s="2">
        <f t="shared" si="221"/>
        <v>7</v>
      </c>
      <c r="AA765" s="2">
        <f t="shared" si="220"/>
        <v>74</v>
      </c>
      <c r="AB765" s="2">
        <v>3205</v>
      </c>
      <c r="AC765" s="20">
        <f t="shared" ref="AC765:AC775" si="222">AA765/AB765*100</f>
        <v>2.30889235569423</v>
      </c>
      <c r="AD765" s="32" t="s">
        <v>49</v>
      </c>
      <c r="AE765" s="2">
        <v>125</v>
      </c>
      <c r="AF765" s="21">
        <f t="shared" ref="AF765:AF775" si="223">188/AE765*AC765</f>
        <v>3.47257410296412</v>
      </c>
      <c r="AG765" s="4">
        <f t="shared" si="218"/>
        <v>2.09048361934477</v>
      </c>
      <c r="AH765" s="4">
        <f t="shared" si="219"/>
        <v>0.218408736349454</v>
      </c>
    </row>
    <row r="766" ht="31.5" spans="1:34">
      <c r="A766" s="2">
        <v>20260319</v>
      </c>
      <c r="B766" s="2" t="s">
        <v>1574</v>
      </c>
      <c r="C766" s="2" t="s">
        <v>1575</v>
      </c>
      <c r="D766" s="2">
        <v>0</v>
      </c>
      <c r="E766" s="2">
        <v>3</v>
      </c>
      <c r="F766" s="2">
        <v>9</v>
      </c>
      <c r="G766" s="2">
        <v>5</v>
      </c>
      <c r="H766" s="2">
        <v>5</v>
      </c>
      <c r="I766" s="3">
        <v>18</v>
      </c>
      <c r="J766" s="2">
        <v>5</v>
      </c>
      <c r="K766" s="2">
        <v>6</v>
      </c>
      <c r="L766" s="2">
        <v>2</v>
      </c>
      <c r="M766" s="2">
        <v>10</v>
      </c>
      <c r="N766" s="2">
        <v>13</v>
      </c>
      <c r="O766" s="2">
        <v>3</v>
      </c>
      <c r="P766" s="3">
        <v>10</v>
      </c>
      <c r="Q766" s="2">
        <v>12</v>
      </c>
      <c r="R766" s="2">
        <v>8</v>
      </c>
      <c r="S766" s="2">
        <v>1</v>
      </c>
      <c r="T766" s="2">
        <v>2</v>
      </c>
      <c r="U766" s="2">
        <v>1</v>
      </c>
      <c r="V766" s="2">
        <f t="shared" si="213"/>
        <v>59</v>
      </c>
      <c r="W766" s="2">
        <v>4</v>
      </c>
      <c r="X766" s="2">
        <v>0</v>
      </c>
      <c r="Y766" s="2">
        <v>0</v>
      </c>
      <c r="Z766" s="2">
        <f t="shared" si="221"/>
        <v>5</v>
      </c>
      <c r="AA766" s="2">
        <f t="shared" si="220"/>
        <v>64</v>
      </c>
      <c r="AB766" s="2">
        <v>3204</v>
      </c>
      <c r="AC766" s="20">
        <f t="shared" si="222"/>
        <v>1.99750312109863</v>
      </c>
      <c r="AD766" s="32" t="s">
        <v>49</v>
      </c>
      <c r="AE766" s="2">
        <v>125</v>
      </c>
      <c r="AF766" s="21">
        <f t="shared" si="223"/>
        <v>3.00424469413233</v>
      </c>
      <c r="AG766" s="4">
        <f t="shared" si="218"/>
        <v>1.8414481897628</v>
      </c>
      <c r="AH766" s="4">
        <f t="shared" si="219"/>
        <v>0.15605493133583</v>
      </c>
    </row>
    <row r="767" ht="31.5" spans="1:34">
      <c r="A767" s="2">
        <v>20260319</v>
      </c>
      <c r="B767" s="2" t="s">
        <v>1576</v>
      </c>
      <c r="C767" s="2" t="s">
        <v>1577</v>
      </c>
      <c r="D767" s="2">
        <v>1</v>
      </c>
      <c r="E767" s="2">
        <v>3</v>
      </c>
      <c r="F767" s="2">
        <v>9</v>
      </c>
      <c r="G767" s="2">
        <v>2</v>
      </c>
      <c r="H767" s="2">
        <v>10</v>
      </c>
      <c r="I767" s="3">
        <v>12</v>
      </c>
      <c r="J767" s="2">
        <v>12</v>
      </c>
      <c r="K767" s="2">
        <v>6</v>
      </c>
      <c r="L767" s="2">
        <v>1</v>
      </c>
      <c r="M767" s="2">
        <v>15</v>
      </c>
      <c r="N767" s="2">
        <v>14</v>
      </c>
      <c r="O767" s="2">
        <v>7</v>
      </c>
      <c r="P767" s="3">
        <v>7</v>
      </c>
      <c r="Q767" s="2">
        <v>2</v>
      </c>
      <c r="R767" s="2">
        <v>11</v>
      </c>
      <c r="S767" s="2">
        <v>5</v>
      </c>
      <c r="T767" s="2">
        <v>6</v>
      </c>
      <c r="U767" s="2">
        <v>3</v>
      </c>
      <c r="V767" s="2">
        <f t="shared" ref="V767:V776" si="224">AA767-Y767-X767-W767-U767</f>
        <v>70</v>
      </c>
      <c r="W767" s="2">
        <v>0</v>
      </c>
      <c r="X767" s="2">
        <v>1</v>
      </c>
      <c r="Y767" s="2">
        <v>0</v>
      </c>
      <c r="Z767" s="2">
        <f t="shared" si="221"/>
        <v>4</v>
      </c>
      <c r="AA767" s="2">
        <f t="shared" si="220"/>
        <v>74</v>
      </c>
      <c r="AB767" s="2">
        <v>3205</v>
      </c>
      <c r="AC767" s="20">
        <f t="shared" si="222"/>
        <v>2.30889235569423</v>
      </c>
      <c r="AD767" s="32" t="s">
        <v>49</v>
      </c>
      <c r="AE767" s="2">
        <v>125</v>
      </c>
      <c r="AF767" s="21">
        <f t="shared" si="223"/>
        <v>3.47257410296412</v>
      </c>
      <c r="AG767" s="4">
        <f t="shared" si="218"/>
        <v>2.18408736349454</v>
      </c>
      <c r="AH767" s="4">
        <f t="shared" si="219"/>
        <v>0.124804992199688</v>
      </c>
    </row>
    <row r="768" ht="31.5" spans="1:34">
      <c r="A768" s="2">
        <v>20260319</v>
      </c>
      <c r="B768" s="2" t="s">
        <v>1578</v>
      </c>
      <c r="C768" s="2" t="s">
        <v>1579</v>
      </c>
      <c r="D768" s="2">
        <v>1</v>
      </c>
      <c r="E768" s="2">
        <v>7</v>
      </c>
      <c r="F768" s="2">
        <v>8</v>
      </c>
      <c r="G768" s="2">
        <v>5</v>
      </c>
      <c r="H768" s="2">
        <v>5</v>
      </c>
      <c r="I768" s="3">
        <v>10</v>
      </c>
      <c r="J768" s="2">
        <v>6</v>
      </c>
      <c r="K768" s="2">
        <v>1</v>
      </c>
      <c r="L768" s="2">
        <v>1</v>
      </c>
      <c r="M768" s="2">
        <v>14</v>
      </c>
      <c r="N768" s="2">
        <v>19</v>
      </c>
      <c r="O768" s="2">
        <v>6</v>
      </c>
      <c r="P768" s="3">
        <v>5</v>
      </c>
      <c r="Q768" s="2">
        <v>6</v>
      </c>
      <c r="R768" s="2">
        <v>15</v>
      </c>
      <c r="S768" s="2">
        <v>1</v>
      </c>
      <c r="T768" s="2">
        <v>2</v>
      </c>
      <c r="U768" s="2">
        <v>1</v>
      </c>
      <c r="V768" s="2">
        <f t="shared" si="224"/>
        <v>49</v>
      </c>
      <c r="W768" s="2">
        <v>0</v>
      </c>
      <c r="X768" s="2">
        <v>0</v>
      </c>
      <c r="Y768" s="2">
        <v>0</v>
      </c>
      <c r="Z768" s="2">
        <f t="shared" si="221"/>
        <v>1</v>
      </c>
      <c r="AA768" s="2">
        <f t="shared" si="220"/>
        <v>50</v>
      </c>
      <c r="AB768" s="2">
        <v>3204</v>
      </c>
      <c r="AC768" s="20">
        <f t="shared" si="222"/>
        <v>1.5605493133583</v>
      </c>
      <c r="AD768" s="32" t="s">
        <v>49</v>
      </c>
      <c r="AE768" s="2">
        <v>125</v>
      </c>
      <c r="AF768" s="21">
        <f t="shared" si="223"/>
        <v>2.34706616729089</v>
      </c>
      <c r="AG768" s="4">
        <f t="shared" si="218"/>
        <v>1.52933832709114</v>
      </c>
      <c r="AH768" s="4">
        <f t="shared" si="219"/>
        <v>0.031210986267166</v>
      </c>
    </row>
    <row r="769" ht="31.5" spans="1:34">
      <c r="A769" s="2">
        <v>20260319</v>
      </c>
      <c r="B769" s="2" t="s">
        <v>1580</v>
      </c>
      <c r="C769" s="2" t="s">
        <v>1581</v>
      </c>
      <c r="D769" s="2">
        <v>5</v>
      </c>
      <c r="E769" s="2">
        <v>12</v>
      </c>
      <c r="F769" s="2">
        <v>8</v>
      </c>
      <c r="G769" s="2">
        <v>5</v>
      </c>
      <c r="H769" s="2">
        <v>5</v>
      </c>
      <c r="I769" s="3">
        <v>12</v>
      </c>
      <c r="J769" s="2">
        <v>11</v>
      </c>
      <c r="K769" s="2">
        <v>6</v>
      </c>
      <c r="L769" s="2">
        <v>2</v>
      </c>
      <c r="M769" s="2">
        <v>4</v>
      </c>
      <c r="N769" s="2">
        <v>25</v>
      </c>
      <c r="O769" s="2">
        <v>14</v>
      </c>
      <c r="P769" s="3">
        <v>9</v>
      </c>
      <c r="Q769" s="2">
        <v>16</v>
      </c>
      <c r="R769" s="2">
        <v>7</v>
      </c>
      <c r="S769" s="2">
        <v>4</v>
      </c>
      <c r="T769" s="2">
        <v>3</v>
      </c>
      <c r="U769" s="2">
        <v>0</v>
      </c>
      <c r="V769" s="2">
        <f t="shared" si="224"/>
        <v>54</v>
      </c>
      <c r="W769" s="2">
        <v>3</v>
      </c>
      <c r="X769" s="2">
        <v>0</v>
      </c>
      <c r="Y769" s="2">
        <v>0</v>
      </c>
      <c r="Z769" s="2">
        <f t="shared" si="221"/>
        <v>3</v>
      </c>
      <c r="AA769" s="2">
        <f t="shared" si="220"/>
        <v>57</v>
      </c>
      <c r="AB769" s="2">
        <v>3204</v>
      </c>
      <c r="AC769" s="20">
        <f t="shared" si="222"/>
        <v>1.77902621722846</v>
      </c>
      <c r="AD769" s="32" t="s">
        <v>49</v>
      </c>
      <c r="AE769" s="2">
        <v>125</v>
      </c>
      <c r="AF769" s="21">
        <f t="shared" si="223"/>
        <v>2.67565543071161</v>
      </c>
      <c r="AG769" s="4">
        <f t="shared" si="218"/>
        <v>1.68539325842697</v>
      </c>
      <c r="AH769" s="4">
        <f t="shared" si="219"/>
        <v>0.0936329588014981</v>
      </c>
    </row>
    <row r="770" ht="31.5" spans="1:34">
      <c r="A770" s="2">
        <v>20260319</v>
      </c>
      <c r="B770" s="2" t="s">
        <v>1582</v>
      </c>
      <c r="C770" s="2" t="s">
        <v>1583</v>
      </c>
      <c r="D770" s="2">
        <v>1</v>
      </c>
      <c r="E770" s="2">
        <v>2</v>
      </c>
      <c r="F770" s="2">
        <v>7</v>
      </c>
      <c r="G770" s="2">
        <v>4</v>
      </c>
      <c r="H770" s="2">
        <v>4</v>
      </c>
      <c r="I770" s="3">
        <v>14</v>
      </c>
      <c r="J770" s="2">
        <v>5</v>
      </c>
      <c r="K770" s="2">
        <v>3</v>
      </c>
      <c r="L770" s="2">
        <v>2</v>
      </c>
      <c r="M770" s="2">
        <v>14</v>
      </c>
      <c r="N770" s="2">
        <v>15</v>
      </c>
      <c r="O770" s="2">
        <v>1</v>
      </c>
      <c r="P770" s="3">
        <v>6</v>
      </c>
      <c r="Q770" s="2">
        <v>11</v>
      </c>
      <c r="R770" s="2">
        <v>12</v>
      </c>
      <c r="S770" s="2">
        <v>0</v>
      </c>
      <c r="T770" s="2">
        <v>6</v>
      </c>
      <c r="U770" s="2">
        <v>2</v>
      </c>
      <c r="V770" s="2">
        <f t="shared" si="224"/>
        <v>56</v>
      </c>
      <c r="W770" s="2">
        <v>2</v>
      </c>
      <c r="X770" s="2">
        <v>0</v>
      </c>
      <c r="Y770" s="2">
        <v>0</v>
      </c>
      <c r="Z770" s="2">
        <f t="shared" si="221"/>
        <v>4</v>
      </c>
      <c r="AA770" s="2">
        <f t="shared" si="220"/>
        <v>60</v>
      </c>
      <c r="AB770" s="2">
        <v>3204</v>
      </c>
      <c r="AC770" s="20">
        <f t="shared" si="222"/>
        <v>1.87265917602996</v>
      </c>
      <c r="AD770" s="32" t="s">
        <v>49</v>
      </c>
      <c r="AE770" s="2">
        <v>125</v>
      </c>
      <c r="AF770" s="21">
        <f t="shared" si="223"/>
        <v>2.81647940074906</v>
      </c>
      <c r="AG770" s="4">
        <f t="shared" si="218"/>
        <v>1.7478152309613</v>
      </c>
      <c r="AH770" s="4">
        <f t="shared" si="219"/>
        <v>0.124843945068664</v>
      </c>
    </row>
    <row r="771" ht="31.5" spans="1:34">
      <c r="A771" s="2">
        <v>20260319</v>
      </c>
      <c r="B771" s="2" t="s">
        <v>1584</v>
      </c>
      <c r="C771" s="2" t="s">
        <v>1585</v>
      </c>
      <c r="D771" s="2">
        <v>3</v>
      </c>
      <c r="E771" s="2">
        <v>2</v>
      </c>
      <c r="F771" s="2">
        <v>8</v>
      </c>
      <c r="G771" s="2">
        <v>7</v>
      </c>
      <c r="H771" s="2">
        <v>5</v>
      </c>
      <c r="I771" s="3">
        <v>12</v>
      </c>
      <c r="J771" s="2">
        <v>6</v>
      </c>
      <c r="K771" s="2">
        <v>5</v>
      </c>
      <c r="L771" s="2">
        <v>2</v>
      </c>
      <c r="M771" s="2">
        <v>12</v>
      </c>
      <c r="N771" s="2">
        <v>20</v>
      </c>
      <c r="O771" s="2">
        <v>7</v>
      </c>
      <c r="P771" s="3">
        <v>10</v>
      </c>
      <c r="Q771" s="2">
        <v>14</v>
      </c>
      <c r="R771" s="2">
        <v>15</v>
      </c>
      <c r="S771" s="2">
        <v>0</v>
      </c>
      <c r="T771" s="2">
        <v>2</v>
      </c>
      <c r="U771" s="2">
        <v>0</v>
      </c>
      <c r="V771" s="2">
        <f t="shared" si="224"/>
        <v>61</v>
      </c>
      <c r="W771" s="2">
        <v>0</v>
      </c>
      <c r="X771" s="2">
        <v>0</v>
      </c>
      <c r="Y771" s="2">
        <v>0</v>
      </c>
      <c r="Z771" s="2">
        <f t="shared" si="221"/>
        <v>0</v>
      </c>
      <c r="AA771" s="2">
        <f t="shared" si="220"/>
        <v>61</v>
      </c>
      <c r="AB771" s="2">
        <v>3204</v>
      </c>
      <c r="AC771" s="20">
        <f t="shared" si="222"/>
        <v>1.90387016229713</v>
      </c>
      <c r="AD771" s="32" t="s">
        <v>49</v>
      </c>
      <c r="AE771" s="2">
        <v>125</v>
      </c>
      <c r="AF771" s="21">
        <f t="shared" si="223"/>
        <v>2.86342072409488</v>
      </c>
      <c r="AG771" s="4">
        <f t="shared" si="218"/>
        <v>1.90387016229713</v>
      </c>
      <c r="AH771" s="4">
        <f t="shared" si="219"/>
        <v>0</v>
      </c>
    </row>
    <row r="772" ht="31.5" spans="1:34">
      <c r="A772" s="2">
        <v>20260319</v>
      </c>
      <c r="B772" s="2" t="s">
        <v>1586</v>
      </c>
      <c r="C772" s="2" t="s">
        <v>1587</v>
      </c>
      <c r="D772" s="2">
        <v>4</v>
      </c>
      <c r="E772" s="2">
        <v>2</v>
      </c>
      <c r="F772" s="2">
        <v>4</v>
      </c>
      <c r="G772" s="2">
        <v>9</v>
      </c>
      <c r="H772" s="2">
        <v>3</v>
      </c>
      <c r="I772" s="3">
        <v>18</v>
      </c>
      <c r="J772" s="2">
        <v>13</v>
      </c>
      <c r="K772" s="2">
        <v>8</v>
      </c>
      <c r="L772" s="2">
        <v>1</v>
      </c>
      <c r="M772" s="2">
        <v>5</v>
      </c>
      <c r="N772" s="2">
        <v>24</v>
      </c>
      <c r="O772" s="2">
        <v>15</v>
      </c>
      <c r="P772" s="3">
        <v>13</v>
      </c>
      <c r="Q772" s="2">
        <v>14</v>
      </c>
      <c r="R772" s="2">
        <v>11</v>
      </c>
      <c r="S772" s="2">
        <v>2</v>
      </c>
      <c r="T772" s="2">
        <v>4</v>
      </c>
      <c r="U772" s="2">
        <v>1</v>
      </c>
      <c r="V772" s="2">
        <f t="shared" si="224"/>
        <v>64</v>
      </c>
      <c r="W772" s="2">
        <v>5</v>
      </c>
      <c r="X772" s="2">
        <v>5</v>
      </c>
      <c r="Y772" s="2">
        <v>0</v>
      </c>
      <c r="Z772" s="2">
        <f t="shared" si="221"/>
        <v>11</v>
      </c>
      <c r="AA772" s="2">
        <f t="shared" si="220"/>
        <v>75</v>
      </c>
      <c r="AB772" s="2">
        <v>3204</v>
      </c>
      <c r="AC772" s="20">
        <f t="shared" si="222"/>
        <v>2.34082397003745</v>
      </c>
      <c r="AD772" s="32" t="s">
        <v>49</v>
      </c>
      <c r="AE772" s="2">
        <v>125</v>
      </c>
      <c r="AF772" s="21">
        <f t="shared" si="223"/>
        <v>3.52059925093633</v>
      </c>
      <c r="AG772" s="4">
        <f t="shared" si="218"/>
        <v>1.99750312109863</v>
      </c>
      <c r="AH772" s="4">
        <f t="shared" si="219"/>
        <v>0.343320848938826</v>
      </c>
    </row>
    <row r="773" ht="31.5" spans="1:34">
      <c r="A773" s="2">
        <v>20260319</v>
      </c>
      <c r="B773" s="2" t="s">
        <v>1588</v>
      </c>
      <c r="C773" s="2" t="s">
        <v>1589</v>
      </c>
      <c r="D773" s="2">
        <v>1</v>
      </c>
      <c r="E773" s="2">
        <v>4</v>
      </c>
      <c r="F773" s="2">
        <v>6</v>
      </c>
      <c r="G773" s="2">
        <v>5</v>
      </c>
      <c r="H773" s="2">
        <v>3</v>
      </c>
      <c r="I773" s="3">
        <v>26</v>
      </c>
      <c r="J773" s="2">
        <v>7</v>
      </c>
      <c r="K773" s="2">
        <v>9</v>
      </c>
      <c r="L773" s="2">
        <v>0</v>
      </c>
      <c r="M773" s="2">
        <v>13</v>
      </c>
      <c r="N773" s="2">
        <v>12</v>
      </c>
      <c r="O773" s="2">
        <v>5</v>
      </c>
      <c r="P773" s="3">
        <v>11</v>
      </c>
      <c r="Q773" s="2">
        <v>15</v>
      </c>
      <c r="R773" s="2">
        <v>31</v>
      </c>
      <c r="S773" s="2">
        <v>3</v>
      </c>
      <c r="T773" s="2">
        <v>2</v>
      </c>
      <c r="U773" s="2">
        <v>1</v>
      </c>
      <c r="V773" s="2">
        <f t="shared" si="224"/>
        <v>58</v>
      </c>
      <c r="W773" s="2">
        <v>11</v>
      </c>
      <c r="X773" s="2">
        <v>7</v>
      </c>
      <c r="Y773" s="2">
        <v>0</v>
      </c>
      <c r="Z773" s="2">
        <f t="shared" si="221"/>
        <v>19</v>
      </c>
      <c r="AA773" s="2">
        <f t="shared" si="220"/>
        <v>77</v>
      </c>
      <c r="AB773" s="2">
        <v>3444</v>
      </c>
      <c r="AC773" s="20">
        <f t="shared" si="222"/>
        <v>2.23577235772358</v>
      </c>
      <c r="AD773" s="32" t="s">
        <v>49</v>
      </c>
      <c r="AE773" s="2">
        <v>125</v>
      </c>
      <c r="AF773" s="21">
        <f t="shared" si="223"/>
        <v>3.36260162601626</v>
      </c>
      <c r="AG773" s="4">
        <f t="shared" si="218"/>
        <v>1.68408826945412</v>
      </c>
      <c r="AH773" s="4">
        <f t="shared" si="219"/>
        <v>0.551684088269454</v>
      </c>
    </row>
    <row r="774" ht="31.5" spans="1:34">
      <c r="A774" s="2">
        <v>20260319</v>
      </c>
      <c r="B774" s="2" t="s">
        <v>1590</v>
      </c>
      <c r="C774" s="2" t="s">
        <v>1591</v>
      </c>
      <c r="D774" s="2">
        <v>3</v>
      </c>
      <c r="E774" s="2">
        <v>31</v>
      </c>
      <c r="F774" s="2">
        <v>15</v>
      </c>
      <c r="G774" s="2">
        <v>9</v>
      </c>
      <c r="H774" s="2">
        <v>7</v>
      </c>
      <c r="I774" s="3">
        <v>18</v>
      </c>
      <c r="J774" s="2">
        <v>13</v>
      </c>
      <c r="K774" s="2">
        <v>5</v>
      </c>
      <c r="L774" s="2">
        <v>0</v>
      </c>
      <c r="M774" s="2">
        <v>14</v>
      </c>
      <c r="N774" s="2">
        <v>36</v>
      </c>
      <c r="O774" s="2">
        <v>41</v>
      </c>
      <c r="P774" s="3">
        <v>12</v>
      </c>
      <c r="Q774" s="2">
        <v>21</v>
      </c>
      <c r="R774" s="2">
        <v>417</v>
      </c>
      <c r="S774" s="2">
        <v>3</v>
      </c>
      <c r="T774" s="2">
        <v>4</v>
      </c>
      <c r="U774" s="2">
        <v>6</v>
      </c>
      <c r="V774" s="2">
        <f t="shared" si="224"/>
        <v>74</v>
      </c>
      <c r="W774" s="2">
        <v>3</v>
      </c>
      <c r="X774" s="2">
        <v>5</v>
      </c>
      <c r="Y774" s="2">
        <v>0</v>
      </c>
      <c r="Z774" s="2">
        <f t="shared" ref="Z774:Z781" si="225">Y774+X774+W774+U774</f>
        <v>14</v>
      </c>
      <c r="AA774" s="2">
        <f t="shared" ref="AA774:AA781" si="226">G774+H774+I774+J774+K774+L774+M774+P774+T774+U774</f>
        <v>88</v>
      </c>
      <c r="AB774" s="2">
        <v>3704</v>
      </c>
      <c r="AC774" s="20">
        <f t="shared" si="222"/>
        <v>2.37580993520518</v>
      </c>
      <c r="AD774" s="32" t="s">
        <v>49</v>
      </c>
      <c r="AE774" s="2">
        <v>125</v>
      </c>
      <c r="AF774" s="21">
        <f t="shared" si="223"/>
        <v>3.5732181425486</v>
      </c>
      <c r="AG774" s="4">
        <f t="shared" si="218"/>
        <v>1.99784017278618</v>
      </c>
      <c r="AH774" s="4">
        <f t="shared" si="219"/>
        <v>0.377969762419006</v>
      </c>
    </row>
    <row r="775" ht="31.5" spans="1:34">
      <c r="A775" s="2">
        <v>20260320</v>
      </c>
      <c r="B775" s="2" t="s">
        <v>1592</v>
      </c>
      <c r="C775" s="2" t="s">
        <v>1593</v>
      </c>
      <c r="D775" s="2">
        <v>1</v>
      </c>
      <c r="E775" s="2">
        <v>37</v>
      </c>
      <c r="F775" s="2">
        <v>13</v>
      </c>
      <c r="G775" s="2">
        <v>7</v>
      </c>
      <c r="H775" s="2">
        <v>8</v>
      </c>
      <c r="I775" s="3">
        <v>21</v>
      </c>
      <c r="J775" s="2">
        <v>17</v>
      </c>
      <c r="K775" s="2">
        <v>11</v>
      </c>
      <c r="L775" s="2">
        <v>0</v>
      </c>
      <c r="M775" s="2">
        <v>12</v>
      </c>
      <c r="N775" s="2">
        <v>12</v>
      </c>
      <c r="O775" s="2">
        <v>11</v>
      </c>
      <c r="P775" s="3">
        <v>10</v>
      </c>
      <c r="Q775" s="2">
        <v>15</v>
      </c>
      <c r="R775" s="2">
        <v>260</v>
      </c>
      <c r="S775" s="2">
        <v>0</v>
      </c>
      <c r="T775" s="2">
        <v>5</v>
      </c>
      <c r="U775" s="2">
        <v>2</v>
      </c>
      <c r="V775" s="2">
        <f t="shared" ref="V775:V784" si="227">AA775-Y775-X775-W775-U775</f>
        <v>87</v>
      </c>
      <c r="W775" s="2">
        <v>3</v>
      </c>
      <c r="X775" s="2">
        <v>1</v>
      </c>
      <c r="Y775" s="2">
        <v>0</v>
      </c>
      <c r="Z775" s="2">
        <f t="shared" si="225"/>
        <v>6</v>
      </c>
      <c r="AA775" s="2">
        <f t="shared" si="226"/>
        <v>93</v>
      </c>
      <c r="AB775" s="2">
        <v>3484</v>
      </c>
      <c r="AC775" s="20">
        <f t="shared" si="222"/>
        <v>2.66934557979334</v>
      </c>
      <c r="AD775" s="32" t="s">
        <v>49</v>
      </c>
      <c r="AE775" s="2">
        <v>125</v>
      </c>
      <c r="AF775" s="21">
        <f t="shared" si="223"/>
        <v>4.01469575200918</v>
      </c>
      <c r="AG775" s="4">
        <f t="shared" si="218"/>
        <v>2.49712973593571</v>
      </c>
      <c r="AH775" s="4">
        <f t="shared" si="219"/>
        <v>0.172215843857635</v>
      </c>
    </row>
    <row r="776" ht="31.5" spans="1:34">
      <c r="A776" s="2">
        <v>20260320</v>
      </c>
      <c r="B776" s="2" t="s">
        <v>1594</v>
      </c>
      <c r="C776" s="2" t="s">
        <v>1595</v>
      </c>
      <c r="D776" s="2">
        <v>5</v>
      </c>
      <c r="E776" s="2">
        <v>2</v>
      </c>
      <c r="F776" s="2">
        <v>4</v>
      </c>
      <c r="G776" s="2">
        <v>3</v>
      </c>
      <c r="H776" s="2">
        <v>4</v>
      </c>
      <c r="I776" s="3">
        <v>15</v>
      </c>
      <c r="J776" s="2">
        <v>11</v>
      </c>
      <c r="K776" s="2">
        <v>4</v>
      </c>
      <c r="L776" s="2">
        <v>0</v>
      </c>
      <c r="M776" s="2">
        <v>7</v>
      </c>
      <c r="N776" s="2">
        <v>19</v>
      </c>
      <c r="O776" s="2">
        <v>5</v>
      </c>
      <c r="P776" s="3">
        <v>11</v>
      </c>
      <c r="Q776" s="2">
        <v>8</v>
      </c>
      <c r="R776" s="2">
        <v>323</v>
      </c>
      <c r="S776" s="2">
        <v>0</v>
      </c>
      <c r="T776" s="2">
        <v>1</v>
      </c>
      <c r="U776" s="2">
        <v>0</v>
      </c>
      <c r="V776" s="2">
        <f t="shared" si="227"/>
        <v>48</v>
      </c>
      <c r="W776" s="2">
        <v>4</v>
      </c>
      <c r="X776" s="2">
        <v>4</v>
      </c>
      <c r="Y776" s="2">
        <v>0</v>
      </c>
      <c r="Z776" s="2">
        <f t="shared" si="225"/>
        <v>8</v>
      </c>
      <c r="AA776" s="2">
        <f t="shared" si="226"/>
        <v>56</v>
      </c>
      <c r="AB776" s="2">
        <v>3204</v>
      </c>
      <c r="AC776" s="20">
        <f t="shared" ref="AC776:AC787" si="228">AA776/AB776*100</f>
        <v>1.7478152309613</v>
      </c>
      <c r="AD776" s="32" t="s">
        <v>49</v>
      </c>
      <c r="AE776" s="2">
        <v>125</v>
      </c>
      <c r="AF776" s="21">
        <f t="shared" si="217"/>
        <v>2.62871410736579</v>
      </c>
      <c r="AG776" s="4">
        <f t="shared" si="218"/>
        <v>1.49812734082397</v>
      </c>
      <c r="AH776" s="4">
        <f t="shared" si="219"/>
        <v>0.249687890137328</v>
      </c>
    </row>
    <row r="777" ht="31.5" spans="1:34">
      <c r="A777" s="2">
        <v>20260320</v>
      </c>
      <c r="B777" s="2" t="s">
        <v>1596</v>
      </c>
      <c r="C777" s="2" t="s">
        <v>1597</v>
      </c>
      <c r="D777" s="2">
        <v>9</v>
      </c>
      <c r="E777" s="2">
        <v>90</v>
      </c>
      <c r="F777" s="2">
        <v>41</v>
      </c>
      <c r="G777" s="2">
        <v>7</v>
      </c>
      <c r="H777" s="2">
        <v>18</v>
      </c>
      <c r="I777" s="3">
        <v>28</v>
      </c>
      <c r="J777" s="2">
        <v>14</v>
      </c>
      <c r="K777" s="2">
        <v>40</v>
      </c>
      <c r="L777" s="2">
        <v>0</v>
      </c>
      <c r="M777" s="2">
        <v>16</v>
      </c>
      <c r="N777" s="2">
        <v>47</v>
      </c>
      <c r="O777" s="2">
        <v>59</v>
      </c>
      <c r="P777" s="3">
        <v>17</v>
      </c>
      <c r="Q777" s="2">
        <v>25</v>
      </c>
      <c r="R777" s="2">
        <v>514</v>
      </c>
      <c r="S777" s="2">
        <v>1</v>
      </c>
      <c r="T777" s="2">
        <v>29</v>
      </c>
      <c r="U777" s="2">
        <v>2</v>
      </c>
      <c r="V777" s="2">
        <f t="shared" si="227"/>
        <v>154</v>
      </c>
      <c r="W777" s="2">
        <v>14</v>
      </c>
      <c r="X777" s="2">
        <v>1</v>
      </c>
      <c r="Y777" s="2">
        <v>0</v>
      </c>
      <c r="Z777" s="2">
        <f t="shared" si="225"/>
        <v>17</v>
      </c>
      <c r="AA777" s="2">
        <f t="shared" si="226"/>
        <v>171</v>
      </c>
      <c r="AB777" s="2">
        <v>3654</v>
      </c>
      <c r="AC777" s="20">
        <f t="shared" si="228"/>
        <v>4.67980295566502</v>
      </c>
      <c r="AD777" s="32" t="s">
        <v>49</v>
      </c>
      <c r="AE777" s="2">
        <v>125</v>
      </c>
      <c r="AF777" s="21">
        <f t="shared" si="217"/>
        <v>7.0384236453202</v>
      </c>
      <c r="AG777" s="4">
        <f t="shared" si="218"/>
        <v>4.21455938697318</v>
      </c>
      <c r="AH777" s="4">
        <f t="shared" si="219"/>
        <v>0.465243568691845</v>
      </c>
    </row>
    <row r="778" ht="31.5" spans="1:34">
      <c r="A778" s="2">
        <v>20260320</v>
      </c>
      <c r="B778" s="2" t="s">
        <v>1598</v>
      </c>
      <c r="C778" s="2" t="s">
        <v>1599</v>
      </c>
      <c r="D778" s="2">
        <v>3</v>
      </c>
      <c r="E778" s="2">
        <v>3</v>
      </c>
      <c r="F778" s="2">
        <v>16</v>
      </c>
      <c r="G778" s="2">
        <v>4</v>
      </c>
      <c r="H778" s="2">
        <v>1</v>
      </c>
      <c r="I778" s="3">
        <v>15</v>
      </c>
      <c r="J778" s="2">
        <v>15</v>
      </c>
      <c r="K778" s="2">
        <v>4</v>
      </c>
      <c r="L778" s="2">
        <v>0</v>
      </c>
      <c r="M778" s="2">
        <v>12</v>
      </c>
      <c r="N778" s="2">
        <v>38</v>
      </c>
      <c r="O778" s="2">
        <v>18</v>
      </c>
      <c r="P778" s="3">
        <v>11</v>
      </c>
      <c r="Q778" s="2">
        <v>24</v>
      </c>
      <c r="R778" s="2">
        <v>349</v>
      </c>
      <c r="S778" s="2">
        <v>2</v>
      </c>
      <c r="T778" s="2">
        <v>4</v>
      </c>
      <c r="U778" s="2">
        <v>0</v>
      </c>
      <c r="V778" s="2">
        <f t="shared" si="227"/>
        <v>57</v>
      </c>
      <c r="W778" s="2">
        <v>5</v>
      </c>
      <c r="X778" s="2">
        <v>4</v>
      </c>
      <c r="Y778" s="2">
        <v>0</v>
      </c>
      <c r="Z778" s="2">
        <f t="shared" si="225"/>
        <v>9</v>
      </c>
      <c r="AA778" s="2">
        <f t="shared" si="226"/>
        <v>66</v>
      </c>
      <c r="AB778" s="2">
        <v>3464</v>
      </c>
      <c r="AC778" s="20">
        <f t="shared" si="228"/>
        <v>1.90531177829099</v>
      </c>
      <c r="AD778" s="32" t="s">
        <v>49</v>
      </c>
      <c r="AE778" s="2">
        <v>125</v>
      </c>
      <c r="AF778" s="21">
        <f t="shared" si="217"/>
        <v>2.86558891454965</v>
      </c>
      <c r="AG778" s="4">
        <f t="shared" si="218"/>
        <v>1.64549653579677</v>
      </c>
      <c r="AH778" s="4">
        <f t="shared" si="219"/>
        <v>0.259815242494226</v>
      </c>
    </row>
    <row r="779" ht="12" customHeight="1" spans="1:34">
      <c r="A779" s="2">
        <v>20260320</v>
      </c>
      <c r="B779" s="2" t="s">
        <v>1600</v>
      </c>
      <c r="C779" s="2" t="s">
        <v>1601</v>
      </c>
      <c r="D779" s="2">
        <v>1</v>
      </c>
      <c r="E779" s="2">
        <v>3</v>
      </c>
      <c r="F779" s="2">
        <v>12</v>
      </c>
      <c r="G779" s="2">
        <v>0</v>
      </c>
      <c r="H779" s="2">
        <v>9</v>
      </c>
      <c r="I779" s="3">
        <v>6</v>
      </c>
      <c r="J779" s="2">
        <v>15</v>
      </c>
      <c r="K779" s="2">
        <v>4</v>
      </c>
      <c r="L779" s="2">
        <v>1</v>
      </c>
      <c r="M779" s="2">
        <v>6</v>
      </c>
      <c r="N779" s="2">
        <v>21</v>
      </c>
      <c r="O779" s="2">
        <v>13</v>
      </c>
      <c r="P779" s="3">
        <v>7</v>
      </c>
      <c r="Q779" s="2">
        <v>14</v>
      </c>
      <c r="R779" s="2">
        <v>274</v>
      </c>
      <c r="S779" s="2">
        <v>1</v>
      </c>
      <c r="T779" s="2">
        <v>1</v>
      </c>
      <c r="U779" s="2">
        <v>0</v>
      </c>
      <c r="V779" s="2">
        <f t="shared" si="227"/>
        <v>44</v>
      </c>
      <c r="W779" s="2">
        <v>5</v>
      </c>
      <c r="X779" s="2">
        <v>0</v>
      </c>
      <c r="Y779" s="2">
        <v>0</v>
      </c>
      <c r="Z779" s="2">
        <f t="shared" si="225"/>
        <v>5</v>
      </c>
      <c r="AA779" s="2">
        <f t="shared" si="226"/>
        <v>49</v>
      </c>
      <c r="AB779" s="2">
        <v>3304</v>
      </c>
      <c r="AC779" s="20">
        <f t="shared" si="228"/>
        <v>1.48305084745763</v>
      </c>
      <c r="AD779" s="32" t="s">
        <v>49</v>
      </c>
      <c r="AE779" s="2">
        <v>125</v>
      </c>
      <c r="AF779" s="21">
        <f t="shared" si="217"/>
        <v>2.23050847457627</v>
      </c>
      <c r="AG779" s="4">
        <f t="shared" si="218"/>
        <v>1.3317191283293</v>
      </c>
      <c r="AH779" s="4">
        <f t="shared" si="219"/>
        <v>0.151331719128329</v>
      </c>
    </row>
    <row r="780" ht="18" customHeight="1" spans="1:34">
      <c r="A780" s="2">
        <v>20260320</v>
      </c>
      <c r="B780" s="2" t="s">
        <v>1602</v>
      </c>
      <c r="C780" s="2" t="s">
        <v>1603</v>
      </c>
      <c r="D780" s="2">
        <v>2</v>
      </c>
      <c r="E780" s="2">
        <v>10</v>
      </c>
      <c r="F780" s="2">
        <v>17</v>
      </c>
      <c r="G780" s="2">
        <v>4</v>
      </c>
      <c r="H780" s="2">
        <v>9</v>
      </c>
      <c r="I780" s="3">
        <v>26</v>
      </c>
      <c r="J780" s="2">
        <v>13</v>
      </c>
      <c r="K780" s="2">
        <v>12</v>
      </c>
      <c r="L780" s="2">
        <v>0</v>
      </c>
      <c r="M780" s="2">
        <v>11</v>
      </c>
      <c r="N780" s="2">
        <v>25</v>
      </c>
      <c r="O780" s="2">
        <v>13</v>
      </c>
      <c r="P780" s="3">
        <v>7</v>
      </c>
      <c r="Q780" s="2">
        <v>23</v>
      </c>
      <c r="R780" s="2">
        <v>291</v>
      </c>
      <c r="S780" s="2">
        <v>3</v>
      </c>
      <c r="T780" s="2">
        <v>1</v>
      </c>
      <c r="U780" s="2">
        <v>0</v>
      </c>
      <c r="V780" s="2">
        <f t="shared" si="227"/>
        <v>65</v>
      </c>
      <c r="W780" s="2">
        <v>14</v>
      </c>
      <c r="X780" s="2">
        <v>4</v>
      </c>
      <c r="Y780" s="2">
        <v>0</v>
      </c>
      <c r="Z780" s="2">
        <f t="shared" si="225"/>
        <v>18</v>
      </c>
      <c r="AA780" s="2">
        <f t="shared" si="226"/>
        <v>83</v>
      </c>
      <c r="AB780" s="2">
        <v>3624</v>
      </c>
      <c r="AC780" s="20">
        <f t="shared" si="228"/>
        <v>2.29028697571744</v>
      </c>
      <c r="AD780" s="32" t="s">
        <v>49</v>
      </c>
      <c r="AE780" s="2">
        <v>125</v>
      </c>
      <c r="AF780" s="21">
        <f t="shared" si="217"/>
        <v>3.44459161147903</v>
      </c>
      <c r="AG780" s="4">
        <f t="shared" si="218"/>
        <v>1.79359823399559</v>
      </c>
      <c r="AH780" s="4">
        <f t="shared" si="219"/>
        <v>0.496688741721854</v>
      </c>
    </row>
    <row r="781" ht="31.5" spans="1:34">
      <c r="A781" s="2">
        <v>20260320</v>
      </c>
      <c r="B781" s="2" t="s">
        <v>1604</v>
      </c>
      <c r="C781" s="2" t="s">
        <v>1605</v>
      </c>
      <c r="D781" s="2">
        <v>2</v>
      </c>
      <c r="E781" s="2">
        <v>6</v>
      </c>
      <c r="F781" s="2">
        <v>17</v>
      </c>
      <c r="G781" s="2">
        <v>4</v>
      </c>
      <c r="H781" s="2">
        <v>4</v>
      </c>
      <c r="I781" s="3">
        <v>19</v>
      </c>
      <c r="J781" s="2">
        <v>14</v>
      </c>
      <c r="K781" s="2">
        <v>8</v>
      </c>
      <c r="L781" s="2">
        <v>0</v>
      </c>
      <c r="M781" s="2">
        <v>6</v>
      </c>
      <c r="N781" s="2">
        <v>22</v>
      </c>
      <c r="O781" s="2">
        <v>11</v>
      </c>
      <c r="P781" s="3">
        <v>8</v>
      </c>
      <c r="Q781" s="2">
        <v>20</v>
      </c>
      <c r="R781" s="2">
        <v>247</v>
      </c>
      <c r="S781" s="2">
        <v>2</v>
      </c>
      <c r="T781" s="2">
        <v>2</v>
      </c>
      <c r="U781" s="2">
        <v>0</v>
      </c>
      <c r="V781" s="2">
        <f t="shared" ref="V781:V794" si="229">AA781-Y781-X781-W781-U781</f>
        <v>48</v>
      </c>
      <c r="W781" s="2">
        <v>12</v>
      </c>
      <c r="X781" s="2">
        <v>5</v>
      </c>
      <c r="Y781" s="2">
        <v>0</v>
      </c>
      <c r="Z781" s="2">
        <f t="shared" ref="Z781:Z794" si="230">Y781+X781+W781+U781</f>
        <v>17</v>
      </c>
      <c r="AA781" s="2">
        <f t="shared" ref="AA781:AA793" si="231">G781+H781+I781+J781+K781+L781+M781+P781+T781+U781</f>
        <v>65</v>
      </c>
      <c r="AB781" s="2">
        <v>3584</v>
      </c>
      <c r="AC781" s="20">
        <f t="shared" si="228"/>
        <v>1.81361607142857</v>
      </c>
      <c r="AD781" s="32" t="s">
        <v>49</v>
      </c>
      <c r="AE781" s="2">
        <v>125</v>
      </c>
      <c r="AF781" s="21">
        <f t="shared" si="217"/>
        <v>2.72767857142857</v>
      </c>
      <c r="AG781" s="4">
        <f t="shared" si="218"/>
        <v>1.33928571428571</v>
      </c>
      <c r="AH781" s="4">
        <f t="shared" si="219"/>
        <v>0.474330357142857</v>
      </c>
    </row>
    <row r="782" ht="31.5" spans="1:34">
      <c r="A782" s="2">
        <v>20260320</v>
      </c>
      <c r="B782" s="2" t="s">
        <v>1606</v>
      </c>
      <c r="C782" s="2" t="s">
        <v>1607</v>
      </c>
      <c r="D782" s="2">
        <v>2</v>
      </c>
      <c r="E782" s="2">
        <v>6</v>
      </c>
      <c r="F782" s="2">
        <v>11</v>
      </c>
      <c r="G782" s="2">
        <v>8</v>
      </c>
      <c r="H782" s="2">
        <v>8</v>
      </c>
      <c r="I782" s="3">
        <v>13</v>
      </c>
      <c r="J782" s="2">
        <v>16</v>
      </c>
      <c r="K782" s="2">
        <v>3</v>
      </c>
      <c r="L782" s="2">
        <v>2</v>
      </c>
      <c r="M782" s="2">
        <v>6</v>
      </c>
      <c r="N782" s="2">
        <v>16</v>
      </c>
      <c r="O782" s="2">
        <v>12</v>
      </c>
      <c r="P782" s="3">
        <v>7</v>
      </c>
      <c r="Q782" s="2">
        <v>27</v>
      </c>
      <c r="R782" s="2">
        <v>144</v>
      </c>
      <c r="S782" s="2">
        <v>1</v>
      </c>
      <c r="T782" s="2">
        <v>4</v>
      </c>
      <c r="U782" s="2">
        <v>2</v>
      </c>
      <c r="V782" s="2">
        <f t="shared" si="229"/>
        <v>56</v>
      </c>
      <c r="W782" s="2">
        <v>6</v>
      </c>
      <c r="X782" s="2">
        <v>5</v>
      </c>
      <c r="Y782" s="2">
        <v>0</v>
      </c>
      <c r="Z782" s="2">
        <f t="shared" si="230"/>
        <v>13</v>
      </c>
      <c r="AA782" s="2">
        <f t="shared" si="231"/>
        <v>69</v>
      </c>
      <c r="AB782" s="2">
        <v>3304</v>
      </c>
      <c r="AC782" s="20">
        <f t="shared" si="228"/>
        <v>2.08837772397094</v>
      </c>
      <c r="AD782" s="32" t="s">
        <v>49</v>
      </c>
      <c r="AE782" s="2">
        <v>125</v>
      </c>
      <c r="AF782" s="21">
        <f t="shared" si="217"/>
        <v>3.1409200968523</v>
      </c>
      <c r="AG782" s="4">
        <f t="shared" si="218"/>
        <v>1.69491525423729</v>
      </c>
      <c r="AH782" s="4">
        <f t="shared" si="219"/>
        <v>0.393462469733656</v>
      </c>
    </row>
    <row r="783" ht="31.5" spans="1:34">
      <c r="A783" s="2">
        <v>20260320</v>
      </c>
      <c r="B783" s="2" t="s">
        <v>1608</v>
      </c>
      <c r="C783" s="2" t="s">
        <v>1609</v>
      </c>
      <c r="D783" s="2">
        <v>5</v>
      </c>
      <c r="E783" s="2">
        <v>5</v>
      </c>
      <c r="F783" s="2">
        <v>9</v>
      </c>
      <c r="G783" s="2">
        <v>6</v>
      </c>
      <c r="H783" s="2">
        <v>3</v>
      </c>
      <c r="I783" s="3">
        <v>26</v>
      </c>
      <c r="J783" s="2">
        <v>25</v>
      </c>
      <c r="K783" s="2">
        <v>11</v>
      </c>
      <c r="L783" s="2">
        <v>3</v>
      </c>
      <c r="M783" s="2">
        <v>9</v>
      </c>
      <c r="N783" s="2">
        <v>41</v>
      </c>
      <c r="O783" s="2">
        <v>5</v>
      </c>
      <c r="P783" s="3">
        <v>16</v>
      </c>
      <c r="Q783" s="2">
        <v>17</v>
      </c>
      <c r="R783" s="2">
        <v>421</v>
      </c>
      <c r="S783" s="2">
        <v>0</v>
      </c>
      <c r="T783" s="2">
        <v>3</v>
      </c>
      <c r="U783" s="2">
        <v>0</v>
      </c>
      <c r="V783" s="2">
        <f t="shared" si="229"/>
        <v>83</v>
      </c>
      <c r="W783" s="2">
        <v>15</v>
      </c>
      <c r="X783" s="2">
        <v>4</v>
      </c>
      <c r="Y783" s="2">
        <v>0</v>
      </c>
      <c r="Z783" s="2">
        <f t="shared" si="230"/>
        <v>19</v>
      </c>
      <c r="AA783" s="2">
        <f t="shared" si="231"/>
        <v>102</v>
      </c>
      <c r="AB783" s="2">
        <v>3525</v>
      </c>
      <c r="AC783" s="20">
        <f t="shared" si="228"/>
        <v>2.8936170212766</v>
      </c>
      <c r="AD783" s="32" t="s">
        <v>49</v>
      </c>
      <c r="AE783" s="2">
        <v>125</v>
      </c>
      <c r="AF783" s="21">
        <f t="shared" si="217"/>
        <v>4.352</v>
      </c>
      <c r="AG783" s="4">
        <f t="shared" si="218"/>
        <v>2.35460992907801</v>
      </c>
      <c r="AH783" s="4">
        <f t="shared" si="219"/>
        <v>0.539007092198582</v>
      </c>
    </row>
    <row r="784" ht="15.75" spans="1:34">
      <c r="A784" s="2">
        <v>20260320</v>
      </c>
      <c r="B784" s="2" t="s">
        <v>1610</v>
      </c>
      <c r="C784" s="2" t="s">
        <v>1611</v>
      </c>
      <c r="D784" s="2">
        <v>2</v>
      </c>
      <c r="E784" s="2">
        <v>1</v>
      </c>
      <c r="F784" s="2">
        <v>8</v>
      </c>
      <c r="G784" s="2">
        <v>2</v>
      </c>
      <c r="H784" s="2">
        <v>5</v>
      </c>
      <c r="I784" s="3">
        <v>21</v>
      </c>
      <c r="J784" s="2">
        <v>9</v>
      </c>
      <c r="K784" s="2">
        <v>1</v>
      </c>
      <c r="L784" s="2">
        <v>1</v>
      </c>
      <c r="M784" s="2">
        <v>11</v>
      </c>
      <c r="N784" s="2">
        <v>21</v>
      </c>
      <c r="O784" s="2">
        <v>3</v>
      </c>
      <c r="P784" s="3">
        <v>8</v>
      </c>
      <c r="Q784" s="2">
        <v>9</v>
      </c>
      <c r="R784" s="2">
        <v>145</v>
      </c>
      <c r="S784" s="2">
        <v>2</v>
      </c>
      <c r="T784" s="2">
        <v>9</v>
      </c>
      <c r="U784" s="2">
        <v>2</v>
      </c>
      <c r="V784" s="2">
        <f t="shared" si="229"/>
        <v>45</v>
      </c>
      <c r="W784" s="2">
        <v>15</v>
      </c>
      <c r="X784" s="2">
        <v>7</v>
      </c>
      <c r="Y784" s="2">
        <v>0</v>
      </c>
      <c r="Z784" s="2">
        <f t="shared" si="230"/>
        <v>24</v>
      </c>
      <c r="AA784" s="2">
        <f t="shared" si="231"/>
        <v>69</v>
      </c>
      <c r="AB784" s="2">
        <v>3006</v>
      </c>
      <c r="AC784" s="20">
        <f t="shared" si="228"/>
        <v>2.29540918163673</v>
      </c>
      <c r="AD784" s="32" t="s">
        <v>58</v>
      </c>
      <c r="AE784" s="2">
        <v>125</v>
      </c>
      <c r="AF784" s="21">
        <f t="shared" si="217"/>
        <v>3.45229540918164</v>
      </c>
      <c r="AG784" s="4">
        <f t="shared" si="218"/>
        <v>1.49700598802395</v>
      </c>
      <c r="AH784" s="4">
        <f t="shared" si="219"/>
        <v>0.798403193612774</v>
      </c>
    </row>
    <row r="785" ht="15.75" spans="1:34">
      <c r="A785" s="2">
        <v>20260320</v>
      </c>
      <c r="B785" s="2" t="s">
        <v>1612</v>
      </c>
      <c r="C785" s="2" t="s">
        <v>1613</v>
      </c>
      <c r="D785" s="2">
        <v>11</v>
      </c>
      <c r="E785" s="2">
        <v>42</v>
      </c>
      <c r="F785" s="2">
        <v>14</v>
      </c>
      <c r="G785" s="2">
        <v>17</v>
      </c>
      <c r="H785" s="2">
        <v>55</v>
      </c>
      <c r="I785" s="3">
        <v>253</v>
      </c>
      <c r="J785" s="2">
        <v>135</v>
      </c>
      <c r="K785" s="2">
        <v>21</v>
      </c>
      <c r="L785" s="2">
        <v>5</v>
      </c>
      <c r="M785" s="2">
        <v>226</v>
      </c>
      <c r="N785" s="2">
        <v>55</v>
      </c>
      <c r="O785" s="2">
        <v>6</v>
      </c>
      <c r="P785" s="3">
        <v>50</v>
      </c>
      <c r="Q785" s="2">
        <v>18</v>
      </c>
      <c r="R785" s="2">
        <v>461</v>
      </c>
      <c r="S785" s="2">
        <v>11</v>
      </c>
      <c r="T785" s="2">
        <v>7</v>
      </c>
      <c r="U785" s="2">
        <v>6</v>
      </c>
      <c r="V785" s="2">
        <f t="shared" si="229"/>
        <v>758</v>
      </c>
      <c r="W785" s="2">
        <v>4</v>
      </c>
      <c r="X785" s="2">
        <v>7</v>
      </c>
      <c r="Y785" s="2">
        <v>0</v>
      </c>
      <c r="Z785" s="2">
        <f t="shared" si="230"/>
        <v>17</v>
      </c>
      <c r="AA785" s="2">
        <f t="shared" si="231"/>
        <v>775</v>
      </c>
      <c r="AB785" s="2">
        <v>3605</v>
      </c>
      <c r="AC785" s="20">
        <f t="shared" si="228"/>
        <v>21.497919556172</v>
      </c>
      <c r="AD785" s="32" t="s">
        <v>58</v>
      </c>
      <c r="AE785" s="2">
        <v>125</v>
      </c>
      <c r="AF785" s="21">
        <f t="shared" si="217"/>
        <v>32.3328710124827</v>
      </c>
      <c r="AG785" s="4">
        <f t="shared" si="218"/>
        <v>21.0263522884882</v>
      </c>
      <c r="AH785" s="4">
        <f t="shared" si="219"/>
        <v>0.471567267683773</v>
      </c>
    </row>
    <row r="786" ht="15.75" spans="1:34">
      <c r="A786" s="2">
        <v>20260320</v>
      </c>
      <c r="B786" s="2" t="s">
        <v>1614</v>
      </c>
      <c r="C786" s="2" t="s">
        <v>1615</v>
      </c>
      <c r="D786" s="2">
        <v>14</v>
      </c>
      <c r="E786" s="2">
        <v>670</v>
      </c>
      <c r="F786" s="2">
        <v>41</v>
      </c>
      <c r="G786" s="2">
        <v>4</v>
      </c>
      <c r="H786" s="2">
        <v>13</v>
      </c>
      <c r="I786" s="3">
        <v>780</v>
      </c>
      <c r="J786" s="2">
        <v>148</v>
      </c>
      <c r="K786" s="2">
        <v>2</v>
      </c>
      <c r="L786" s="2">
        <v>1</v>
      </c>
      <c r="M786" s="2">
        <v>8</v>
      </c>
      <c r="N786" s="2">
        <v>58</v>
      </c>
      <c r="O786" s="2">
        <v>24</v>
      </c>
      <c r="P786" s="3">
        <v>15</v>
      </c>
      <c r="Q786" s="2">
        <v>20</v>
      </c>
      <c r="R786" s="2">
        <v>505</v>
      </c>
      <c r="S786" s="2">
        <v>0</v>
      </c>
      <c r="T786" s="2">
        <v>221</v>
      </c>
      <c r="U786" s="2">
        <v>1</v>
      </c>
      <c r="V786" s="2">
        <f t="shared" si="229"/>
        <v>1187</v>
      </c>
      <c r="W786" s="2">
        <v>3</v>
      </c>
      <c r="X786" s="2">
        <v>2</v>
      </c>
      <c r="Y786" s="2">
        <v>0</v>
      </c>
      <c r="Z786" s="2">
        <f t="shared" si="230"/>
        <v>6</v>
      </c>
      <c r="AA786" s="2">
        <f t="shared" si="231"/>
        <v>1193</v>
      </c>
      <c r="AB786" s="2">
        <v>4664</v>
      </c>
      <c r="AC786" s="20">
        <f t="shared" si="228"/>
        <v>25.5789022298456</v>
      </c>
      <c r="AD786" s="32" t="s">
        <v>58</v>
      </c>
      <c r="AE786" s="2">
        <v>125</v>
      </c>
      <c r="AF786" s="21">
        <f t="shared" si="217"/>
        <v>38.4706689536878</v>
      </c>
      <c r="AG786" s="4">
        <f t="shared" si="218"/>
        <v>25.4502572898799</v>
      </c>
      <c r="AH786" s="4">
        <f t="shared" si="219"/>
        <v>0.128644939965695</v>
      </c>
    </row>
    <row r="787" ht="15.75" spans="1:34">
      <c r="A787" s="2">
        <v>20260320</v>
      </c>
      <c r="B787" s="2" t="s">
        <v>1616</v>
      </c>
      <c r="C787" s="2" t="s">
        <v>1617</v>
      </c>
      <c r="D787" s="2">
        <v>2</v>
      </c>
      <c r="E787" s="2">
        <v>1</v>
      </c>
      <c r="F787" s="2">
        <v>7</v>
      </c>
      <c r="G787" s="2">
        <v>5</v>
      </c>
      <c r="H787" s="2">
        <v>18</v>
      </c>
      <c r="I787" s="3">
        <v>180</v>
      </c>
      <c r="J787" s="2">
        <v>18</v>
      </c>
      <c r="K787" s="2">
        <v>2</v>
      </c>
      <c r="L787" s="2">
        <v>0</v>
      </c>
      <c r="M787" s="2">
        <v>6</v>
      </c>
      <c r="N787" s="2">
        <v>54</v>
      </c>
      <c r="O787" s="2">
        <v>3</v>
      </c>
      <c r="P787" s="3">
        <v>14</v>
      </c>
      <c r="Q787" s="2">
        <v>5</v>
      </c>
      <c r="R787" s="2">
        <v>114</v>
      </c>
      <c r="S787" s="2">
        <v>2</v>
      </c>
      <c r="T787" s="2">
        <v>2</v>
      </c>
      <c r="U787" s="2">
        <v>0</v>
      </c>
      <c r="V787" s="2">
        <f t="shared" si="229"/>
        <v>238</v>
      </c>
      <c r="W787" s="2">
        <v>4</v>
      </c>
      <c r="X787" s="2">
        <v>3</v>
      </c>
      <c r="Y787" s="2">
        <v>0</v>
      </c>
      <c r="Z787" s="2">
        <f t="shared" si="230"/>
        <v>7</v>
      </c>
      <c r="AA787" s="2">
        <f t="shared" si="231"/>
        <v>245</v>
      </c>
      <c r="AB787" s="2">
        <v>2108</v>
      </c>
      <c r="AC787" s="20">
        <f t="shared" si="228"/>
        <v>11.6223908918406</v>
      </c>
      <c r="AD787" s="32" t="s">
        <v>58</v>
      </c>
      <c r="AE787" s="2">
        <v>125</v>
      </c>
      <c r="AF787" s="21">
        <f t="shared" si="217"/>
        <v>17.4800759013283</v>
      </c>
      <c r="AG787" s="4">
        <f t="shared" si="218"/>
        <v>11.2903225806452</v>
      </c>
      <c r="AH787" s="4">
        <f t="shared" si="219"/>
        <v>0.332068311195446</v>
      </c>
    </row>
    <row r="788" ht="15.75" spans="1:34">
      <c r="A788" s="2">
        <v>20260320</v>
      </c>
      <c r="B788" s="2" t="s">
        <v>1618</v>
      </c>
      <c r="C788" s="2" t="s">
        <v>1619</v>
      </c>
      <c r="D788" s="2">
        <v>8</v>
      </c>
      <c r="E788" s="2">
        <v>42</v>
      </c>
      <c r="F788" s="2">
        <v>9</v>
      </c>
      <c r="G788" s="2">
        <v>1</v>
      </c>
      <c r="H788" s="2">
        <v>16</v>
      </c>
      <c r="I788" s="3">
        <v>27</v>
      </c>
      <c r="J788" s="2">
        <v>35</v>
      </c>
      <c r="K788" s="2">
        <v>5</v>
      </c>
      <c r="L788" s="2">
        <v>1</v>
      </c>
      <c r="M788" s="2">
        <v>11</v>
      </c>
      <c r="N788" s="2">
        <v>51</v>
      </c>
      <c r="O788" s="2">
        <v>15</v>
      </c>
      <c r="P788" s="3">
        <v>6</v>
      </c>
      <c r="Q788" s="2">
        <v>35</v>
      </c>
      <c r="R788" s="2">
        <v>219</v>
      </c>
      <c r="S788" s="2">
        <v>2</v>
      </c>
      <c r="T788" s="2">
        <v>9</v>
      </c>
      <c r="U788" s="2">
        <v>2</v>
      </c>
      <c r="V788" s="2">
        <f t="shared" si="229"/>
        <v>101</v>
      </c>
      <c r="W788" s="2">
        <v>9</v>
      </c>
      <c r="X788" s="2">
        <v>1</v>
      </c>
      <c r="Y788" s="2">
        <v>0</v>
      </c>
      <c r="Z788" s="2">
        <f t="shared" si="230"/>
        <v>12</v>
      </c>
      <c r="AA788" s="2">
        <f t="shared" si="231"/>
        <v>113</v>
      </c>
      <c r="AB788" s="2">
        <v>4563</v>
      </c>
      <c r="AC788" s="20">
        <f t="shared" ref="AC788:AC793" si="232">AA788/AB788*100</f>
        <v>2.4764409379794</v>
      </c>
      <c r="AD788" s="32" t="s">
        <v>58</v>
      </c>
      <c r="AE788" s="2">
        <v>125</v>
      </c>
      <c r="AF788" s="21">
        <f t="shared" si="217"/>
        <v>3.72456717072102</v>
      </c>
      <c r="AG788" s="4">
        <f t="shared" si="218"/>
        <v>2.21345605960991</v>
      </c>
      <c r="AH788" s="4">
        <f t="shared" si="219"/>
        <v>0.262984878369494</v>
      </c>
    </row>
    <row r="789" ht="15.75" spans="1:34">
      <c r="A789" s="2">
        <v>20260320</v>
      </c>
      <c r="B789" s="2" t="s">
        <v>1620</v>
      </c>
      <c r="C789" s="2" t="s">
        <v>1621</v>
      </c>
      <c r="D789" s="2">
        <v>2</v>
      </c>
      <c r="E789" s="2">
        <v>1</v>
      </c>
      <c r="F789" s="2">
        <v>2</v>
      </c>
      <c r="G789" s="2">
        <v>0</v>
      </c>
      <c r="H789" s="2">
        <v>1</v>
      </c>
      <c r="I789" s="3">
        <v>6</v>
      </c>
      <c r="J789" s="2">
        <v>7</v>
      </c>
      <c r="K789" s="2">
        <v>2</v>
      </c>
      <c r="L789" s="2">
        <v>0</v>
      </c>
      <c r="M789" s="2">
        <v>6</v>
      </c>
      <c r="N789" s="2">
        <v>9</v>
      </c>
      <c r="O789" s="2">
        <v>4</v>
      </c>
      <c r="P789" s="3">
        <v>4</v>
      </c>
      <c r="Q789" s="2">
        <v>6</v>
      </c>
      <c r="R789" s="2">
        <v>40</v>
      </c>
      <c r="S789" s="2">
        <v>1</v>
      </c>
      <c r="T789" s="2">
        <v>0</v>
      </c>
      <c r="U789" s="2">
        <v>0</v>
      </c>
      <c r="V789" s="2">
        <f t="shared" si="229"/>
        <v>20</v>
      </c>
      <c r="W789" s="2">
        <v>5</v>
      </c>
      <c r="X789" s="2">
        <v>1</v>
      </c>
      <c r="Y789" s="2">
        <v>0</v>
      </c>
      <c r="Z789" s="2">
        <f t="shared" si="230"/>
        <v>6</v>
      </c>
      <c r="AA789" s="2">
        <f t="shared" si="231"/>
        <v>26</v>
      </c>
      <c r="AB789" s="2">
        <v>2107</v>
      </c>
      <c r="AC789" s="20">
        <f t="shared" si="232"/>
        <v>1.23398196487897</v>
      </c>
      <c r="AD789" s="32" t="s">
        <v>58</v>
      </c>
      <c r="AE789" s="2">
        <v>125</v>
      </c>
      <c r="AF789" s="21">
        <f t="shared" si="217"/>
        <v>1.85590887517798</v>
      </c>
      <c r="AG789" s="4">
        <f t="shared" si="218"/>
        <v>0.94921689606075</v>
      </c>
      <c r="AH789" s="4">
        <f t="shared" si="219"/>
        <v>0.284765068818225</v>
      </c>
    </row>
    <row r="790" ht="15.75" spans="1:34">
      <c r="A790" s="2">
        <v>20260320</v>
      </c>
      <c r="B790" s="2" t="s">
        <v>1622</v>
      </c>
      <c r="C790" s="2" t="s">
        <v>1623</v>
      </c>
      <c r="D790" s="2">
        <v>2</v>
      </c>
      <c r="E790" s="2">
        <v>2</v>
      </c>
      <c r="F790" s="2">
        <v>2</v>
      </c>
      <c r="G790" s="2">
        <v>4</v>
      </c>
      <c r="H790" s="2">
        <v>12</v>
      </c>
      <c r="I790" s="3">
        <v>8</v>
      </c>
      <c r="J790" s="2">
        <v>5</v>
      </c>
      <c r="K790" s="2">
        <v>4</v>
      </c>
      <c r="L790" s="2">
        <v>0</v>
      </c>
      <c r="M790" s="2">
        <v>7</v>
      </c>
      <c r="N790" s="2">
        <v>19</v>
      </c>
      <c r="O790" s="2">
        <v>1</v>
      </c>
      <c r="P790" s="3">
        <v>3</v>
      </c>
      <c r="Q790" s="2">
        <v>2</v>
      </c>
      <c r="R790" s="2">
        <v>267</v>
      </c>
      <c r="S790" s="2">
        <v>1</v>
      </c>
      <c r="T790" s="2">
        <v>1</v>
      </c>
      <c r="U790" s="2">
        <v>1</v>
      </c>
      <c r="V790" s="2">
        <f t="shared" si="229"/>
        <v>40</v>
      </c>
      <c r="W790" s="2">
        <v>1</v>
      </c>
      <c r="X790" s="2">
        <v>3</v>
      </c>
      <c r="Y790" s="2">
        <v>0</v>
      </c>
      <c r="Z790" s="2">
        <f t="shared" si="230"/>
        <v>5</v>
      </c>
      <c r="AA790" s="2">
        <f t="shared" si="231"/>
        <v>45</v>
      </c>
      <c r="AB790" s="2">
        <v>3120</v>
      </c>
      <c r="AC790" s="20">
        <f t="shared" si="232"/>
        <v>1.44230769230769</v>
      </c>
      <c r="AD790" s="32" t="s">
        <v>58</v>
      </c>
      <c r="AE790" s="2">
        <v>100</v>
      </c>
      <c r="AF790" s="21">
        <f t="shared" si="217"/>
        <v>2.71153846153846</v>
      </c>
      <c r="AG790" s="4">
        <f t="shared" si="218"/>
        <v>1.28205128205128</v>
      </c>
      <c r="AH790" s="4">
        <f t="shared" si="219"/>
        <v>0.16025641025641</v>
      </c>
    </row>
    <row r="791" ht="15.75" spans="1:34">
      <c r="A791" s="2">
        <v>20260320</v>
      </c>
      <c r="B791" s="2" t="s">
        <v>1624</v>
      </c>
      <c r="C791" s="2" t="s">
        <v>1625</v>
      </c>
      <c r="D791" s="2">
        <v>6</v>
      </c>
      <c r="E791" s="2">
        <v>6</v>
      </c>
      <c r="F791" s="2">
        <v>1</v>
      </c>
      <c r="G791" s="2">
        <v>5</v>
      </c>
      <c r="H791" s="2">
        <v>11</v>
      </c>
      <c r="I791" s="3">
        <v>40</v>
      </c>
      <c r="J791" s="2">
        <v>1</v>
      </c>
      <c r="K791" s="2">
        <v>16</v>
      </c>
      <c r="L791" s="2">
        <v>5</v>
      </c>
      <c r="M791" s="2">
        <v>2</v>
      </c>
      <c r="N791" s="2">
        <v>9</v>
      </c>
      <c r="O791" s="2">
        <v>42</v>
      </c>
      <c r="P791" s="3">
        <v>0</v>
      </c>
      <c r="Q791" s="2">
        <v>8</v>
      </c>
      <c r="R791" s="2">
        <v>3</v>
      </c>
      <c r="S791" s="2">
        <v>167</v>
      </c>
      <c r="T791" s="2">
        <v>3</v>
      </c>
      <c r="U791" s="2">
        <v>4</v>
      </c>
      <c r="V791" s="2">
        <f t="shared" si="229"/>
        <v>35</v>
      </c>
      <c r="W791" s="2">
        <v>3</v>
      </c>
      <c r="X791" s="2">
        <v>45</v>
      </c>
      <c r="Y791" s="2">
        <v>0</v>
      </c>
      <c r="Z791" s="2">
        <f t="shared" si="230"/>
        <v>52</v>
      </c>
      <c r="AA791" s="2">
        <f t="shared" si="231"/>
        <v>87</v>
      </c>
      <c r="AB791" s="2">
        <v>6176</v>
      </c>
      <c r="AC791" s="20">
        <f t="shared" si="232"/>
        <v>1.40867875647668</v>
      </c>
      <c r="AD791" s="32" t="s">
        <v>58</v>
      </c>
      <c r="AE791" s="2">
        <v>100</v>
      </c>
      <c r="AF791" s="21">
        <f t="shared" si="217"/>
        <v>2.64831606217617</v>
      </c>
      <c r="AG791" s="4">
        <f t="shared" si="218"/>
        <v>0.566709844559586</v>
      </c>
      <c r="AH791" s="4">
        <f t="shared" si="219"/>
        <v>0.841968911917098</v>
      </c>
    </row>
    <row r="792" ht="15.75" spans="1:34">
      <c r="A792" s="2">
        <v>20260320</v>
      </c>
      <c r="B792" s="2" t="s">
        <v>1626</v>
      </c>
      <c r="C792" s="2" t="s">
        <v>1627</v>
      </c>
      <c r="D792" s="2">
        <v>1</v>
      </c>
      <c r="E792" s="2">
        <v>2</v>
      </c>
      <c r="F792" s="2">
        <v>215</v>
      </c>
      <c r="G792" s="2">
        <v>10</v>
      </c>
      <c r="H792" s="2">
        <v>6</v>
      </c>
      <c r="I792" s="3">
        <v>16</v>
      </c>
      <c r="J792" s="2">
        <v>36</v>
      </c>
      <c r="K792" s="2">
        <v>166</v>
      </c>
      <c r="L792" s="2">
        <v>8</v>
      </c>
      <c r="M792" s="2">
        <v>0</v>
      </c>
      <c r="N792" s="2">
        <v>10</v>
      </c>
      <c r="O792" s="2">
        <v>42</v>
      </c>
      <c r="P792" s="3">
        <v>3</v>
      </c>
      <c r="Q792" s="2">
        <v>10</v>
      </c>
      <c r="R792" s="2">
        <v>7</v>
      </c>
      <c r="S792" s="2">
        <v>162</v>
      </c>
      <c r="T792" s="2">
        <v>0</v>
      </c>
      <c r="U792" s="2">
        <v>4</v>
      </c>
      <c r="V792" s="2">
        <f t="shared" si="229"/>
        <v>222</v>
      </c>
      <c r="W792" s="2">
        <v>3</v>
      </c>
      <c r="X792" s="2">
        <v>20</v>
      </c>
      <c r="Y792" s="2">
        <v>0</v>
      </c>
      <c r="Z792" s="2">
        <f t="shared" si="230"/>
        <v>27</v>
      </c>
      <c r="AA792" s="2">
        <f t="shared" si="231"/>
        <v>249</v>
      </c>
      <c r="AB792" s="2">
        <v>6826</v>
      </c>
      <c r="AC792" s="20">
        <f t="shared" si="232"/>
        <v>3.64781716964547</v>
      </c>
      <c r="AD792" s="32" t="s">
        <v>58</v>
      </c>
      <c r="AE792" s="2">
        <v>100</v>
      </c>
      <c r="AF792" s="21">
        <f t="shared" si="217"/>
        <v>6.85789627893349</v>
      </c>
      <c r="AG792" s="4">
        <f t="shared" si="218"/>
        <v>3.25227072956343</v>
      </c>
      <c r="AH792" s="4">
        <f t="shared" si="219"/>
        <v>0.395546440082039</v>
      </c>
    </row>
    <row r="793" ht="15.75" spans="1:34">
      <c r="A793" s="2">
        <v>20260320</v>
      </c>
      <c r="B793" s="2" t="s">
        <v>1628</v>
      </c>
      <c r="C793" s="2" t="s">
        <v>1629</v>
      </c>
      <c r="D793" s="2">
        <v>779</v>
      </c>
      <c r="E793" s="2">
        <v>251</v>
      </c>
      <c r="F793" s="2">
        <v>23</v>
      </c>
      <c r="G793" s="2">
        <v>3</v>
      </c>
      <c r="H793" s="2">
        <v>15</v>
      </c>
      <c r="I793" s="3">
        <v>8002</v>
      </c>
      <c r="J793" s="2">
        <v>33</v>
      </c>
      <c r="K793" s="2">
        <v>7</v>
      </c>
      <c r="L793" s="2">
        <v>0</v>
      </c>
      <c r="M793" s="2">
        <v>8</v>
      </c>
      <c r="N793" s="2">
        <v>81</v>
      </c>
      <c r="O793" s="2">
        <v>27</v>
      </c>
      <c r="P793" s="3">
        <v>5</v>
      </c>
      <c r="Q793" s="2">
        <v>6</v>
      </c>
      <c r="R793" s="2">
        <v>121</v>
      </c>
      <c r="S793" s="2">
        <v>1</v>
      </c>
      <c r="T793" s="2">
        <v>8</v>
      </c>
      <c r="U793" s="2">
        <v>0</v>
      </c>
      <c r="V793" s="2">
        <f t="shared" si="229"/>
        <v>8080</v>
      </c>
      <c r="W793" s="2">
        <v>0</v>
      </c>
      <c r="X793" s="2">
        <v>1</v>
      </c>
      <c r="Y793" s="2">
        <v>0</v>
      </c>
      <c r="Z793" s="2">
        <f t="shared" si="230"/>
        <v>1</v>
      </c>
      <c r="AA793" s="2">
        <f t="shared" si="231"/>
        <v>8081</v>
      </c>
      <c r="AB793" s="2">
        <v>6176</v>
      </c>
      <c r="AC793" s="20">
        <f t="shared" si="232"/>
        <v>130.845207253886</v>
      </c>
      <c r="AD793" s="32" t="s">
        <v>58</v>
      </c>
      <c r="AE793" s="2">
        <v>100</v>
      </c>
      <c r="AF793" s="21">
        <f t="shared" si="217"/>
        <v>245.988989637306</v>
      </c>
      <c r="AG793" s="4">
        <f t="shared" si="218"/>
        <v>130.829015544041</v>
      </c>
      <c r="AH793" s="4">
        <f t="shared" si="219"/>
        <v>0.0161917098445596</v>
      </c>
    </row>
    <row r="794" ht="15.75" spans="1:34">
      <c r="A794" s="2">
        <v>20260320</v>
      </c>
      <c r="B794" s="2" t="s">
        <v>1630</v>
      </c>
      <c r="C794" s="2" t="s">
        <v>1631</v>
      </c>
      <c r="D794" s="2">
        <v>3</v>
      </c>
      <c r="E794" s="2">
        <v>3</v>
      </c>
      <c r="F794" s="2">
        <v>5</v>
      </c>
      <c r="G794" s="2">
        <v>11</v>
      </c>
      <c r="H794" s="2">
        <v>13</v>
      </c>
      <c r="I794" s="3">
        <v>21</v>
      </c>
      <c r="J794" s="2">
        <v>14</v>
      </c>
      <c r="K794" s="2">
        <v>11</v>
      </c>
      <c r="L794" s="2">
        <v>1</v>
      </c>
      <c r="M794" s="2">
        <v>9</v>
      </c>
      <c r="N794" s="2">
        <v>45</v>
      </c>
      <c r="O794" s="2">
        <v>3</v>
      </c>
      <c r="P794" s="3">
        <v>9</v>
      </c>
      <c r="Q794" s="2">
        <v>7</v>
      </c>
      <c r="R794" s="2">
        <v>204</v>
      </c>
      <c r="S794" s="2">
        <v>4</v>
      </c>
      <c r="T794" s="2">
        <v>8</v>
      </c>
      <c r="U794" s="2">
        <v>3</v>
      </c>
      <c r="V794" s="2">
        <f t="shared" si="229"/>
        <v>94</v>
      </c>
      <c r="W794" s="2">
        <v>3</v>
      </c>
      <c r="X794" s="2">
        <v>0</v>
      </c>
      <c r="Y794" s="2">
        <v>0</v>
      </c>
      <c r="Z794" s="2">
        <f t="shared" si="230"/>
        <v>6</v>
      </c>
      <c r="AA794" s="2">
        <f t="shared" ref="AA794:AA802" si="233">G794+H794+I794+J794+K794+L794+M794+P794+T794+U794</f>
        <v>100</v>
      </c>
      <c r="AB794" s="2">
        <v>6166</v>
      </c>
      <c r="AC794" s="20">
        <f t="shared" ref="AC794:AC801" si="234">AA794/AB794*100</f>
        <v>1.62179695102173</v>
      </c>
      <c r="AD794" s="32" t="s">
        <v>58</v>
      </c>
      <c r="AE794" s="2">
        <v>100</v>
      </c>
      <c r="AF794" s="21">
        <f t="shared" ref="AF794:AF801" si="235">188/AE794*AC794</f>
        <v>3.04897826792086</v>
      </c>
      <c r="AG794" s="4">
        <f t="shared" ref="AG794:AG801" si="236">V794/AB794*100</f>
        <v>1.52448913396043</v>
      </c>
      <c r="AH794" s="4">
        <f t="shared" ref="AH794:AH801" si="237">Z794/AB794*100</f>
        <v>0.0973078170613039</v>
      </c>
    </row>
    <row r="795" ht="15.75" spans="1:34">
      <c r="A795" s="2">
        <v>20260321</v>
      </c>
      <c r="B795" s="2" t="s">
        <v>1632</v>
      </c>
      <c r="C795" s="2" t="s">
        <v>1633</v>
      </c>
      <c r="D795" s="2">
        <v>7</v>
      </c>
      <c r="E795" s="2">
        <v>5</v>
      </c>
      <c r="F795" s="2">
        <v>11</v>
      </c>
      <c r="G795" s="2">
        <v>4</v>
      </c>
      <c r="H795" s="2">
        <v>14</v>
      </c>
      <c r="I795" s="3">
        <v>29</v>
      </c>
      <c r="J795" s="2">
        <v>15</v>
      </c>
      <c r="K795" s="2">
        <v>13</v>
      </c>
      <c r="L795" s="2">
        <v>4</v>
      </c>
      <c r="M795" s="2">
        <v>11</v>
      </c>
      <c r="N795" s="2">
        <v>60</v>
      </c>
      <c r="O795" s="2">
        <v>4</v>
      </c>
      <c r="P795" s="3">
        <v>12</v>
      </c>
      <c r="Q795" s="2">
        <v>15</v>
      </c>
      <c r="R795" s="2">
        <v>34</v>
      </c>
      <c r="S795" s="2">
        <v>6</v>
      </c>
      <c r="T795" s="2">
        <v>7</v>
      </c>
      <c r="U795" s="2">
        <v>3</v>
      </c>
      <c r="V795" s="2">
        <f t="shared" ref="V795:V807" si="238">AA795-Y795-X795-W795-U795</f>
        <v>92</v>
      </c>
      <c r="W795" s="2">
        <v>0</v>
      </c>
      <c r="X795" s="2">
        <v>16</v>
      </c>
      <c r="Y795" s="2">
        <v>1</v>
      </c>
      <c r="Z795" s="2">
        <f t="shared" ref="Z795:Z801" si="239">Y795+X795+W795+U795</f>
        <v>20</v>
      </c>
      <c r="AA795" s="2">
        <f t="shared" si="233"/>
        <v>112</v>
      </c>
      <c r="AB795" s="2">
        <v>6166</v>
      </c>
      <c r="AC795" s="20">
        <f t="shared" si="234"/>
        <v>1.81641258514434</v>
      </c>
      <c r="AD795" s="32" t="s">
        <v>58</v>
      </c>
      <c r="AE795" s="2">
        <v>100</v>
      </c>
      <c r="AF795" s="21">
        <f t="shared" si="235"/>
        <v>3.41485566007136</v>
      </c>
      <c r="AG795" s="4">
        <f t="shared" si="236"/>
        <v>1.49205319493999</v>
      </c>
      <c r="AH795" s="4">
        <f t="shared" si="237"/>
        <v>0.324359390204346</v>
      </c>
    </row>
    <row r="796" ht="15.75" spans="1:34">
      <c r="A796" s="2">
        <v>20260321</v>
      </c>
      <c r="B796" s="2" t="s">
        <v>1634</v>
      </c>
      <c r="C796" s="2" t="s">
        <v>1635</v>
      </c>
      <c r="D796" s="2">
        <v>4</v>
      </c>
      <c r="E796" s="2">
        <v>4</v>
      </c>
      <c r="F796" s="2">
        <v>12</v>
      </c>
      <c r="G796" s="2">
        <v>16</v>
      </c>
      <c r="H796" s="2">
        <v>17</v>
      </c>
      <c r="I796" s="3">
        <v>29</v>
      </c>
      <c r="J796" s="2">
        <v>23</v>
      </c>
      <c r="K796" s="2">
        <v>12</v>
      </c>
      <c r="L796" s="2">
        <v>2</v>
      </c>
      <c r="M796" s="2">
        <v>15</v>
      </c>
      <c r="N796" s="2">
        <v>74</v>
      </c>
      <c r="O796" s="2">
        <v>9</v>
      </c>
      <c r="P796" s="3">
        <v>10</v>
      </c>
      <c r="Q796" s="2">
        <v>12</v>
      </c>
      <c r="R796" s="2">
        <v>38</v>
      </c>
      <c r="S796" s="2">
        <v>1</v>
      </c>
      <c r="T796" s="2">
        <v>11</v>
      </c>
      <c r="U796" s="2">
        <v>6</v>
      </c>
      <c r="V796" s="2">
        <f t="shared" si="238"/>
        <v>129</v>
      </c>
      <c r="W796" s="2">
        <v>5</v>
      </c>
      <c r="X796" s="2">
        <v>1</v>
      </c>
      <c r="Y796" s="2">
        <v>0</v>
      </c>
      <c r="Z796" s="2">
        <f t="shared" si="239"/>
        <v>12</v>
      </c>
      <c r="AA796" s="2">
        <f t="shared" si="233"/>
        <v>141</v>
      </c>
      <c r="AB796" s="2">
        <v>6166</v>
      </c>
      <c r="AC796" s="20">
        <f t="shared" si="234"/>
        <v>2.28673370094064</v>
      </c>
      <c r="AD796" s="32" t="s">
        <v>58</v>
      </c>
      <c r="AE796" s="2">
        <v>100</v>
      </c>
      <c r="AF796" s="21">
        <f t="shared" si="235"/>
        <v>4.29905935776841</v>
      </c>
      <c r="AG796" s="4">
        <f t="shared" si="236"/>
        <v>2.09211806681803</v>
      </c>
      <c r="AH796" s="4">
        <f t="shared" si="237"/>
        <v>0.194615634122608</v>
      </c>
    </row>
    <row r="797" ht="15.75" spans="1:34">
      <c r="A797" s="2">
        <v>20260321</v>
      </c>
      <c r="B797" s="2" t="s">
        <v>1636</v>
      </c>
      <c r="C797" s="2" t="s">
        <v>1637</v>
      </c>
      <c r="D797" s="2">
        <v>2</v>
      </c>
      <c r="E797" s="2">
        <v>4</v>
      </c>
      <c r="F797" s="2">
        <v>6</v>
      </c>
      <c r="G797" s="2">
        <v>10</v>
      </c>
      <c r="H797" s="2">
        <v>7</v>
      </c>
      <c r="I797" s="3">
        <v>35</v>
      </c>
      <c r="J797" s="2">
        <v>18</v>
      </c>
      <c r="K797" s="2">
        <v>7</v>
      </c>
      <c r="L797" s="2">
        <v>4</v>
      </c>
      <c r="M797" s="2">
        <v>12</v>
      </c>
      <c r="N797" s="2">
        <v>76</v>
      </c>
      <c r="O797" s="3">
        <v>3</v>
      </c>
      <c r="P797" s="2">
        <v>9</v>
      </c>
      <c r="Q797" s="2">
        <v>7</v>
      </c>
      <c r="R797" s="2">
        <v>1</v>
      </c>
      <c r="S797" s="2">
        <v>89</v>
      </c>
      <c r="T797" s="2">
        <v>3</v>
      </c>
      <c r="U797" s="2">
        <v>17</v>
      </c>
      <c r="V797" s="2">
        <v>2</v>
      </c>
      <c r="W797" s="2">
        <v>4</v>
      </c>
      <c r="X797" s="2">
        <v>7</v>
      </c>
      <c r="Y797" s="2">
        <v>0</v>
      </c>
      <c r="Z797" s="2">
        <f t="shared" si="239"/>
        <v>28</v>
      </c>
      <c r="AA797" s="2">
        <f t="shared" si="233"/>
        <v>122</v>
      </c>
      <c r="AB797" s="2">
        <v>6166</v>
      </c>
      <c r="AC797" s="20">
        <f t="shared" si="234"/>
        <v>1.97859228024651</v>
      </c>
      <c r="AD797" s="32" t="s">
        <v>58</v>
      </c>
      <c r="AE797" s="2">
        <v>100</v>
      </c>
      <c r="AF797" s="21">
        <f t="shared" si="235"/>
        <v>3.71975348686344</v>
      </c>
      <c r="AG797" s="4">
        <f t="shared" si="236"/>
        <v>0.0324359390204346</v>
      </c>
      <c r="AH797" s="4">
        <f t="shared" si="237"/>
        <v>0.454103146286085</v>
      </c>
    </row>
    <row r="798" ht="15.75" spans="1:34">
      <c r="A798" s="2">
        <v>20260321</v>
      </c>
      <c r="B798" s="2" t="s">
        <v>1638</v>
      </c>
      <c r="C798" s="2" t="s">
        <v>1639</v>
      </c>
      <c r="D798" s="2">
        <v>2</v>
      </c>
      <c r="E798" s="2">
        <v>5</v>
      </c>
      <c r="F798" s="2">
        <v>6</v>
      </c>
      <c r="G798" s="2">
        <v>6</v>
      </c>
      <c r="H798" s="2">
        <v>5</v>
      </c>
      <c r="I798" s="3">
        <v>10</v>
      </c>
      <c r="J798" s="2">
        <v>16</v>
      </c>
      <c r="K798" s="2">
        <v>8</v>
      </c>
      <c r="L798" s="2">
        <v>4</v>
      </c>
      <c r="M798" s="2">
        <v>4</v>
      </c>
      <c r="N798" s="2">
        <v>41</v>
      </c>
      <c r="O798" s="2">
        <v>4</v>
      </c>
      <c r="P798" s="3">
        <v>3</v>
      </c>
      <c r="Q798" s="2">
        <v>18</v>
      </c>
      <c r="R798" s="2">
        <v>208</v>
      </c>
      <c r="S798" s="2">
        <v>3</v>
      </c>
      <c r="T798" s="2">
        <v>9</v>
      </c>
      <c r="U798" s="2">
        <v>1</v>
      </c>
      <c r="V798" s="2">
        <f t="shared" si="238"/>
        <v>64</v>
      </c>
      <c r="W798" s="2">
        <v>1</v>
      </c>
      <c r="X798" s="2">
        <v>0</v>
      </c>
      <c r="Y798" s="2">
        <v>0</v>
      </c>
      <c r="Z798" s="2">
        <f t="shared" si="239"/>
        <v>2</v>
      </c>
      <c r="AA798" s="2">
        <f t="shared" si="233"/>
        <v>66</v>
      </c>
      <c r="AB798" s="2">
        <v>3121</v>
      </c>
      <c r="AC798" s="20">
        <f t="shared" si="234"/>
        <v>2.11470682473566</v>
      </c>
      <c r="AD798" s="32" t="s">
        <v>58</v>
      </c>
      <c r="AE798" s="2">
        <v>100</v>
      </c>
      <c r="AF798" s="21">
        <f t="shared" si="235"/>
        <v>3.97564883050304</v>
      </c>
      <c r="AG798" s="4">
        <f t="shared" si="236"/>
        <v>2.05062479974367</v>
      </c>
      <c r="AH798" s="4">
        <f t="shared" si="237"/>
        <v>0.0640820249919897</v>
      </c>
    </row>
    <row r="799" ht="15.75" spans="1:34">
      <c r="A799" s="2">
        <v>20260321</v>
      </c>
      <c r="B799" s="2" t="s">
        <v>1640</v>
      </c>
      <c r="C799" s="2" t="s">
        <v>1641</v>
      </c>
      <c r="D799" s="2">
        <v>5</v>
      </c>
      <c r="E799" s="2">
        <v>275</v>
      </c>
      <c r="F799" s="2">
        <v>88</v>
      </c>
      <c r="G799" s="2">
        <v>24</v>
      </c>
      <c r="H799" s="2">
        <v>23</v>
      </c>
      <c r="I799" s="3">
        <v>31</v>
      </c>
      <c r="J799" s="2">
        <v>38</v>
      </c>
      <c r="K799" s="2">
        <v>8</v>
      </c>
      <c r="L799" s="2">
        <v>1</v>
      </c>
      <c r="M799" s="2">
        <v>6</v>
      </c>
      <c r="N799" s="2">
        <v>79</v>
      </c>
      <c r="O799" s="2">
        <v>105</v>
      </c>
      <c r="P799" s="3">
        <v>8</v>
      </c>
      <c r="Q799" s="2">
        <v>36</v>
      </c>
      <c r="R799" s="2">
        <v>139</v>
      </c>
      <c r="S799" s="2">
        <v>6</v>
      </c>
      <c r="T799" s="2">
        <v>0</v>
      </c>
      <c r="V799" s="2">
        <f t="shared" si="238"/>
        <v>128</v>
      </c>
      <c r="W799" s="2">
        <v>6</v>
      </c>
      <c r="X799" s="2">
        <v>5</v>
      </c>
      <c r="Y799" s="2">
        <v>0</v>
      </c>
      <c r="Z799" s="2">
        <f t="shared" si="239"/>
        <v>11</v>
      </c>
      <c r="AA799" s="2">
        <f t="shared" si="233"/>
        <v>139</v>
      </c>
      <c r="AB799" s="2">
        <v>4876</v>
      </c>
      <c r="AC799" s="20">
        <f t="shared" si="234"/>
        <v>2.850697292863</v>
      </c>
      <c r="AD799" s="32" t="s">
        <v>58</v>
      </c>
      <c r="AE799" s="2">
        <v>100</v>
      </c>
      <c r="AF799" s="21">
        <f t="shared" si="235"/>
        <v>5.35931091058244</v>
      </c>
      <c r="AG799" s="4">
        <f t="shared" si="236"/>
        <v>2.62510254306809</v>
      </c>
      <c r="AH799" s="4">
        <f t="shared" si="237"/>
        <v>0.225594749794914</v>
      </c>
    </row>
    <row r="800" ht="15.75" spans="1:34">
      <c r="A800" s="2">
        <v>20260321</v>
      </c>
      <c r="B800" s="2" t="s">
        <v>1642</v>
      </c>
      <c r="C800" s="2" t="s">
        <v>1643</v>
      </c>
      <c r="D800" s="2">
        <v>1</v>
      </c>
      <c r="E800" s="2">
        <v>3</v>
      </c>
      <c r="F800" s="2">
        <v>8</v>
      </c>
      <c r="G800" s="2">
        <v>13</v>
      </c>
      <c r="H800" s="2">
        <v>13</v>
      </c>
      <c r="I800" s="3">
        <v>32</v>
      </c>
      <c r="J800" s="2">
        <v>13</v>
      </c>
      <c r="K800" s="2">
        <v>10</v>
      </c>
      <c r="L800" s="2">
        <v>2</v>
      </c>
      <c r="M800" s="2">
        <v>14</v>
      </c>
      <c r="N800" s="2">
        <v>58</v>
      </c>
      <c r="O800" s="2">
        <v>2</v>
      </c>
      <c r="P800" s="3">
        <v>19</v>
      </c>
      <c r="Q800" s="2">
        <v>20</v>
      </c>
      <c r="R800" s="2">
        <v>166</v>
      </c>
      <c r="S800" s="2">
        <v>5</v>
      </c>
      <c r="T800" s="2">
        <v>13</v>
      </c>
      <c r="U800" s="2">
        <v>2</v>
      </c>
      <c r="V800" s="2">
        <f t="shared" si="238"/>
        <v>108</v>
      </c>
      <c r="W800" s="2">
        <v>8</v>
      </c>
      <c r="X800" s="2">
        <v>13</v>
      </c>
      <c r="Y800" s="2">
        <v>0</v>
      </c>
      <c r="Z800" s="2">
        <f t="shared" si="239"/>
        <v>23</v>
      </c>
      <c r="AA800" s="2">
        <f t="shared" si="233"/>
        <v>131</v>
      </c>
      <c r="AB800" s="2">
        <v>6176</v>
      </c>
      <c r="AC800" s="20">
        <f t="shared" ref="AC800:AC809" si="240">AA800/AB800*100</f>
        <v>2.12111398963731</v>
      </c>
      <c r="AD800" s="32" t="s">
        <v>58</v>
      </c>
      <c r="AE800" s="2">
        <v>100</v>
      </c>
      <c r="AF800" s="21">
        <f t="shared" ref="AF800:AF808" si="241">188/AE800*AC800</f>
        <v>3.98769430051813</v>
      </c>
      <c r="AG800" s="4">
        <f t="shared" si="236"/>
        <v>1.74870466321244</v>
      </c>
      <c r="AH800" s="4">
        <f t="shared" si="237"/>
        <v>0.37240932642487</v>
      </c>
    </row>
    <row r="801" ht="17" customHeight="1" spans="1:34">
      <c r="A801" s="2">
        <v>20260321</v>
      </c>
      <c r="B801" s="2" t="s">
        <v>1644</v>
      </c>
      <c r="C801" s="2" t="s">
        <v>1645</v>
      </c>
      <c r="D801" s="2">
        <v>4</v>
      </c>
      <c r="E801" s="2">
        <v>4</v>
      </c>
      <c r="F801" s="2">
        <v>8</v>
      </c>
      <c r="G801" s="2">
        <v>7</v>
      </c>
      <c r="H801" s="2">
        <v>8</v>
      </c>
      <c r="I801" s="3">
        <v>18</v>
      </c>
      <c r="J801" s="2">
        <v>11</v>
      </c>
      <c r="K801" s="2">
        <v>2</v>
      </c>
      <c r="L801" s="2">
        <v>0</v>
      </c>
      <c r="M801" s="2">
        <v>6</v>
      </c>
      <c r="N801" s="2">
        <v>24</v>
      </c>
      <c r="O801" s="2">
        <v>2</v>
      </c>
      <c r="P801" s="3">
        <v>6</v>
      </c>
      <c r="Q801" s="2">
        <v>5</v>
      </c>
      <c r="R801" s="2">
        <v>86</v>
      </c>
      <c r="S801" s="2">
        <v>1</v>
      </c>
      <c r="T801" s="2">
        <v>8</v>
      </c>
      <c r="U801" s="2">
        <v>1</v>
      </c>
      <c r="V801" s="2">
        <f t="shared" si="238"/>
        <v>57</v>
      </c>
      <c r="W801" s="2">
        <v>4</v>
      </c>
      <c r="X801" s="2">
        <v>5</v>
      </c>
      <c r="Y801" s="2">
        <v>0</v>
      </c>
      <c r="Z801" s="2">
        <f t="shared" si="239"/>
        <v>10</v>
      </c>
      <c r="AA801" s="2">
        <f t="shared" si="233"/>
        <v>67</v>
      </c>
      <c r="AB801" s="2">
        <v>3105</v>
      </c>
      <c r="AC801" s="20">
        <f t="shared" si="240"/>
        <v>2.15780998389694</v>
      </c>
      <c r="AD801" s="32" t="s">
        <v>58</v>
      </c>
      <c r="AE801" s="2">
        <v>100</v>
      </c>
      <c r="AF801" s="21">
        <f t="shared" si="241"/>
        <v>4.05668276972625</v>
      </c>
      <c r="AG801" s="4">
        <f t="shared" si="236"/>
        <v>1.83574879227053</v>
      </c>
      <c r="AH801" s="4">
        <f t="shared" si="237"/>
        <v>0.322061191626409</v>
      </c>
    </row>
    <row r="802" ht="15" customHeight="1" spans="1:34">
      <c r="A802" s="2">
        <v>20260321</v>
      </c>
      <c r="B802" s="2" t="s">
        <v>1646</v>
      </c>
      <c r="C802" s="2" t="s">
        <v>1647</v>
      </c>
      <c r="D802" s="2">
        <v>3</v>
      </c>
      <c r="E802" s="2">
        <v>3</v>
      </c>
      <c r="F802" s="2">
        <v>5</v>
      </c>
      <c r="G802" s="2">
        <v>2</v>
      </c>
      <c r="H802" s="2">
        <v>3</v>
      </c>
      <c r="I802" s="3">
        <v>21</v>
      </c>
      <c r="J802" s="2">
        <v>13</v>
      </c>
      <c r="K802" s="2">
        <v>2</v>
      </c>
      <c r="L802" s="2">
        <v>0</v>
      </c>
      <c r="M802" s="2">
        <v>13</v>
      </c>
      <c r="N802" s="2">
        <v>15</v>
      </c>
      <c r="O802" s="2">
        <v>10</v>
      </c>
      <c r="P802" s="3">
        <v>11</v>
      </c>
      <c r="Q802" s="2">
        <v>8</v>
      </c>
      <c r="R802" s="2">
        <v>22</v>
      </c>
      <c r="S802" s="2">
        <v>3</v>
      </c>
      <c r="T802" s="2">
        <v>1</v>
      </c>
      <c r="U802" s="2">
        <v>1</v>
      </c>
      <c r="V802" s="2">
        <f t="shared" si="238"/>
        <v>48</v>
      </c>
      <c r="W802" s="2">
        <v>10</v>
      </c>
      <c r="X802" s="2">
        <v>8</v>
      </c>
      <c r="Y802" s="2">
        <v>0</v>
      </c>
      <c r="Z802" s="2">
        <f t="shared" ref="Z802:Z808" si="242">Y802+X802+W802+U802</f>
        <v>19</v>
      </c>
      <c r="AA802" s="2">
        <f t="shared" ref="AA802:AA808" si="243">G802+H802+I802+J802+K802+L802+M802+P802+T802+U802</f>
        <v>67</v>
      </c>
      <c r="AB802" s="2">
        <v>2325</v>
      </c>
      <c r="AC802" s="20">
        <f t="shared" si="240"/>
        <v>2.88172043010753</v>
      </c>
      <c r="AD802" s="32" t="s">
        <v>58</v>
      </c>
      <c r="AE802" s="2">
        <v>188</v>
      </c>
      <c r="AF802" s="21">
        <f t="shared" si="241"/>
        <v>2.88172043010753</v>
      </c>
      <c r="AG802" s="4">
        <f t="shared" ref="AG802:AG807" si="244">V802/AB802*100</f>
        <v>2.06451612903226</v>
      </c>
      <c r="AH802" s="4">
        <f t="shared" ref="AH802:AH807" si="245">Z802/AB802*100</f>
        <v>0.817204301075269</v>
      </c>
    </row>
    <row r="803" ht="17" customHeight="1" spans="1:34">
      <c r="A803" s="2">
        <v>20260321</v>
      </c>
      <c r="B803" s="2" t="s">
        <v>1648</v>
      </c>
      <c r="C803" s="2" t="s">
        <v>1649</v>
      </c>
      <c r="D803" s="2">
        <v>4</v>
      </c>
      <c r="E803" s="2">
        <v>2</v>
      </c>
      <c r="F803" s="2">
        <v>10</v>
      </c>
      <c r="G803" s="2">
        <v>1</v>
      </c>
      <c r="H803" s="2">
        <v>5</v>
      </c>
      <c r="I803" s="3">
        <v>7</v>
      </c>
      <c r="J803" s="2">
        <v>9</v>
      </c>
      <c r="K803" s="2">
        <v>2</v>
      </c>
      <c r="L803" s="2">
        <v>0</v>
      </c>
      <c r="M803" s="2">
        <v>12</v>
      </c>
      <c r="N803" s="2">
        <v>9</v>
      </c>
      <c r="O803" s="2">
        <v>22</v>
      </c>
      <c r="P803" s="3">
        <v>18</v>
      </c>
      <c r="Q803" s="2">
        <v>3</v>
      </c>
      <c r="R803" s="2">
        <v>12</v>
      </c>
      <c r="S803" s="2">
        <v>1</v>
      </c>
      <c r="T803" s="2">
        <v>2</v>
      </c>
      <c r="U803" s="2">
        <v>0</v>
      </c>
      <c r="V803" s="2">
        <f t="shared" si="238"/>
        <v>45</v>
      </c>
      <c r="W803" s="2">
        <v>6</v>
      </c>
      <c r="X803" s="2">
        <v>5</v>
      </c>
      <c r="Y803" s="2">
        <v>0</v>
      </c>
      <c r="Z803" s="2">
        <f t="shared" si="242"/>
        <v>11</v>
      </c>
      <c r="AA803" s="2">
        <f t="shared" si="243"/>
        <v>56</v>
      </c>
      <c r="AB803" s="2">
        <v>2075</v>
      </c>
      <c r="AC803" s="20">
        <f t="shared" si="240"/>
        <v>2.69879518072289</v>
      </c>
      <c r="AD803" s="32" t="s">
        <v>58</v>
      </c>
      <c r="AE803" s="2">
        <v>188</v>
      </c>
      <c r="AF803" s="21">
        <f t="shared" si="241"/>
        <v>2.69879518072289</v>
      </c>
      <c r="AG803" s="4">
        <f t="shared" si="244"/>
        <v>2.16867469879518</v>
      </c>
      <c r="AH803" s="4">
        <f t="shared" si="245"/>
        <v>0.530120481927711</v>
      </c>
    </row>
    <row r="804" ht="17" customHeight="1" spans="1:34">
      <c r="A804" s="2">
        <v>20260321</v>
      </c>
      <c r="B804" s="2" t="s">
        <v>1650</v>
      </c>
      <c r="C804" s="2" t="s">
        <v>1651</v>
      </c>
      <c r="D804" s="2">
        <v>10</v>
      </c>
      <c r="E804" s="2">
        <v>38</v>
      </c>
      <c r="F804" s="2">
        <v>20</v>
      </c>
      <c r="G804" s="2">
        <v>6</v>
      </c>
      <c r="H804" s="3">
        <v>14</v>
      </c>
      <c r="I804" s="2">
        <v>21</v>
      </c>
      <c r="J804" s="2">
        <v>10</v>
      </c>
      <c r="K804" s="2">
        <v>19</v>
      </c>
      <c r="L804" s="2">
        <v>0</v>
      </c>
      <c r="M804" s="2">
        <v>11</v>
      </c>
      <c r="N804" s="2">
        <v>28</v>
      </c>
      <c r="O804" s="3">
        <v>63</v>
      </c>
      <c r="P804" s="2">
        <v>20</v>
      </c>
      <c r="Q804" s="2">
        <v>11</v>
      </c>
      <c r="R804" s="2">
        <v>44</v>
      </c>
      <c r="S804" s="2">
        <v>5</v>
      </c>
      <c r="T804" s="2">
        <v>15</v>
      </c>
      <c r="U804" s="2">
        <v>1</v>
      </c>
      <c r="V804" s="2">
        <f t="shared" si="238"/>
        <v>106</v>
      </c>
      <c r="W804" s="2">
        <v>5</v>
      </c>
      <c r="X804" s="2">
        <v>5</v>
      </c>
      <c r="Y804" s="2">
        <v>0</v>
      </c>
      <c r="Z804" s="2">
        <f t="shared" si="242"/>
        <v>11</v>
      </c>
      <c r="AA804" s="2">
        <f t="shared" si="243"/>
        <v>117</v>
      </c>
      <c r="AB804" s="2">
        <v>3155</v>
      </c>
      <c r="AC804" s="20">
        <f t="shared" si="240"/>
        <v>3.70839936608558</v>
      </c>
      <c r="AD804" s="32" t="s">
        <v>58</v>
      </c>
      <c r="AE804" s="2">
        <v>188</v>
      </c>
      <c r="AF804" s="21">
        <f t="shared" si="241"/>
        <v>3.70839936608558</v>
      </c>
      <c r="AG804" s="4">
        <f t="shared" si="244"/>
        <v>3.35974643423138</v>
      </c>
      <c r="AH804" s="4">
        <f t="shared" si="245"/>
        <v>0.3486529318542</v>
      </c>
    </row>
    <row r="805" ht="17" customHeight="1" spans="1:34">
      <c r="A805" s="2">
        <v>20260321</v>
      </c>
      <c r="B805" s="2" t="s">
        <v>1652</v>
      </c>
      <c r="C805" s="2" t="s">
        <v>1653</v>
      </c>
      <c r="D805" s="2">
        <v>3</v>
      </c>
      <c r="E805" s="2">
        <v>16</v>
      </c>
      <c r="F805" s="2">
        <v>7</v>
      </c>
      <c r="G805" s="2">
        <v>3</v>
      </c>
      <c r="H805" s="2">
        <v>3</v>
      </c>
      <c r="I805" s="3">
        <v>16</v>
      </c>
      <c r="J805" s="2">
        <v>16</v>
      </c>
      <c r="K805" s="2">
        <v>1</v>
      </c>
      <c r="L805" s="2">
        <v>0</v>
      </c>
      <c r="M805" s="2">
        <v>8</v>
      </c>
      <c r="N805" s="2">
        <v>8</v>
      </c>
      <c r="O805" s="2">
        <v>11</v>
      </c>
      <c r="P805" s="3">
        <v>11</v>
      </c>
      <c r="Q805" s="2">
        <v>6</v>
      </c>
      <c r="R805" s="2">
        <v>18</v>
      </c>
      <c r="S805" s="2">
        <v>8</v>
      </c>
      <c r="T805" s="2">
        <v>6</v>
      </c>
      <c r="U805" s="2">
        <v>0</v>
      </c>
      <c r="V805" s="2">
        <f t="shared" si="238"/>
        <v>51</v>
      </c>
      <c r="W805" s="2">
        <v>6</v>
      </c>
      <c r="X805" s="2">
        <v>7</v>
      </c>
      <c r="Y805" s="2">
        <v>0</v>
      </c>
      <c r="Z805" s="2">
        <f t="shared" si="242"/>
        <v>13</v>
      </c>
      <c r="AA805" s="2">
        <f t="shared" si="243"/>
        <v>64</v>
      </c>
      <c r="AB805" s="2">
        <v>2131</v>
      </c>
      <c r="AC805" s="20">
        <f t="shared" si="240"/>
        <v>3.00328484279681</v>
      </c>
      <c r="AD805" s="32" t="s">
        <v>49</v>
      </c>
      <c r="AE805" s="2">
        <v>188</v>
      </c>
      <c r="AF805" s="21">
        <f t="shared" si="241"/>
        <v>3.00328484279681</v>
      </c>
      <c r="AG805" s="4">
        <f t="shared" si="244"/>
        <v>2.39324260910371</v>
      </c>
      <c r="AH805" s="4">
        <f t="shared" si="245"/>
        <v>0.610042233693102</v>
      </c>
    </row>
    <row r="806" ht="17" customHeight="1" spans="1:34">
      <c r="A806" s="2">
        <v>20260321</v>
      </c>
      <c r="B806" s="2" t="s">
        <v>1654</v>
      </c>
      <c r="C806" s="2" t="s">
        <v>1655</v>
      </c>
      <c r="D806" s="2">
        <v>7</v>
      </c>
      <c r="E806" s="2">
        <v>1</v>
      </c>
      <c r="F806" s="2">
        <v>17</v>
      </c>
      <c r="G806" s="2">
        <v>5</v>
      </c>
      <c r="H806" s="2">
        <v>4</v>
      </c>
      <c r="I806" s="3">
        <v>16</v>
      </c>
      <c r="J806" s="2">
        <v>7</v>
      </c>
      <c r="K806" s="2">
        <v>6</v>
      </c>
      <c r="L806" s="2">
        <v>1</v>
      </c>
      <c r="M806" s="2">
        <v>7</v>
      </c>
      <c r="N806" s="2">
        <v>8</v>
      </c>
      <c r="O806" s="2">
        <v>23</v>
      </c>
      <c r="P806" s="3">
        <v>15</v>
      </c>
      <c r="Q806" s="2">
        <v>6</v>
      </c>
      <c r="R806" s="2">
        <v>74</v>
      </c>
      <c r="S806" s="2">
        <v>4</v>
      </c>
      <c r="T806" s="2">
        <v>2</v>
      </c>
      <c r="U806" s="2">
        <v>0</v>
      </c>
      <c r="V806" s="2">
        <f t="shared" si="238"/>
        <v>47</v>
      </c>
      <c r="W806" s="2">
        <v>8</v>
      </c>
      <c r="X806" s="2">
        <v>8</v>
      </c>
      <c r="Y806" s="2">
        <v>0</v>
      </c>
      <c r="Z806" s="2">
        <f t="shared" si="242"/>
        <v>16</v>
      </c>
      <c r="AA806" s="2">
        <f t="shared" si="243"/>
        <v>63</v>
      </c>
      <c r="AB806" s="2">
        <v>2345</v>
      </c>
      <c r="AC806" s="20">
        <f t="shared" si="240"/>
        <v>2.6865671641791</v>
      </c>
      <c r="AD806" s="32" t="s">
        <v>49</v>
      </c>
      <c r="AE806" s="2">
        <v>188</v>
      </c>
      <c r="AF806" s="21">
        <f t="shared" si="241"/>
        <v>2.6865671641791</v>
      </c>
      <c r="AG806" s="4">
        <f t="shared" si="244"/>
        <v>2.00426439232409</v>
      </c>
      <c r="AH806" s="4">
        <f t="shared" si="245"/>
        <v>0.682302771855011</v>
      </c>
    </row>
    <row r="807" ht="17" customHeight="1" spans="1:34">
      <c r="A807" s="2">
        <v>20260321</v>
      </c>
      <c r="B807" s="2" t="s">
        <v>1656</v>
      </c>
      <c r="C807" s="2" t="s">
        <v>1657</v>
      </c>
      <c r="D807" s="2">
        <v>9</v>
      </c>
      <c r="E807" s="2">
        <v>26</v>
      </c>
      <c r="F807" s="2">
        <v>21</v>
      </c>
      <c r="G807" s="2">
        <v>7</v>
      </c>
      <c r="H807" s="2">
        <v>27</v>
      </c>
      <c r="I807" s="3">
        <v>20</v>
      </c>
      <c r="J807" s="2">
        <v>12</v>
      </c>
      <c r="K807" s="2">
        <v>24</v>
      </c>
      <c r="L807" s="2">
        <v>1</v>
      </c>
      <c r="M807" s="2">
        <v>6</v>
      </c>
      <c r="N807" s="2">
        <v>4</v>
      </c>
      <c r="O807" s="2">
        <v>78</v>
      </c>
      <c r="P807" s="3">
        <v>23</v>
      </c>
      <c r="Q807" s="2">
        <v>11</v>
      </c>
      <c r="R807" s="2">
        <v>19</v>
      </c>
      <c r="S807" s="2">
        <v>4</v>
      </c>
      <c r="T807" s="2">
        <v>12</v>
      </c>
      <c r="U807" s="2">
        <v>3</v>
      </c>
      <c r="V807" s="2">
        <f t="shared" si="238"/>
        <v>114</v>
      </c>
      <c r="W807" s="2">
        <v>13</v>
      </c>
      <c r="X807" s="2">
        <v>5</v>
      </c>
      <c r="Y807" s="2">
        <v>0</v>
      </c>
      <c r="Z807" s="2">
        <f t="shared" si="242"/>
        <v>21</v>
      </c>
      <c r="AA807" s="2">
        <f t="shared" si="243"/>
        <v>135</v>
      </c>
      <c r="AB807" s="2">
        <v>2485</v>
      </c>
      <c r="AC807" s="20">
        <f t="shared" si="240"/>
        <v>5.43259557344064</v>
      </c>
      <c r="AD807" s="32" t="s">
        <v>49</v>
      </c>
      <c r="AE807" s="2">
        <v>188</v>
      </c>
      <c r="AF807" s="21">
        <f t="shared" si="241"/>
        <v>5.43259557344064</v>
      </c>
      <c r="AG807" s="4">
        <f t="shared" si="244"/>
        <v>4.58752515090543</v>
      </c>
      <c r="AH807" s="4">
        <f t="shared" si="245"/>
        <v>0.845070422535211</v>
      </c>
    </row>
    <row r="808" ht="17" customHeight="1" spans="1:34">
      <c r="A808" s="2">
        <v>20260321</v>
      </c>
      <c r="B808" s="2" t="s">
        <v>1658</v>
      </c>
      <c r="C808" s="2" t="s">
        <v>1659</v>
      </c>
      <c r="D808" s="2">
        <v>4</v>
      </c>
      <c r="E808" s="2">
        <v>11</v>
      </c>
      <c r="F808" s="2">
        <v>7</v>
      </c>
      <c r="G808" s="2">
        <v>6</v>
      </c>
      <c r="H808" s="2">
        <v>3</v>
      </c>
      <c r="I808" s="3">
        <v>39</v>
      </c>
      <c r="J808" s="2">
        <v>11</v>
      </c>
      <c r="K808" s="2">
        <v>1</v>
      </c>
      <c r="L808" s="2">
        <v>1</v>
      </c>
      <c r="M808" s="2">
        <v>11</v>
      </c>
      <c r="N808" s="2">
        <v>20</v>
      </c>
      <c r="O808" s="2">
        <v>16</v>
      </c>
      <c r="P808" s="3">
        <v>2</v>
      </c>
      <c r="Q808" s="2">
        <v>12</v>
      </c>
      <c r="R808" s="2">
        <v>1</v>
      </c>
      <c r="S808" s="2">
        <v>5</v>
      </c>
      <c r="T808" s="2">
        <v>0</v>
      </c>
      <c r="U808" s="2">
        <v>0</v>
      </c>
      <c r="V808" s="2">
        <f t="shared" ref="V808:V822" si="246">AA808-Y808-X808-W808-U808</f>
        <v>52</v>
      </c>
      <c r="W808" s="2">
        <v>11</v>
      </c>
      <c r="X808" s="2">
        <v>11</v>
      </c>
      <c r="Y808" s="2">
        <v>0</v>
      </c>
      <c r="Z808" s="2">
        <f t="shared" ref="Z808:Z820" si="247">Y808+X808+W808+U808</f>
        <v>22</v>
      </c>
      <c r="AA808" s="2">
        <f t="shared" ref="AA808:AA821" si="248">G808+H808+I808+J808+K808+L808+M808+P808+T808+U808</f>
        <v>74</v>
      </c>
      <c r="AB808" s="2">
        <v>2685</v>
      </c>
      <c r="AC808" s="20">
        <f t="shared" si="240"/>
        <v>2.756052141527</v>
      </c>
      <c r="AD808" s="32" t="s">
        <v>49</v>
      </c>
      <c r="AE808" s="2">
        <v>188</v>
      </c>
      <c r="AF808" s="21">
        <f t="shared" si="241"/>
        <v>2.756052141527</v>
      </c>
      <c r="AG808" s="4">
        <f t="shared" ref="AG808:AG821" si="249">V808/AB808*100</f>
        <v>1.9366852886406</v>
      </c>
      <c r="AH808" s="4">
        <f t="shared" ref="AH808:AH821" si="250">Z808/AB808*100</f>
        <v>0.819366852886406</v>
      </c>
    </row>
    <row r="809" ht="17" customHeight="1" spans="1:34">
      <c r="A809" s="2">
        <v>20260321</v>
      </c>
      <c r="B809" s="2" t="s">
        <v>1660</v>
      </c>
      <c r="C809" s="2" t="s">
        <v>1661</v>
      </c>
      <c r="D809" s="2">
        <v>4</v>
      </c>
      <c r="E809" s="2">
        <v>4</v>
      </c>
      <c r="F809" s="2">
        <v>12</v>
      </c>
      <c r="G809" s="2">
        <v>2</v>
      </c>
      <c r="H809" s="2">
        <v>0</v>
      </c>
      <c r="I809" s="3">
        <v>16</v>
      </c>
      <c r="J809" s="2">
        <v>10</v>
      </c>
      <c r="K809" s="2">
        <v>6</v>
      </c>
      <c r="L809" s="2">
        <v>0</v>
      </c>
      <c r="M809" s="2">
        <v>11</v>
      </c>
      <c r="N809" s="2">
        <v>3</v>
      </c>
      <c r="O809" s="2">
        <v>17</v>
      </c>
      <c r="P809" s="3">
        <v>12</v>
      </c>
      <c r="Q809" s="2">
        <v>15</v>
      </c>
      <c r="R809" s="2">
        <v>2</v>
      </c>
      <c r="S809" s="2">
        <v>6</v>
      </c>
      <c r="T809" s="2">
        <v>0</v>
      </c>
      <c r="U809" s="2">
        <v>0</v>
      </c>
      <c r="V809" s="2">
        <f t="shared" si="246"/>
        <v>43</v>
      </c>
      <c r="W809" s="2">
        <v>6</v>
      </c>
      <c r="X809" s="2">
        <v>8</v>
      </c>
      <c r="Y809" s="2">
        <v>0</v>
      </c>
      <c r="Z809" s="2">
        <f t="shared" si="247"/>
        <v>14</v>
      </c>
      <c r="AA809" s="2">
        <f t="shared" si="248"/>
        <v>57</v>
      </c>
      <c r="AB809" s="2">
        <v>2385</v>
      </c>
      <c r="AC809" s="20">
        <f t="shared" ref="AC809:AC824" si="251">AA809/AB809*100</f>
        <v>2.38993710691824</v>
      </c>
      <c r="AD809" s="32" t="s">
        <v>49</v>
      </c>
      <c r="AE809" s="2">
        <v>188</v>
      </c>
      <c r="AF809" s="21">
        <f t="shared" ref="AF809:AF824" si="252">188/AE809*AC809</f>
        <v>2.38993710691824</v>
      </c>
      <c r="AG809" s="4">
        <f t="shared" si="249"/>
        <v>1.80293501048218</v>
      </c>
      <c r="AH809" s="4">
        <f t="shared" si="250"/>
        <v>0.587002096436059</v>
      </c>
    </row>
    <row r="810" ht="17" customHeight="1" spans="1:34">
      <c r="A810" s="2">
        <v>20260322</v>
      </c>
      <c r="B810" s="2" t="s">
        <v>1662</v>
      </c>
      <c r="C810" s="2" t="s">
        <v>1663</v>
      </c>
      <c r="D810" s="2">
        <v>10</v>
      </c>
      <c r="E810" s="2">
        <v>42</v>
      </c>
      <c r="F810" s="2">
        <v>27</v>
      </c>
      <c r="G810" s="2">
        <v>7</v>
      </c>
      <c r="H810" s="2">
        <v>18</v>
      </c>
      <c r="I810" s="3">
        <v>18</v>
      </c>
      <c r="J810" s="2">
        <v>9</v>
      </c>
      <c r="K810" s="2">
        <v>19</v>
      </c>
      <c r="L810" s="2">
        <v>1</v>
      </c>
      <c r="M810" s="2">
        <v>5</v>
      </c>
      <c r="N810" s="2">
        <v>29</v>
      </c>
      <c r="O810" s="2">
        <v>64</v>
      </c>
      <c r="P810" s="3">
        <v>14</v>
      </c>
      <c r="Q810" s="2">
        <v>18</v>
      </c>
      <c r="R810" s="2">
        <v>93</v>
      </c>
      <c r="S810" s="2">
        <v>0</v>
      </c>
      <c r="T810" s="2">
        <v>11</v>
      </c>
      <c r="U810" s="2">
        <v>0</v>
      </c>
      <c r="V810" s="2">
        <f t="shared" si="246"/>
        <v>100</v>
      </c>
      <c r="W810" s="2">
        <v>1</v>
      </c>
      <c r="X810" s="2">
        <v>1</v>
      </c>
      <c r="Y810" s="2">
        <v>0</v>
      </c>
      <c r="Z810" s="2">
        <f t="shared" si="247"/>
        <v>2</v>
      </c>
      <c r="AA810" s="2">
        <f t="shared" si="248"/>
        <v>102</v>
      </c>
      <c r="AB810" s="2">
        <v>2625</v>
      </c>
      <c r="AC810" s="20">
        <f t="shared" si="251"/>
        <v>3.88571428571429</v>
      </c>
      <c r="AD810" s="32" t="s">
        <v>49</v>
      </c>
      <c r="AE810" s="2">
        <v>188</v>
      </c>
      <c r="AF810" s="21">
        <f t="shared" si="252"/>
        <v>3.88571428571429</v>
      </c>
      <c r="AG810" s="4">
        <f t="shared" si="249"/>
        <v>3.80952380952381</v>
      </c>
      <c r="AH810" s="4">
        <f t="shared" si="250"/>
        <v>0.0761904761904762</v>
      </c>
    </row>
    <row r="811" ht="17" customHeight="1" spans="1:34">
      <c r="A811" s="2">
        <v>20260322</v>
      </c>
      <c r="B811" s="2" t="s">
        <v>1664</v>
      </c>
      <c r="C811" s="2" t="s">
        <v>1665</v>
      </c>
      <c r="D811" s="2">
        <v>8</v>
      </c>
      <c r="E811" s="2">
        <v>4</v>
      </c>
      <c r="F811" s="2">
        <v>14</v>
      </c>
      <c r="G811" s="2">
        <v>9</v>
      </c>
      <c r="H811" s="2">
        <v>4</v>
      </c>
      <c r="I811" s="3">
        <v>12</v>
      </c>
      <c r="J811" s="2">
        <v>12</v>
      </c>
      <c r="K811" s="2">
        <v>2</v>
      </c>
      <c r="L811" s="2">
        <v>3</v>
      </c>
      <c r="M811" s="2">
        <v>10</v>
      </c>
      <c r="N811" s="2">
        <v>11</v>
      </c>
      <c r="O811" s="2">
        <v>37</v>
      </c>
      <c r="P811" s="3">
        <v>11</v>
      </c>
      <c r="Q811" s="2">
        <v>17</v>
      </c>
      <c r="R811" s="2">
        <v>2</v>
      </c>
      <c r="S811" s="2">
        <v>1</v>
      </c>
      <c r="T811" s="2">
        <v>4</v>
      </c>
      <c r="U811" s="2">
        <v>0</v>
      </c>
      <c r="V811" s="2">
        <f t="shared" si="246"/>
        <v>52</v>
      </c>
      <c r="W811" s="2">
        <v>8</v>
      </c>
      <c r="X811" s="2">
        <v>7</v>
      </c>
      <c r="Y811" s="2">
        <v>0</v>
      </c>
      <c r="Z811" s="2">
        <f t="shared" si="247"/>
        <v>15</v>
      </c>
      <c r="AA811" s="2">
        <f t="shared" si="248"/>
        <v>67</v>
      </c>
      <c r="AB811" s="2">
        <v>2510</v>
      </c>
      <c r="AC811" s="20">
        <f t="shared" si="251"/>
        <v>2.66932270916335</v>
      </c>
      <c r="AD811" s="32" t="s">
        <v>49</v>
      </c>
      <c r="AE811" s="2">
        <v>188</v>
      </c>
      <c r="AF811" s="21">
        <f t="shared" si="252"/>
        <v>2.66932270916335</v>
      </c>
      <c r="AG811" s="4">
        <f t="shared" si="249"/>
        <v>2.07171314741036</v>
      </c>
      <c r="AH811" s="4">
        <f t="shared" si="250"/>
        <v>0.597609561752988</v>
      </c>
    </row>
    <row r="812" ht="17" customHeight="1" spans="1:34">
      <c r="A812" s="2">
        <v>20260322</v>
      </c>
      <c r="B812" s="2" t="s">
        <v>1666</v>
      </c>
      <c r="C812" s="2" t="s">
        <v>1667</v>
      </c>
      <c r="D812" s="2">
        <v>8</v>
      </c>
      <c r="E812" s="2">
        <v>3</v>
      </c>
      <c r="F812" s="2">
        <v>18</v>
      </c>
      <c r="G812" s="2">
        <v>5</v>
      </c>
      <c r="H812" s="2">
        <v>7</v>
      </c>
      <c r="I812" s="3">
        <v>18</v>
      </c>
      <c r="J812" s="2">
        <v>10</v>
      </c>
      <c r="K812" s="2">
        <v>2</v>
      </c>
      <c r="L812" s="2">
        <v>1</v>
      </c>
      <c r="M812" s="2">
        <v>10</v>
      </c>
      <c r="N812" s="2">
        <v>12</v>
      </c>
      <c r="O812" s="2">
        <v>19</v>
      </c>
      <c r="P812" s="3">
        <v>11</v>
      </c>
      <c r="Q812" s="2">
        <v>12</v>
      </c>
      <c r="R812" s="2">
        <v>1</v>
      </c>
      <c r="S812" s="2">
        <v>3</v>
      </c>
      <c r="T812" s="2">
        <v>4</v>
      </c>
      <c r="U812" s="2">
        <v>1</v>
      </c>
      <c r="V812" s="2">
        <f t="shared" si="246"/>
        <v>59</v>
      </c>
      <c r="W812" s="2">
        <v>4</v>
      </c>
      <c r="X812" s="2">
        <v>5</v>
      </c>
      <c r="Y812" s="2">
        <v>0</v>
      </c>
      <c r="Z812" s="2">
        <f t="shared" si="247"/>
        <v>10</v>
      </c>
      <c r="AA812" s="2">
        <f t="shared" si="248"/>
        <v>69</v>
      </c>
      <c r="AB812" s="2">
        <v>2515</v>
      </c>
      <c r="AC812" s="20">
        <f t="shared" si="251"/>
        <v>2.74353876739563</v>
      </c>
      <c r="AD812" s="32" t="s">
        <v>49</v>
      </c>
      <c r="AE812" s="2">
        <v>188</v>
      </c>
      <c r="AF812" s="21">
        <f t="shared" si="252"/>
        <v>2.74353876739563</v>
      </c>
      <c r="AG812" s="4">
        <f t="shared" si="249"/>
        <v>2.34592445328032</v>
      </c>
      <c r="AH812" s="4">
        <f t="shared" si="250"/>
        <v>0.397614314115308</v>
      </c>
    </row>
    <row r="813" ht="17" customHeight="1" spans="1:34">
      <c r="A813" s="2">
        <v>20260322</v>
      </c>
      <c r="B813" s="2" t="s">
        <v>1668</v>
      </c>
      <c r="C813" s="2" t="s">
        <v>1669</v>
      </c>
      <c r="D813" s="2">
        <v>6</v>
      </c>
      <c r="E813" s="2">
        <v>192</v>
      </c>
      <c r="F813" s="2">
        <v>79</v>
      </c>
      <c r="G813" s="2">
        <v>10</v>
      </c>
      <c r="H813" s="2">
        <v>38</v>
      </c>
      <c r="I813" s="3">
        <v>79</v>
      </c>
      <c r="J813" s="2">
        <v>125</v>
      </c>
      <c r="K813" s="2">
        <v>13</v>
      </c>
      <c r="L813" s="2">
        <v>9</v>
      </c>
      <c r="M813" s="2">
        <v>6</v>
      </c>
      <c r="N813" s="2">
        <v>105</v>
      </c>
      <c r="O813" s="2">
        <v>58</v>
      </c>
      <c r="P813" s="3">
        <v>19</v>
      </c>
      <c r="Q813" s="2">
        <v>62</v>
      </c>
      <c r="R813" s="2">
        <v>15</v>
      </c>
      <c r="S813" s="2">
        <v>3</v>
      </c>
      <c r="T813" s="2">
        <v>74</v>
      </c>
      <c r="U813" s="2">
        <v>3</v>
      </c>
      <c r="V813" s="2">
        <f t="shared" si="246"/>
        <v>349</v>
      </c>
      <c r="W813" s="2">
        <v>9</v>
      </c>
      <c r="X813" s="2">
        <v>14</v>
      </c>
      <c r="Y813" s="2">
        <v>1</v>
      </c>
      <c r="Z813" s="2">
        <f t="shared" si="247"/>
        <v>27</v>
      </c>
      <c r="AA813" s="2">
        <f t="shared" si="248"/>
        <v>376</v>
      </c>
      <c r="AB813" s="2">
        <v>2835</v>
      </c>
      <c r="AC813" s="20">
        <f t="shared" si="251"/>
        <v>13.2627865961199</v>
      </c>
      <c r="AD813" s="32" t="s">
        <v>49</v>
      </c>
      <c r="AE813" s="2">
        <v>188</v>
      </c>
      <c r="AF813" s="21">
        <f t="shared" si="252"/>
        <v>13.2627865961199</v>
      </c>
      <c r="AG813" s="4">
        <f t="shared" si="249"/>
        <v>12.310405643739</v>
      </c>
      <c r="AH813" s="4">
        <f t="shared" si="250"/>
        <v>0.952380952380952</v>
      </c>
    </row>
    <row r="814" ht="17" customHeight="1" spans="1:34">
      <c r="A814" s="2">
        <v>20260322</v>
      </c>
      <c r="B814" s="2" t="s">
        <v>1670</v>
      </c>
      <c r="C814" s="2" t="s">
        <v>1671</v>
      </c>
      <c r="D814" s="2">
        <v>7</v>
      </c>
      <c r="E814" s="2">
        <v>5</v>
      </c>
      <c r="F814" s="2">
        <v>15</v>
      </c>
      <c r="G814" s="2">
        <v>6</v>
      </c>
      <c r="H814" s="2">
        <v>4</v>
      </c>
      <c r="I814" s="3">
        <v>36</v>
      </c>
      <c r="J814" s="2">
        <v>8</v>
      </c>
      <c r="K814" s="2">
        <v>3</v>
      </c>
      <c r="L814" s="2">
        <v>1</v>
      </c>
      <c r="M814" s="2">
        <v>8</v>
      </c>
      <c r="N814" s="2">
        <v>6</v>
      </c>
      <c r="O814" s="2">
        <v>37</v>
      </c>
      <c r="P814" s="3">
        <v>17</v>
      </c>
      <c r="Q814" s="2">
        <v>8</v>
      </c>
      <c r="R814" s="2">
        <v>1</v>
      </c>
      <c r="S814" s="2">
        <v>2</v>
      </c>
      <c r="T814" s="2">
        <v>6</v>
      </c>
      <c r="U814" s="2">
        <v>0</v>
      </c>
      <c r="V814" s="2">
        <f t="shared" si="246"/>
        <v>56</v>
      </c>
      <c r="W814" s="2">
        <v>15</v>
      </c>
      <c r="X814" s="2">
        <v>18</v>
      </c>
      <c r="Y814" s="2">
        <v>0</v>
      </c>
      <c r="Z814" s="2">
        <f t="shared" si="247"/>
        <v>33</v>
      </c>
      <c r="AA814" s="2">
        <f t="shared" si="248"/>
        <v>89</v>
      </c>
      <c r="AB814" s="2">
        <v>2385</v>
      </c>
      <c r="AC814" s="20">
        <f t="shared" si="251"/>
        <v>3.73165618448637</v>
      </c>
      <c r="AD814" s="32" t="s">
        <v>49</v>
      </c>
      <c r="AE814" s="2">
        <v>188</v>
      </c>
      <c r="AF814" s="21">
        <f t="shared" si="252"/>
        <v>3.73165618448637</v>
      </c>
      <c r="AG814" s="4">
        <f t="shared" si="249"/>
        <v>2.34800838574423</v>
      </c>
      <c r="AH814" s="4">
        <f t="shared" si="250"/>
        <v>1.38364779874214</v>
      </c>
    </row>
    <row r="815" ht="17" customHeight="1" spans="1:34">
      <c r="A815" s="2">
        <v>20260322</v>
      </c>
      <c r="B815" s="2" t="s">
        <v>1672</v>
      </c>
      <c r="C815" s="2" t="s">
        <v>1673</v>
      </c>
      <c r="D815" s="2">
        <v>6</v>
      </c>
      <c r="E815" s="2">
        <v>1</v>
      </c>
      <c r="F815" s="2">
        <v>23</v>
      </c>
      <c r="G815" s="2">
        <v>5</v>
      </c>
      <c r="H815" s="2">
        <v>5</v>
      </c>
      <c r="I815" s="2">
        <v>16</v>
      </c>
      <c r="J815" s="2">
        <v>15</v>
      </c>
      <c r="K815" s="3">
        <v>0</v>
      </c>
      <c r="L815" s="2">
        <v>0</v>
      </c>
      <c r="M815" s="2">
        <v>15</v>
      </c>
      <c r="N815" s="2">
        <v>7</v>
      </c>
      <c r="O815" s="2">
        <v>51</v>
      </c>
      <c r="P815" s="2">
        <v>9</v>
      </c>
      <c r="Q815" s="2">
        <v>12</v>
      </c>
      <c r="R815" s="2">
        <v>4</v>
      </c>
      <c r="S815" s="3">
        <v>1</v>
      </c>
      <c r="T815" s="2">
        <v>2</v>
      </c>
      <c r="U815" s="2">
        <v>0</v>
      </c>
      <c r="V815" s="2">
        <f t="shared" si="246"/>
        <v>46</v>
      </c>
      <c r="W815" s="2">
        <v>16</v>
      </c>
      <c r="X815" s="2">
        <v>5</v>
      </c>
      <c r="Y815" s="2">
        <v>0</v>
      </c>
      <c r="Z815" s="2">
        <f t="shared" si="247"/>
        <v>21</v>
      </c>
      <c r="AA815" s="2">
        <f t="shared" si="248"/>
        <v>67</v>
      </c>
      <c r="AB815" s="2">
        <v>2735</v>
      </c>
      <c r="AC815" s="20">
        <f t="shared" si="251"/>
        <v>2.44972577696527</v>
      </c>
      <c r="AD815" s="32" t="s">
        <v>49</v>
      </c>
      <c r="AE815" s="2">
        <v>188</v>
      </c>
      <c r="AF815" s="21">
        <f t="shared" si="252"/>
        <v>2.44972577696527</v>
      </c>
      <c r="AG815" s="4">
        <f t="shared" si="249"/>
        <v>1.6819012797075</v>
      </c>
      <c r="AH815" s="4">
        <f t="shared" si="250"/>
        <v>0.76782449725777</v>
      </c>
    </row>
    <row r="816" ht="17" customHeight="1" spans="1:34">
      <c r="A816" s="2">
        <v>20260322</v>
      </c>
      <c r="B816" s="2" t="s">
        <v>1674</v>
      </c>
      <c r="C816" s="2" t="s">
        <v>1675</v>
      </c>
      <c r="D816" s="2">
        <v>3</v>
      </c>
      <c r="E816" s="2">
        <v>24</v>
      </c>
      <c r="F816" s="2">
        <v>16</v>
      </c>
      <c r="G816" s="2">
        <v>2</v>
      </c>
      <c r="H816" s="2">
        <v>9</v>
      </c>
      <c r="I816" s="3">
        <v>19</v>
      </c>
      <c r="J816" s="2">
        <v>13</v>
      </c>
      <c r="K816" s="2">
        <v>0</v>
      </c>
      <c r="L816" s="2">
        <v>0</v>
      </c>
      <c r="M816" s="2">
        <v>13</v>
      </c>
      <c r="N816" s="2">
        <v>5</v>
      </c>
      <c r="O816" s="2">
        <v>26</v>
      </c>
      <c r="P816" s="3">
        <v>14</v>
      </c>
      <c r="Q816" s="2">
        <v>3</v>
      </c>
      <c r="R816" s="2">
        <v>3</v>
      </c>
      <c r="S816" s="2">
        <v>1</v>
      </c>
      <c r="T816" s="2">
        <v>15</v>
      </c>
      <c r="U816" s="2">
        <v>0</v>
      </c>
      <c r="V816" s="2">
        <f t="shared" si="246"/>
        <v>59</v>
      </c>
      <c r="W816" s="2">
        <v>16</v>
      </c>
      <c r="X816" s="2">
        <v>10</v>
      </c>
      <c r="Y816" s="2">
        <v>0</v>
      </c>
      <c r="Z816" s="2">
        <f t="shared" si="247"/>
        <v>26</v>
      </c>
      <c r="AA816" s="2">
        <f t="shared" si="248"/>
        <v>85</v>
      </c>
      <c r="AB816" s="2">
        <v>2585</v>
      </c>
      <c r="AC816" s="20">
        <f t="shared" si="251"/>
        <v>3.28820116054159</v>
      </c>
      <c r="AD816" s="32" t="s">
        <v>49</v>
      </c>
      <c r="AE816" s="2">
        <v>188</v>
      </c>
      <c r="AF816" s="21">
        <f t="shared" si="252"/>
        <v>3.28820116054159</v>
      </c>
      <c r="AG816" s="4">
        <f t="shared" si="249"/>
        <v>2.28239845261122</v>
      </c>
      <c r="AH816" s="4">
        <f t="shared" si="250"/>
        <v>1.00580270793037</v>
      </c>
    </row>
    <row r="817" ht="17" customHeight="1" spans="1:34">
      <c r="A817" s="2">
        <v>20260322</v>
      </c>
      <c r="B817" s="2" t="s">
        <v>1676</v>
      </c>
      <c r="C817" s="2" t="s">
        <v>1677</v>
      </c>
      <c r="D817" s="2">
        <v>5</v>
      </c>
      <c r="E817" s="2">
        <v>61</v>
      </c>
      <c r="F817" s="2">
        <v>5</v>
      </c>
      <c r="G817" s="2">
        <v>4</v>
      </c>
      <c r="H817" s="2">
        <v>0</v>
      </c>
      <c r="I817" s="3">
        <v>9</v>
      </c>
      <c r="J817" s="2">
        <v>8</v>
      </c>
      <c r="K817" s="2">
        <v>1</v>
      </c>
      <c r="L817" s="2">
        <v>1</v>
      </c>
      <c r="M817" s="2">
        <v>5</v>
      </c>
      <c r="N817" s="2">
        <v>2</v>
      </c>
      <c r="O817" s="2">
        <v>19</v>
      </c>
      <c r="P817" s="3">
        <v>9</v>
      </c>
      <c r="Q817" s="2">
        <v>6</v>
      </c>
      <c r="R817" s="2">
        <v>2</v>
      </c>
      <c r="S817" s="2">
        <v>3</v>
      </c>
      <c r="T817" s="2">
        <v>1</v>
      </c>
      <c r="U817" s="2">
        <v>0</v>
      </c>
      <c r="V817" s="2">
        <f t="shared" si="246"/>
        <v>33</v>
      </c>
      <c r="W817" s="2">
        <v>5</v>
      </c>
      <c r="X817" s="2">
        <v>0</v>
      </c>
      <c r="Y817" s="2">
        <v>0</v>
      </c>
      <c r="Z817" s="2">
        <f t="shared" si="247"/>
        <v>5</v>
      </c>
      <c r="AA817" s="2">
        <f t="shared" si="248"/>
        <v>38</v>
      </c>
      <c r="AB817" s="2">
        <v>2435</v>
      </c>
      <c r="AC817" s="20">
        <f t="shared" si="251"/>
        <v>1.5605749486653</v>
      </c>
      <c r="AD817" s="32" t="s">
        <v>49</v>
      </c>
      <c r="AE817" s="2">
        <v>188</v>
      </c>
      <c r="AF817" s="21">
        <f t="shared" si="252"/>
        <v>1.5605749486653</v>
      </c>
      <c r="AG817" s="4">
        <f t="shared" si="249"/>
        <v>1.35523613963039</v>
      </c>
      <c r="AH817" s="4">
        <f t="shared" si="250"/>
        <v>0.205338809034908</v>
      </c>
    </row>
    <row r="818" ht="17" customHeight="1" spans="1:34">
      <c r="A818" s="2">
        <v>20260322</v>
      </c>
      <c r="B818" s="2" t="s">
        <v>1678</v>
      </c>
      <c r="C818" s="2" t="s">
        <v>1679</v>
      </c>
      <c r="D818" s="2">
        <v>15</v>
      </c>
      <c r="E818" s="2">
        <v>1308</v>
      </c>
      <c r="F818" s="2">
        <v>168</v>
      </c>
      <c r="G818" s="2">
        <v>25</v>
      </c>
      <c r="H818" s="2">
        <v>90</v>
      </c>
      <c r="I818" s="3">
        <v>305</v>
      </c>
      <c r="J818" s="2">
        <v>878</v>
      </c>
      <c r="K818" s="2">
        <v>18</v>
      </c>
      <c r="L818" s="2">
        <v>7</v>
      </c>
      <c r="M818" s="2">
        <v>33</v>
      </c>
      <c r="N818" s="2">
        <v>68</v>
      </c>
      <c r="O818" s="2">
        <v>112</v>
      </c>
      <c r="P818" s="3">
        <v>61</v>
      </c>
      <c r="Q818" s="2">
        <v>45</v>
      </c>
      <c r="R818" s="2">
        <v>510</v>
      </c>
      <c r="S818" s="2">
        <v>16</v>
      </c>
      <c r="T818" s="2">
        <v>109</v>
      </c>
      <c r="U818" s="2">
        <v>0</v>
      </c>
      <c r="V818" s="2">
        <f t="shared" si="246"/>
        <v>1526</v>
      </c>
      <c r="W818" s="2">
        <v>0</v>
      </c>
      <c r="X818" s="2">
        <v>0</v>
      </c>
      <c r="Y818" s="2">
        <v>0</v>
      </c>
      <c r="Z818" s="2">
        <f t="shared" si="247"/>
        <v>0</v>
      </c>
      <c r="AA818" s="2">
        <f t="shared" si="248"/>
        <v>1526</v>
      </c>
      <c r="AB818" s="2">
        <v>2335</v>
      </c>
      <c r="AC818" s="20">
        <f t="shared" si="251"/>
        <v>65.3533190578159</v>
      </c>
      <c r="AD818" s="32" t="s">
        <v>58</v>
      </c>
      <c r="AE818" s="2">
        <v>188</v>
      </c>
      <c r="AF818" s="21">
        <f t="shared" si="252"/>
        <v>65.3533190578159</v>
      </c>
      <c r="AG818" s="4">
        <f t="shared" si="249"/>
        <v>65.3533190578159</v>
      </c>
      <c r="AH818" s="4">
        <f t="shared" si="250"/>
        <v>0</v>
      </c>
    </row>
    <row r="819" ht="17" customHeight="1" spans="1:34">
      <c r="A819" s="2">
        <v>20260322</v>
      </c>
      <c r="B819" s="2" t="s">
        <v>1680</v>
      </c>
      <c r="C819" s="2" t="s">
        <v>1681</v>
      </c>
      <c r="D819" s="2">
        <v>3</v>
      </c>
      <c r="E819" s="2">
        <v>194</v>
      </c>
      <c r="F819" s="2">
        <v>16</v>
      </c>
      <c r="G819" s="2">
        <v>8</v>
      </c>
      <c r="H819" s="2">
        <v>6</v>
      </c>
      <c r="I819" s="3">
        <v>19</v>
      </c>
      <c r="J819" s="2">
        <v>22</v>
      </c>
      <c r="K819" s="2">
        <v>2</v>
      </c>
      <c r="L819" s="2">
        <v>0</v>
      </c>
      <c r="M819" s="2">
        <v>7</v>
      </c>
      <c r="N819" s="2">
        <v>6</v>
      </c>
      <c r="O819" s="2">
        <v>25</v>
      </c>
      <c r="P819" s="3">
        <v>70</v>
      </c>
      <c r="Q819" s="2">
        <v>7</v>
      </c>
      <c r="R819" s="2">
        <v>912</v>
      </c>
      <c r="S819" s="2">
        <v>2</v>
      </c>
      <c r="T819" s="2">
        <v>15</v>
      </c>
      <c r="U819" s="2">
        <v>1</v>
      </c>
      <c r="V819" s="2">
        <f t="shared" si="246"/>
        <v>146</v>
      </c>
      <c r="W819" s="2">
        <v>2</v>
      </c>
      <c r="X819" s="2">
        <v>0</v>
      </c>
      <c r="Y819" s="2">
        <v>1</v>
      </c>
      <c r="Z819" s="2">
        <f t="shared" si="247"/>
        <v>4</v>
      </c>
      <c r="AA819" s="2">
        <f t="shared" si="248"/>
        <v>150</v>
      </c>
      <c r="AB819" s="2">
        <v>2345</v>
      </c>
      <c r="AC819" s="20">
        <f t="shared" si="251"/>
        <v>6.39658848614073</v>
      </c>
      <c r="AD819" s="32" t="s">
        <v>49</v>
      </c>
      <c r="AE819" s="2">
        <v>188</v>
      </c>
      <c r="AF819" s="21">
        <f t="shared" si="252"/>
        <v>6.39658848614073</v>
      </c>
      <c r="AG819" s="4">
        <f t="shared" si="249"/>
        <v>6.22601279317697</v>
      </c>
      <c r="AH819" s="4">
        <f t="shared" si="250"/>
        <v>0.170575692963753</v>
      </c>
    </row>
    <row r="820" ht="17" customHeight="1" spans="1:34">
      <c r="A820" s="2">
        <v>20260322</v>
      </c>
      <c r="B820" s="2" t="s">
        <v>1682</v>
      </c>
      <c r="C820" s="2" t="s">
        <v>1683</v>
      </c>
      <c r="D820" s="2">
        <v>5</v>
      </c>
      <c r="E820" s="2">
        <v>278</v>
      </c>
      <c r="F820" s="2">
        <v>13</v>
      </c>
      <c r="G820" s="2">
        <v>3</v>
      </c>
      <c r="H820" s="2">
        <v>6</v>
      </c>
      <c r="I820" s="3">
        <v>26</v>
      </c>
      <c r="J820" s="2">
        <v>20</v>
      </c>
      <c r="K820" s="2">
        <v>4</v>
      </c>
      <c r="L820" s="2">
        <v>1</v>
      </c>
      <c r="M820" s="2">
        <v>3</v>
      </c>
      <c r="N820" s="2">
        <v>4</v>
      </c>
      <c r="O820" s="2">
        <v>18</v>
      </c>
      <c r="P820" s="3">
        <v>11</v>
      </c>
      <c r="Q820" s="2">
        <v>7</v>
      </c>
      <c r="R820" s="2">
        <v>76</v>
      </c>
      <c r="S820" s="2">
        <v>1</v>
      </c>
      <c r="T820" s="2">
        <v>14</v>
      </c>
      <c r="U820" s="2">
        <v>0</v>
      </c>
      <c r="V820" s="2">
        <f t="shared" si="246"/>
        <v>74</v>
      </c>
      <c r="W820" s="2">
        <v>5</v>
      </c>
      <c r="X820" s="2">
        <v>8</v>
      </c>
      <c r="Y820" s="2">
        <v>1</v>
      </c>
      <c r="Z820" s="2">
        <f t="shared" si="247"/>
        <v>14</v>
      </c>
      <c r="AA820" s="2">
        <f t="shared" si="248"/>
        <v>88</v>
      </c>
      <c r="AB820" s="2">
        <v>2086</v>
      </c>
      <c r="AC820" s="20">
        <f t="shared" si="251"/>
        <v>4.21860019175455</v>
      </c>
      <c r="AD820" s="32" t="s">
        <v>49</v>
      </c>
      <c r="AE820" s="2">
        <v>188</v>
      </c>
      <c r="AF820" s="21">
        <f t="shared" si="252"/>
        <v>4.21860019175455</v>
      </c>
      <c r="AG820" s="4">
        <f t="shared" si="249"/>
        <v>3.54745925215724</v>
      </c>
      <c r="AH820" s="4">
        <f t="shared" si="250"/>
        <v>0.671140939597315</v>
      </c>
    </row>
    <row r="821" ht="17" customHeight="1" spans="1:34">
      <c r="A821" s="2">
        <v>20260322</v>
      </c>
      <c r="B821" s="2" t="s">
        <v>1684</v>
      </c>
      <c r="C821" s="2" t="s">
        <v>1685</v>
      </c>
      <c r="D821" s="2">
        <v>4</v>
      </c>
      <c r="E821" s="2">
        <v>946</v>
      </c>
      <c r="F821" s="2">
        <v>21</v>
      </c>
      <c r="G821" s="2">
        <v>9</v>
      </c>
      <c r="H821" s="2">
        <v>26</v>
      </c>
      <c r="I821" s="3">
        <v>40</v>
      </c>
      <c r="J821" s="2">
        <v>37</v>
      </c>
      <c r="K821" s="2">
        <v>0</v>
      </c>
      <c r="L821" s="2">
        <v>1</v>
      </c>
      <c r="M821" s="2">
        <v>16</v>
      </c>
      <c r="N821" s="2">
        <v>15</v>
      </c>
      <c r="O821" s="2">
        <v>34</v>
      </c>
      <c r="P821" s="3">
        <v>15</v>
      </c>
      <c r="Q821" s="2">
        <v>10</v>
      </c>
      <c r="R821" s="2">
        <v>377</v>
      </c>
      <c r="S821" s="2">
        <v>1</v>
      </c>
      <c r="T821" s="2">
        <v>409</v>
      </c>
      <c r="U821" s="2">
        <v>0</v>
      </c>
      <c r="V821" s="2">
        <f t="shared" si="246"/>
        <v>538</v>
      </c>
      <c r="W821" s="2">
        <v>7</v>
      </c>
      <c r="X821" s="2">
        <v>8</v>
      </c>
      <c r="Y821" s="2">
        <v>0</v>
      </c>
      <c r="Z821" s="2">
        <f t="shared" ref="Z821:Z827" si="253">Y821+X821+W821+U821</f>
        <v>15</v>
      </c>
      <c r="AA821" s="2">
        <f t="shared" ref="AA821:AA828" si="254">G821+H821+I821+J821+K821+L821+M821+P821+T821+U821</f>
        <v>553</v>
      </c>
      <c r="AB821" s="2">
        <v>2176</v>
      </c>
      <c r="AC821" s="20">
        <f t="shared" si="251"/>
        <v>25.4136029411765</v>
      </c>
      <c r="AD821" s="32" t="s">
        <v>106</v>
      </c>
      <c r="AE821" s="2">
        <v>188</v>
      </c>
      <c r="AF821" s="21">
        <f t="shared" si="252"/>
        <v>25.4136029411765</v>
      </c>
      <c r="AG821" s="4">
        <f t="shared" ref="AG821:AG827" si="255">V821/AB821*100</f>
        <v>24.7242647058824</v>
      </c>
      <c r="AH821" s="4">
        <f t="shared" si="250"/>
        <v>0.689338235294118</v>
      </c>
    </row>
    <row r="822" ht="17" customHeight="1" spans="1:34">
      <c r="A822" s="2">
        <v>20260322</v>
      </c>
      <c r="B822" s="2" t="s">
        <v>1686</v>
      </c>
      <c r="C822" s="2" t="s">
        <v>1687</v>
      </c>
      <c r="D822" s="2">
        <v>4</v>
      </c>
      <c r="E822" s="2">
        <v>53</v>
      </c>
      <c r="F822" s="2">
        <v>8</v>
      </c>
      <c r="G822" s="2">
        <v>4</v>
      </c>
      <c r="H822" s="2">
        <v>8</v>
      </c>
      <c r="I822" s="3">
        <v>14</v>
      </c>
      <c r="J822" s="2">
        <v>20</v>
      </c>
      <c r="K822" s="2">
        <v>2</v>
      </c>
      <c r="L822" s="2">
        <v>0</v>
      </c>
      <c r="M822" s="2">
        <v>11</v>
      </c>
      <c r="N822" s="2">
        <v>10</v>
      </c>
      <c r="O822" s="2">
        <v>34</v>
      </c>
      <c r="P822" s="3">
        <v>10</v>
      </c>
      <c r="Q822" s="2">
        <v>5</v>
      </c>
      <c r="R822" s="2">
        <v>848</v>
      </c>
      <c r="S822" s="2">
        <v>4</v>
      </c>
      <c r="T822" s="2">
        <v>1</v>
      </c>
      <c r="U822" s="2">
        <v>0</v>
      </c>
      <c r="V822" s="2">
        <f t="shared" ref="V822:V828" si="256">AA822-Y822-X822-W822-U822</f>
        <v>63</v>
      </c>
      <c r="W822" s="2">
        <v>5</v>
      </c>
      <c r="X822" s="2">
        <v>2</v>
      </c>
      <c r="Y822" s="2">
        <v>0</v>
      </c>
      <c r="Z822" s="2">
        <f t="shared" si="253"/>
        <v>7</v>
      </c>
      <c r="AA822" s="2">
        <f t="shared" si="254"/>
        <v>70</v>
      </c>
      <c r="AB822" s="2">
        <v>2076</v>
      </c>
      <c r="AC822" s="20">
        <f t="shared" si="251"/>
        <v>3.37186897880539</v>
      </c>
      <c r="AD822" s="32" t="s">
        <v>106</v>
      </c>
      <c r="AE822" s="2">
        <v>188</v>
      </c>
      <c r="AF822" s="21">
        <f t="shared" si="252"/>
        <v>3.37186897880539</v>
      </c>
      <c r="AG822" s="4">
        <f t="shared" si="255"/>
        <v>3.03468208092486</v>
      </c>
      <c r="AH822" s="4">
        <f t="shared" ref="AH822:AH827" si="257">Z822/AB822*100</f>
        <v>0.33718689788054</v>
      </c>
    </row>
    <row r="823" ht="15.75" spans="1:34">
      <c r="A823" s="2">
        <v>20260322</v>
      </c>
      <c r="B823" s="2" t="s">
        <v>1688</v>
      </c>
      <c r="C823" s="2" t="s">
        <v>1689</v>
      </c>
      <c r="D823" s="2">
        <v>2</v>
      </c>
      <c r="E823" s="2">
        <v>58</v>
      </c>
      <c r="F823" s="2">
        <v>12</v>
      </c>
      <c r="G823" s="2">
        <v>6</v>
      </c>
      <c r="H823" s="2">
        <v>3</v>
      </c>
      <c r="I823" s="3">
        <v>29</v>
      </c>
      <c r="J823" s="2">
        <v>22</v>
      </c>
      <c r="K823" s="2">
        <v>1</v>
      </c>
      <c r="L823" s="2">
        <v>0</v>
      </c>
      <c r="M823" s="2">
        <v>15</v>
      </c>
      <c r="N823" s="2">
        <v>7</v>
      </c>
      <c r="O823" s="2">
        <v>34</v>
      </c>
      <c r="P823" s="3">
        <v>15</v>
      </c>
      <c r="Q823" s="2">
        <v>8</v>
      </c>
      <c r="R823" s="2">
        <v>172</v>
      </c>
      <c r="S823" s="2">
        <v>2</v>
      </c>
      <c r="T823" s="2">
        <v>2</v>
      </c>
      <c r="U823" s="2">
        <v>0</v>
      </c>
      <c r="V823" s="2">
        <f t="shared" si="256"/>
        <v>70</v>
      </c>
      <c r="W823" s="2">
        <v>23</v>
      </c>
      <c r="X823" s="2">
        <v>0</v>
      </c>
      <c r="Y823" s="2">
        <v>0</v>
      </c>
      <c r="Z823" s="2">
        <f t="shared" si="253"/>
        <v>23</v>
      </c>
      <c r="AA823" s="2">
        <f t="shared" si="254"/>
        <v>93</v>
      </c>
      <c r="AB823" s="2">
        <v>2476</v>
      </c>
      <c r="AC823" s="20">
        <f t="shared" si="251"/>
        <v>3.75605815831987</v>
      </c>
      <c r="AD823" s="32" t="s">
        <v>106</v>
      </c>
      <c r="AE823" s="2">
        <v>188</v>
      </c>
      <c r="AF823" s="21">
        <f t="shared" si="252"/>
        <v>3.75605815831987</v>
      </c>
      <c r="AG823" s="4">
        <f t="shared" si="255"/>
        <v>2.82714054927302</v>
      </c>
      <c r="AH823" s="4">
        <f t="shared" si="257"/>
        <v>0.92891760904685</v>
      </c>
    </row>
    <row r="824" ht="15.75" spans="1:34">
      <c r="A824" s="2">
        <v>20260322</v>
      </c>
      <c r="B824" s="2" t="s">
        <v>1690</v>
      </c>
      <c r="C824" s="2" t="s">
        <v>1691</v>
      </c>
      <c r="D824" s="2">
        <v>3</v>
      </c>
      <c r="E824" s="2">
        <v>15</v>
      </c>
      <c r="F824" s="2">
        <v>13</v>
      </c>
      <c r="G824" s="2">
        <v>12</v>
      </c>
      <c r="H824" s="2">
        <v>8</v>
      </c>
      <c r="I824" s="3">
        <v>20</v>
      </c>
      <c r="J824" s="2">
        <v>19</v>
      </c>
      <c r="K824" s="2">
        <v>5</v>
      </c>
      <c r="L824" s="2">
        <v>3</v>
      </c>
      <c r="M824" s="2">
        <v>11</v>
      </c>
      <c r="N824" s="2">
        <v>28</v>
      </c>
      <c r="O824" s="2">
        <v>26</v>
      </c>
      <c r="P824" s="3">
        <v>8</v>
      </c>
      <c r="Q824" s="2">
        <v>13</v>
      </c>
      <c r="R824" s="2">
        <v>72</v>
      </c>
      <c r="S824" s="2">
        <v>1</v>
      </c>
      <c r="T824" s="2">
        <v>3</v>
      </c>
      <c r="U824" s="2">
        <v>2</v>
      </c>
      <c r="V824" s="2">
        <f t="shared" si="256"/>
        <v>76</v>
      </c>
      <c r="W824" s="2">
        <v>10</v>
      </c>
      <c r="X824" s="2">
        <v>3</v>
      </c>
      <c r="Y824" s="2">
        <v>0</v>
      </c>
      <c r="Z824" s="2">
        <f t="shared" si="253"/>
        <v>15</v>
      </c>
      <c r="AA824" s="2">
        <f t="shared" si="254"/>
        <v>91</v>
      </c>
      <c r="AB824" s="2">
        <v>2076</v>
      </c>
      <c r="AC824" s="20">
        <f t="shared" si="251"/>
        <v>4.38342967244701</v>
      </c>
      <c r="AD824" s="32" t="s">
        <v>106</v>
      </c>
      <c r="AE824" s="2">
        <v>188</v>
      </c>
      <c r="AF824" s="21">
        <f t="shared" si="252"/>
        <v>4.38342967244701</v>
      </c>
      <c r="AG824" s="4">
        <f t="shared" si="255"/>
        <v>3.66088631984586</v>
      </c>
      <c r="AH824" s="4">
        <f t="shared" si="257"/>
        <v>0.722543352601156</v>
      </c>
    </row>
    <row r="825" ht="15.75" spans="1:34">
      <c r="A825" s="2">
        <v>20260322</v>
      </c>
      <c r="B825" s="2" t="s">
        <v>1692</v>
      </c>
      <c r="C825" s="2" t="s">
        <v>1693</v>
      </c>
      <c r="D825" s="2">
        <v>2</v>
      </c>
      <c r="E825" s="2">
        <v>13</v>
      </c>
      <c r="F825" s="2">
        <v>13</v>
      </c>
      <c r="G825" s="2">
        <v>7</v>
      </c>
      <c r="H825" s="2">
        <v>5</v>
      </c>
      <c r="I825" s="3">
        <v>13</v>
      </c>
      <c r="J825" s="2">
        <v>13</v>
      </c>
      <c r="K825" s="2">
        <v>0</v>
      </c>
      <c r="L825" s="2">
        <v>0</v>
      </c>
      <c r="M825" s="2">
        <v>20</v>
      </c>
      <c r="N825" s="2">
        <v>7</v>
      </c>
      <c r="O825" s="2">
        <v>24</v>
      </c>
      <c r="P825" s="3">
        <v>11</v>
      </c>
      <c r="Q825" s="2">
        <v>4</v>
      </c>
      <c r="R825" s="2">
        <v>73</v>
      </c>
      <c r="S825" s="2">
        <v>2</v>
      </c>
      <c r="T825" s="2">
        <v>5</v>
      </c>
      <c r="U825" s="2">
        <v>1</v>
      </c>
      <c r="V825" s="2">
        <f t="shared" si="256"/>
        <v>61</v>
      </c>
      <c r="W825" s="2">
        <v>6</v>
      </c>
      <c r="X825" s="2">
        <v>7</v>
      </c>
      <c r="Y825" s="2">
        <v>0</v>
      </c>
      <c r="Z825" s="2">
        <f t="shared" si="253"/>
        <v>14</v>
      </c>
      <c r="AA825" s="2">
        <f t="shared" si="254"/>
        <v>75</v>
      </c>
      <c r="AB825" s="2">
        <v>2103</v>
      </c>
      <c r="AC825" s="20">
        <f t="shared" ref="AC825:AC837" si="258">AA825/AB825*100</f>
        <v>3.56633380884451</v>
      </c>
      <c r="AD825" s="32" t="s">
        <v>106</v>
      </c>
      <c r="AE825" s="2">
        <v>188</v>
      </c>
      <c r="AF825" s="21">
        <f t="shared" ref="AF825:AF833" si="259">188/AE825*AC825</f>
        <v>3.56633380884451</v>
      </c>
      <c r="AG825" s="4">
        <f t="shared" ref="AG825:AG833" si="260">V825/AB825*100</f>
        <v>2.90061816452687</v>
      </c>
      <c r="AH825" s="4">
        <f t="shared" ref="AH825:AH833" si="261">Z825/AB825*100</f>
        <v>0.665715644317642</v>
      </c>
    </row>
    <row r="826" ht="15.75" spans="1:34">
      <c r="A826" s="2">
        <v>20260322</v>
      </c>
      <c r="B826" s="2" t="s">
        <v>1694</v>
      </c>
      <c r="C826" s="2" t="s">
        <v>1695</v>
      </c>
      <c r="D826" s="2">
        <v>1</v>
      </c>
      <c r="E826" s="2">
        <v>21</v>
      </c>
      <c r="F826" s="2">
        <v>25</v>
      </c>
      <c r="G826" s="2">
        <v>4</v>
      </c>
      <c r="H826" s="2">
        <v>4</v>
      </c>
      <c r="I826" s="3">
        <v>26</v>
      </c>
      <c r="J826" s="2">
        <v>23</v>
      </c>
      <c r="K826" s="2">
        <v>1</v>
      </c>
      <c r="L826" s="2">
        <v>0</v>
      </c>
      <c r="M826" s="2">
        <v>17</v>
      </c>
      <c r="N826" s="2">
        <v>74</v>
      </c>
      <c r="O826" s="2">
        <v>42</v>
      </c>
      <c r="P826" s="3">
        <v>14</v>
      </c>
      <c r="Q826" s="2">
        <v>16</v>
      </c>
      <c r="R826" s="2">
        <v>65</v>
      </c>
      <c r="S826" s="2">
        <v>0</v>
      </c>
      <c r="T826" s="2">
        <v>2</v>
      </c>
      <c r="U826" s="2">
        <v>0</v>
      </c>
      <c r="V826" s="2">
        <f t="shared" ref="V826:V833" si="262">AA826-Y826-X826-W826-U826</f>
        <v>60</v>
      </c>
      <c r="W826" s="2">
        <v>25</v>
      </c>
      <c r="X826" s="2">
        <v>6</v>
      </c>
      <c r="Y826" s="2">
        <v>0</v>
      </c>
      <c r="Z826" s="2">
        <f t="shared" si="253"/>
        <v>31</v>
      </c>
      <c r="AA826" s="2">
        <f t="shared" si="254"/>
        <v>91</v>
      </c>
      <c r="AB826" s="2">
        <v>2226</v>
      </c>
      <c r="AC826" s="20">
        <f t="shared" si="258"/>
        <v>4.08805031446541</v>
      </c>
      <c r="AD826" s="32" t="s">
        <v>106</v>
      </c>
      <c r="AE826" s="2">
        <v>188</v>
      </c>
      <c r="AF826" s="21">
        <f t="shared" si="259"/>
        <v>4.08805031446541</v>
      </c>
      <c r="AG826" s="4">
        <f t="shared" si="260"/>
        <v>2.69541778975741</v>
      </c>
      <c r="AH826" s="4">
        <f t="shared" si="261"/>
        <v>1.392632524708</v>
      </c>
    </row>
    <row r="827" ht="15.75" spans="1:34">
      <c r="A827" s="2">
        <v>20260322</v>
      </c>
      <c r="B827" s="2" t="s">
        <v>1696</v>
      </c>
      <c r="C827" s="2" t="s">
        <v>1697</v>
      </c>
      <c r="D827" s="2">
        <v>13</v>
      </c>
      <c r="E827" s="2">
        <v>27</v>
      </c>
      <c r="F827" s="2">
        <v>23</v>
      </c>
      <c r="G827" s="2">
        <v>15</v>
      </c>
      <c r="H827" s="2">
        <v>19</v>
      </c>
      <c r="I827" s="3">
        <v>42</v>
      </c>
      <c r="J827" s="2">
        <v>32</v>
      </c>
      <c r="K827" s="2">
        <v>13</v>
      </c>
      <c r="L827" s="2">
        <v>1</v>
      </c>
      <c r="M827" s="2">
        <v>21</v>
      </c>
      <c r="N827" s="2">
        <v>23</v>
      </c>
      <c r="O827" s="2">
        <v>74</v>
      </c>
      <c r="P827" s="3">
        <v>33</v>
      </c>
      <c r="Q827" s="2">
        <v>11</v>
      </c>
      <c r="R827" s="2">
        <v>62</v>
      </c>
      <c r="S827" s="2">
        <v>1</v>
      </c>
      <c r="T827" s="2">
        <v>10</v>
      </c>
      <c r="U827" s="2">
        <v>1</v>
      </c>
      <c r="V827" s="2">
        <f t="shared" si="262"/>
        <v>138</v>
      </c>
      <c r="W827" s="2">
        <v>40</v>
      </c>
      <c r="X827" s="2">
        <v>8</v>
      </c>
      <c r="Y827" s="2">
        <v>0</v>
      </c>
      <c r="Z827" s="2">
        <f t="shared" ref="Z827:Z833" si="263">Y827+X827+W827+U827</f>
        <v>49</v>
      </c>
      <c r="AA827" s="2">
        <f t="shared" ref="AA827:AA833" si="264">G827+H827+I827+J827+K827+L827+M827+P827+T827+U827</f>
        <v>187</v>
      </c>
      <c r="AB827" s="2">
        <v>2505</v>
      </c>
      <c r="AC827" s="20">
        <f t="shared" si="258"/>
        <v>7.46506986027944</v>
      </c>
      <c r="AD827" s="32" t="s">
        <v>106</v>
      </c>
      <c r="AE827" s="2">
        <v>188</v>
      </c>
      <c r="AF827" s="21">
        <f t="shared" si="259"/>
        <v>7.46506986027944</v>
      </c>
      <c r="AG827" s="4">
        <f t="shared" si="260"/>
        <v>5.50898203592814</v>
      </c>
      <c r="AH827" s="4">
        <f t="shared" si="261"/>
        <v>1.9560878243513</v>
      </c>
    </row>
    <row r="828" ht="15.75" spans="1:34">
      <c r="A828" s="2">
        <v>20260322</v>
      </c>
      <c r="B828" s="2" t="s">
        <v>1698</v>
      </c>
      <c r="C828" s="2" t="s">
        <v>1699</v>
      </c>
      <c r="D828" s="2">
        <v>8</v>
      </c>
      <c r="E828" s="2">
        <v>1</v>
      </c>
      <c r="F828" s="2">
        <v>23</v>
      </c>
      <c r="G828" s="2">
        <v>6</v>
      </c>
      <c r="H828" s="2">
        <v>12</v>
      </c>
      <c r="I828" s="3">
        <v>34</v>
      </c>
      <c r="J828" s="2">
        <v>25</v>
      </c>
      <c r="K828" s="2">
        <v>4</v>
      </c>
      <c r="L828" s="2">
        <v>1</v>
      </c>
      <c r="M828" s="2">
        <v>25</v>
      </c>
      <c r="N828" s="2">
        <v>59</v>
      </c>
      <c r="O828" s="2">
        <v>48</v>
      </c>
      <c r="P828" s="3">
        <v>10</v>
      </c>
      <c r="Q828" s="2">
        <v>17</v>
      </c>
      <c r="R828" s="2">
        <v>8</v>
      </c>
      <c r="S828" s="2">
        <v>2</v>
      </c>
      <c r="T828" s="2">
        <v>2</v>
      </c>
      <c r="U828" s="2">
        <v>0</v>
      </c>
      <c r="V828" s="2">
        <f t="shared" si="262"/>
        <v>75</v>
      </c>
      <c r="W828" s="2">
        <v>41</v>
      </c>
      <c r="X828" s="2">
        <v>3</v>
      </c>
      <c r="Y828" s="2">
        <v>0</v>
      </c>
      <c r="Z828" s="2">
        <f t="shared" si="263"/>
        <v>44</v>
      </c>
      <c r="AA828" s="2">
        <f t="shared" si="264"/>
        <v>119</v>
      </c>
      <c r="AB828" s="2">
        <v>2226</v>
      </c>
      <c r="AC828" s="20">
        <f t="shared" si="258"/>
        <v>5.34591194968553</v>
      </c>
      <c r="AD828" s="32" t="s">
        <v>106</v>
      </c>
      <c r="AE828" s="2">
        <v>188</v>
      </c>
      <c r="AF828" s="21">
        <f t="shared" si="259"/>
        <v>5.34591194968553</v>
      </c>
      <c r="AG828" s="4">
        <f t="shared" si="260"/>
        <v>3.36927223719677</v>
      </c>
      <c r="AH828" s="4">
        <f t="shared" si="261"/>
        <v>1.97663971248877</v>
      </c>
    </row>
    <row r="829" ht="15.75" spans="1:34">
      <c r="A829" s="2">
        <v>20260323</v>
      </c>
      <c r="B829" s="2" t="s">
        <v>1700</v>
      </c>
      <c r="C829" s="2" t="s">
        <v>1701</v>
      </c>
      <c r="D829" s="2">
        <v>5</v>
      </c>
      <c r="E829" s="2">
        <v>13</v>
      </c>
      <c r="F829" s="2">
        <v>18</v>
      </c>
      <c r="G829" s="2">
        <v>1</v>
      </c>
      <c r="H829" s="2">
        <v>5</v>
      </c>
      <c r="I829" s="3">
        <v>14</v>
      </c>
      <c r="J829" s="2">
        <v>8</v>
      </c>
      <c r="K829" s="2">
        <v>3</v>
      </c>
      <c r="L829" s="2">
        <v>1</v>
      </c>
      <c r="M829" s="2">
        <v>15</v>
      </c>
      <c r="N829" s="2">
        <v>28</v>
      </c>
      <c r="O829" s="2">
        <v>42</v>
      </c>
      <c r="P829" s="3">
        <v>28</v>
      </c>
      <c r="Q829" s="2">
        <v>10</v>
      </c>
      <c r="R829" s="2">
        <v>22</v>
      </c>
      <c r="S829" s="2">
        <v>0</v>
      </c>
      <c r="T829" s="2">
        <v>2</v>
      </c>
      <c r="U829" s="2">
        <v>1</v>
      </c>
      <c r="V829" s="2">
        <f t="shared" si="262"/>
        <v>70</v>
      </c>
      <c r="W829" s="2">
        <v>3</v>
      </c>
      <c r="X829" s="2">
        <v>4</v>
      </c>
      <c r="Y829" s="2">
        <v>0</v>
      </c>
      <c r="Z829" s="2">
        <f t="shared" si="263"/>
        <v>8</v>
      </c>
      <c r="AA829" s="2">
        <f t="shared" si="264"/>
        <v>78</v>
      </c>
      <c r="AB829" s="2">
        <v>2376</v>
      </c>
      <c r="AC829" s="20">
        <f t="shared" si="258"/>
        <v>3.28282828282828</v>
      </c>
      <c r="AD829" s="32" t="s">
        <v>106</v>
      </c>
      <c r="AE829" s="2">
        <v>188</v>
      </c>
      <c r="AF829" s="21">
        <f t="shared" si="259"/>
        <v>3.28282828282828</v>
      </c>
      <c r="AG829" s="4">
        <f t="shared" si="260"/>
        <v>2.94612794612795</v>
      </c>
      <c r="AH829" s="4">
        <f t="shared" si="261"/>
        <v>0.336700336700337</v>
      </c>
    </row>
    <row r="830" ht="15.75" spans="1:34">
      <c r="A830" s="2">
        <v>20260323</v>
      </c>
      <c r="B830" s="2" t="s">
        <v>1702</v>
      </c>
      <c r="C830" s="2" t="s">
        <v>1703</v>
      </c>
      <c r="D830" s="2">
        <v>4</v>
      </c>
      <c r="E830" s="2">
        <v>1</v>
      </c>
      <c r="F830" s="2">
        <v>21</v>
      </c>
      <c r="G830" s="2">
        <v>5</v>
      </c>
      <c r="H830" s="2">
        <v>4</v>
      </c>
      <c r="I830" s="3">
        <v>8</v>
      </c>
      <c r="J830" s="2">
        <v>10</v>
      </c>
      <c r="K830" s="2">
        <v>0</v>
      </c>
      <c r="L830" s="2">
        <v>0</v>
      </c>
      <c r="M830" s="2">
        <v>10</v>
      </c>
      <c r="N830" s="2">
        <v>19</v>
      </c>
      <c r="O830" s="3">
        <v>31</v>
      </c>
      <c r="P830" s="2">
        <v>17</v>
      </c>
      <c r="Q830" s="2">
        <v>11</v>
      </c>
      <c r="R830" s="2">
        <v>3</v>
      </c>
      <c r="S830" s="2">
        <v>2</v>
      </c>
      <c r="T830" s="2">
        <v>0</v>
      </c>
      <c r="U830" s="2">
        <v>0</v>
      </c>
      <c r="V830" s="2">
        <f t="shared" si="262"/>
        <v>49</v>
      </c>
      <c r="W830" s="2">
        <v>4</v>
      </c>
      <c r="X830" s="2">
        <v>1</v>
      </c>
      <c r="Y830" s="2">
        <v>0</v>
      </c>
      <c r="Z830" s="2">
        <f t="shared" si="263"/>
        <v>5</v>
      </c>
      <c r="AA830" s="2">
        <f t="shared" si="264"/>
        <v>54</v>
      </c>
      <c r="AB830" s="2">
        <v>2705</v>
      </c>
      <c r="AC830" s="20">
        <f t="shared" si="258"/>
        <v>1.99630314232902</v>
      </c>
      <c r="AD830" s="32" t="s">
        <v>106</v>
      </c>
      <c r="AE830" s="2">
        <v>188</v>
      </c>
      <c r="AF830" s="21">
        <f t="shared" si="259"/>
        <v>1.99630314232902</v>
      </c>
      <c r="AG830" s="4">
        <f t="shared" si="260"/>
        <v>1.81146025878004</v>
      </c>
      <c r="AH830" s="4">
        <f t="shared" si="261"/>
        <v>0.184842883548983</v>
      </c>
    </row>
    <row r="831" ht="15.75" spans="1:34">
      <c r="A831" s="2">
        <v>20260323</v>
      </c>
      <c r="B831" s="2" t="s">
        <v>1704</v>
      </c>
      <c r="C831" s="2" t="s">
        <v>1705</v>
      </c>
      <c r="D831" s="2">
        <v>2</v>
      </c>
      <c r="E831" s="2">
        <v>11</v>
      </c>
      <c r="F831" s="2">
        <v>34</v>
      </c>
      <c r="G831" s="2">
        <v>2</v>
      </c>
      <c r="H831" s="2">
        <v>5</v>
      </c>
      <c r="I831" s="3">
        <v>20</v>
      </c>
      <c r="J831" s="2">
        <v>7</v>
      </c>
      <c r="K831" s="2">
        <v>1</v>
      </c>
      <c r="L831" s="2">
        <v>0</v>
      </c>
      <c r="M831" s="2">
        <v>11</v>
      </c>
      <c r="N831" s="2">
        <v>11</v>
      </c>
      <c r="O831" s="2">
        <v>65</v>
      </c>
      <c r="P831" s="3">
        <v>15</v>
      </c>
      <c r="Q831" s="2">
        <v>6</v>
      </c>
      <c r="R831" s="2">
        <v>13</v>
      </c>
      <c r="S831" s="2">
        <v>2</v>
      </c>
      <c r="T831" s="2">
        <v>2</v>
      </c>
      <c r="U831" s="2">
        <v>0</v>
      </c>
      <c r="V831" s="2">
        <f t="shared" si="262"/>
        <v>46</v>
      </c>
      <c r="W831" s="2">
        <v>10</v>
      </c>
      <c r="X831" s="2">
        <v>7</v>
      </c>
      <c r="Y831" s="2">
        <v>0</v>
      </c>
      <c r="Z831" s="2">
        <f t="shared" si="263"/>
        <v>17</v>
      </c>
      <c r="AA831" s="2">
        <f t="shared" si="264"/>
        <v>63</v>
      </c>
      <c r="AB831" s="2">
        <v>2576</v>
      </c>
      <c r="AC831" s="20">
        <f t="shared" si="258"/>
        <v>2.44565217391304</v>
      </c>
      <c r="AD831" s="32" t="s">
        <v>106</v>
      </c>
      <c r="AE831" s="2">
        <v>188</v>
      </c>
      <c r="AF831" s="21">
        <f t="shared" si="259"/>
        <v>2.44565217391304</v>
      </c>
      <c r="AG831" s="4">
        <f t="shared" si="260"/>
        <v>1.78571428571429</v>
      </c>
      <c r="AH831" s="4">
        <f t="shared" si="261"/>
        <v>0.659937888198758</v>
      </c>
    </row>
    <row r="832" ht="15.75" spans="1:34">
      <c r="A832" s="2">
        <v>20260323</v>
      </c>
      <c r="B832" s="2" t="s">
        <v>1706</v>
      </c>
      <c r="C832" s="2" t="s">
        <v>1707</v>
      </c>
      <c r="D832" s="2">
        <v>4</v>
      </c>
      <c r="E832" s="2">
        <v>1</v>
      </c>
      <c r="F832" s="2">
        <v>14</v>
      </c>
      <c r="G832" s="2">
        <v>2</v>
      </c>
      <c r="H832" s="2">
        <v>5</v>
      </c>
      <c r="I832" s="3">
        <v>17</v>
      </c>
      <c r="J832" s="2">
        <v>5</v>
      </c>
      <c r="K832" s="2">
        <v>5</v>
      </c>
      <c r="L832" s="2">
        <v>1</v>
      </c>
      <c r="M832" s="2">
        <v>10</v>
      </c>
      <c r="N832" s="2">
        <v>33</v>
      </c>
      <c r="O832" s="2">
        <v>42</v>
      </c>
      <c r="P832" s="3">
        <v>8</v>
      </c>
      <c r="Q832" s="2">
        <v>12</v>
      </c>
      <c r="R832" s="2">
        <v>10</v>
      </c>
      <c r="S832" s="2">
        <v>2</v>
      </c>
      <c r="T832" s="2">
        <v>2</v>
      </c>
      <c r="U832" s="2">
        <v>0</v>
      </c>
      <c r="V832" s="2">
        <f t="shared" ref="V832:V838" si="265">AA832-Y832-X832-W832-U832</f>
        <v>46</v>
      </c>
      <c r="W832" s="2">
        <v>4</v>
      </c>
      <c r="X832" s="2">
        <v>5</v>
      </c>
      <c r="Y832" s="2">
        <v>0</v>
      </c>
      <c r="Z832" s="2">
        <f t="shared" ref="Z832:Z838" si="266">Y832+X832+W832+U832</f>
        <v>9</v>
      </c>
      <c r="AA832" s="2">
        <f t="shared" ref="AA832:AA838" si="267">G832+H832+I832+J832+K832+L832+M832+P832+T832+U832</f>
        <v>55</v>
      </c>
      <c r="AB832" s="2">
        <v>2225</v>
      </c>
      <c r="AC832" s="20">
        <f t="shared" si="258"/>
        <v>2.47191011235955</v>
      </c>
      <c r="AD832" s="32" t="s">
        <v>106</v>
      </c>
      <c r="AE832" s="2">
        <v>188</v>
      </c>
      <c r="AF832" s="21">
        <f t="shared" si="259"/>
        <v>2.47191011235955</v>
      </c>
      <c r="AG832" s="4">
        <f t="shared" si="260"/>
        <v>2.06741573033708</v>
      </c>
      <c r="AH832" s="4">
        <f t="shared" si="261"/>
        <v>0.404494382022472</v>
      </c>
    </row>
    <row r="833" ht="15.75" spans="1:34">
      <c r="A833" s="2">
        <v>20260323</v>
      </c>
      <c r="B833" s="2" t="s">
        <v>1708</v>
      </c>
      <c r="C833" s="2" t="s">
        <v>1709</v>
      </c>
      <c r="D833" s="2">
        <v>10</v>
      </c>
      <c r="E833" s="2">
        <v>45</v>
      </c>
      <c r="F833" s="2">
        <v>36</v>
      </c>
      <c r="G833" s="2">
        <v>4</v>
      </c>
      <c r="H833" s="2">
        <v>6</v>
      </c>
      <c r="I833" s="3">
        <v>23</v>
      </c>
      <c r="J833" s="2">
        <v>14</v>
      </c>
      <c r="K833" s="2">
        <v>6</v>
      </c>
      <c r="L833" s="2">
        <v>1</v>
      </c>
      <c r="M833" s="2">
        <v>17</v>
      </c>
      <c r="N833" s="2">
        <v>43</v>
      </c>
      <c r="O833" s="2">
        <v>31</v>
      </c>
      <c r="P833" s="3">
        <v>13</v>
      </c>
      <c r="Q833" s="2">
        <v>14</v>
      </c>
      <c r="R833" s="2">
        <v>49</v>
      </c>
      <c r="S833" s="2">
        <v>4</v>
      </c>
      <c r="T833" s="2">
        <v>3</v>
      </c>
      <c r="U833" s="2">
        <v>0</v>
      </c>
      <c r="V833" s="2">
        <f t="shared" si="265"/>
        <v>77</v>
      </c>
      <c r="W833" s="2">
        <v>4</v>
      </c>
      <c r="X833" s="2">
        <v>6</v>
      </c>
      <c r="Y833" s="2">
        <v>0</v>
      </c>
      <c r="Z833" s="2">
        <f t="shared" si="266"/>
        <v>10</v>
      </c>
      <c r="AA833" s="2">
        <f t="shared" si="267"/>
        <v>87</v>
      </c>
      <c r="AB833" s="2">
        <v>2705</v>
      </c>
      <c r="AC833" s="20">
        <f t="shared" si="258"/>
        <v>3.21626617375231</v>
      </c>
      <c r="AD833" s="32" t="s">
        <v>106</v>
      </c>
      <c r="AE833" s="2">
        <v>188</v>
      </c>
      <c r="AF833" s="21">
        <f t="shared" ref="AF833:AF838" si="268">188/AE833*AC833</f>
        <v>3.21626617375231</v>
      </c>
      <c r="AG833" s="4">
        <f t="shared" ref="AG833:AG838" si="269">V833/AB833*100</f>
        <v>2.84658040665434</v>
      </c>
      <c r="AH833" s="4">
        <f t="shared" ref="AH833:AH840" si="270">Z833/AB833*100</f>
        <v>0.369685767097967</v>
      </c>
    </row>
    <row r="834" ht="15.75" spans="1:34">
      <c r="A834" s="2">
        <v>20260323</v>
      </c>
      <c r="B834" s="2" t="s">
        <v>1710</v>
      </c>
      <c r="C834" s="2" t="s">
        <v>1711</v>
      </c>
      <c r="D834" s="2">
        <v>7</v>
      </c>
      <c r="E834" s="2">
        <v>13</v>
      </c>
      <c r="F834" s="2">
        <v>41</v>
      </c>
      <c r="G834" s="2">
        <v>3</v>
      </c>
      <c r="H834" s="2">
        <v>5</v>
      </c>
      <c r="I834" s="3">
        <v>14</v>
      </c>
      <c r="J834" s="2">
        <v>12</v>
      </c>
      <c r="K834" s="2">
        <v>5</v>
      </c>
      <c r="L834" s="2">
        <v>0</v>
      </c>
      <c r="M834" s="2">
        <v>19</v>
      </c>
      <c r="N834" s="2">
        <v>23</v>
      </c>
      <c r="O834" s="2">
        <v>61</v>
      </c>
      <c r="P834" s="3">
        <v>11</v>
      </c>
      <c r="Q834" s="2">
        <v>24</v>
      </c>
      <c r="R834" s="2">
        <v>16</v>
      </c>
      <c r="S834" s="2">
        <v>23</v>
      </c>
      <c r="T834" s="2">
        <v>0</v>
      </c>
      <c r="U834" s="2">
        <v>0</v>
      </c>
      <c r="V834" s="2">
        <f t="shared" si="265"/>
        <v>61</v>
      </c>
      <c r="W834" s="2">
        <v>6</v>
      </c>
      <c r="X834" s="2">
        <v>2</v>
      </c>
      <c r="Y834" s="2">
        <v>0</v>
      </c>
      <c r="Z834" s="2">
        <f t="shared" si="266"/>
        <v>8</v>
      </c>
      <c r="AA834" s="2">
        <f t="shared" si="267"/>
        <v>69</v>
      </c>
      <c r="AB834" s="2">
        <v>2416</v>
      </c>
      <c r="AC834" s="20">
        <f t="shared" si="258"/>
        <v>2.85596026490066</v>
      </c>
      <c r="AD834" s="32" t="s">
        <v>106</v>
      </c>
      <c r="AE834" s="2">
        <v>188</v>
      </c>
      <c r="AF834" s="21">
        <f t="shared" si="268"/>
        <v>2.85596026490066</v>
      </c>
      <c r="AG834" s="4">
        <f t="shared" si="269"/>
        <v>2.52483443708609</v>
      </c>
      <c r="AH834" s="4">
        <f t="shared" si="270"/>
        <v>0.33112582781457</v>
      </c>
    </row>
    <row r="835" ht="15.75" spans="1:34">
      <c r="A835" s="2">
        <v>20260323</v>
      </c>
      <c r="B835" s="2" t="s">
        <v>1712</v>
      </c>
      <c r="C835" s="2" t="s">
        <v>1713</v>
      </c>
      <c r="D835" s="2">
        <v>22</v>
      </c>
      <c r="E835" s="2">
        <v>538</v>
      </c>
      <c r="F835" s="2">
        <v>77</v>
      </c>
      <c r="G835" s="2">
        <v>6</v>
      </c>
      <c r="H835" s="2">
        <v>23</v>
      </c>
      <c r="I835" s="3">
        <v>34</v>
      </c>
      <c r="J835" s="2">
        <v>39</v>
      </c>
      <c r="K835" s="2">
        <v>7</v>
      </c>
      <c r="L835" s="2">
        <v>0</v>
      </c>
      <c r="M835" s="2">
        <v>8</v>
      </c>
      <c r="N835" s="2">
        <v>26</v>
      </c>
      <c r="O835" s="2">
        <v>116</v>
      </c>
      <c r="P835" s="3">
        <v>21</v>
      </c>
      <c r="Q835" s="2">
        <v>24</v>
      </c>
      <c r="R835" s="2">
        <v>12</v>
      </c>
      <c r="S835" s="2">
        <v>3</v>
      </c>
      <c r="T835" s="2">
        <v>26</v>
      </c>
      <c r="U835" s="2">
        <v>1</v>
      </c>
      <c r="V835" s="2">
        <f t="shared" si="265"/>
        <v>152</v>
      </c>
      <c r="W835" s="2">
        <v>4</v>
      </c>
      <c r="X835" s="2">
        <v>7</v>
      </c>
      <c r="Y835" s="2">
        <v>1</v>
      </c>
      <c r="Z835" s="2">
        <f t="shared" si="266"/>
        <v>13</v>
      </c>
      <c r="AA835" s="2">
        <f t="shared" si="267"/>
        <v>165</v>
      </c>
      <c r="AB835" s="2">
        <v>2346</v>
      </c>
      <c r="AC835" s="20">
        <f t="shared" si="258"/>
        <v>7.03324808184143</v>
      </c>
      <c r="AD835" s="32" t="s">
        <v>106</v>
      </c>
      <c r="AE835" s="2">
        <v>188</v>
      </c>
      <c r="AF835" s="21">
        <f t="shared" si="268"/>
        <v>7.03324808184143</v>
      </c>
      <c r="AG835" s="4">
        <f t="shared" si="269"/>
        <v>6.47911338448423</v>
      </c>
      <c r="AH835" s="4">
        <f t="shared" si="270"/>
        <v>0.554134697357204</v>
      </c>
    </row>
    <row r="836" ht="15.75" spans="1:34">
      <c r="A836" s="2">
        <v>20260323</v>
      </c>
      <c r="B836" s="2" t="s">
        <v>1714</v>
      </c>
      <c r="C836" s="2" t="s">
        <v>1715</v>
      </c>
      <c r="D836" s="2">
        <v>9</v>
      </c>
      <c r="E836" s="2">
        <v>1</v>
      </c>
      <c r="F836" s="2">
        <v>13</v>
      </c>
      <c r="G836" s="2">
        <v>1</v>
      </c>
      <c r="H836" s="2">
        <v>5</v>
      </c>
      <c r="I836" s="3">
        <v>10</v>
      </c>
      <c r="J836" s="2">
        <v>9</v>
      </c>
      <c r="K836" s="2">
        <v>5</v>
      </c>
      <c r="L836" s="2">
        <v>0</v>
      </c>
      <c r="M836" s="2">
        <v>8</v>
      </c>
      <c r="N836" s="2">
        <v>29</v>
      </c>
      <c r="O836" s="2">
        <v>36</v>
      </c>
      <c r="P836" s="3">
        <v>11</v>
      </c>
      <c r="Q836" s="2">
        <v>19</v>
      </c>
      <c r="R836" s="2">
        <v>18</v>
      </c>
      <c r="S836" s="2">
        <v>1</v>
      </c>
      <c r="T836" s="2">
        <v>4</v>
      </c>
      <c r="U836" s="2">
        <v>0</v>
      </c>
      <c r="V836" s="2">
        <f t="shared" si="265"/>
        <v>47</v>
      </c>
      <c r="W836" s="2">
        <v>5</v>
      </c>
      <c r="X836" s="2">
        <v>1</v>
      </c>
      <c r="Y836" s="2">
        <v>0</v>
      </c>
      <c r="Z836" s="2">
        <f t="shared" si="266"/>
        <v>6</v>
      </c>
      <c r="AA836" s="2">
        <f t="shared" si="267"/>
        <v>53</v>
      </c>
      <c r="AB836" s="2">
        <v>2225</v>
      </c>
      <c r="AC836" s="20">
        <f t="shared" si="258"/>
        <v>2.38202247191011</v>
      </c>
      <c r="AD836" s="32" t="s">
        <v>106</v>
      </c>
      <c r="AE836" s="2">
        <v>188</v>
      </c>
      <c r="AF836" s="21">
        <f t="shared" si="268"/>
        <v>2.38202247191011</v>
      </c>
      <c r="AG836" s="4">
        <f t="shared" si="269"/>
        <v>2.1123595505618</v>
      </c>
      <c r="AH836" s="4">
        <f t="shared" si="270"/>
        <v>0.269662921348315</v>
      </c>
    </row>
    <row r="837" ht="15.75" spans="1:34">
      <c r="A837" s="2">
        <v>20260323</v>
      </c>
      <c r="B837" s="2" t="s">
        <v>1716</v>
      </c>
      <c r="C837" s="2" t="s">
        <v>1717</v>
      </c>
      <c r="D837" s="2">
        <v>0</v>
      </c>
      <c r="E837" s="2">
        <v>7</v>
      </c>
      <c r="F837" s="2">
        <v>4</v>
      </c>
      <c r="G837" s="2">
        <v>3</v>
      </c>
      <c r="H837" s="2">
        <v>24</v>
      </c>
      <c r="I837" s="3">
        <v>23</v>
      </c>
      <c r="J837" s="2">
        <v>21</v>
      </c>
      <c r="K837" s="2">
        <v>2</v>
      </c>
      <c r="L837" s="2">
        <v>0</v>
      </c>
      <c r="M837" s="2">
        <v>4</v>
      </c>
      <c r="N837" s="2">
        <v>20</v>
      </c>
      <c r="O837" s="2">
        <v>1</v>
      </c>
      <c r="P837" s="3">
        <v>13</v>
      </c>
      <c r="Q837" s="2">
        <v>9</v>
      </c>
      <c r="R837" s="2">
        <v>437</v>
      </c>
      <c r="S837" s="2">
        <v>2</v>
      </c>
      <c r="T837" s="2">
        <v>20</v>
      </c>
      <c r="U837" s="2">
        <v>0</v>
      </c>
      <c r="V837" s="2">
        <f t="shared" si="265"/>
        <v>98</v>
      </c>
      <c r="W837" s="2">
        <v>3</v>
      </c>
      <c r="X837" s="2">
        <v>8</v>
      </c>
      <c r="Y837" s="2">
        <v>1</v>
      </c>
      <c r="Z837" s="2">
        <f t="shared" si="266"/>
        <v>12</v>
      </c>
      <c r="AA837" s="2">
        <f t="shared" si="267"/>
        <v>110</v>
      </c>
      <c r="AB837" s="2">
        <v>3121</v>
      </c>
      <c r="AC837" s="20">
        <f t="shared" si="258"/>
        <v>3.52451137455944</v>
      </c>
      <c r="AD837" s="32" t="s">
        <v>58</v>
      </c>
      <c r="AE837" s="2">
        <v>100</v>
      </c>
      <c r="AF837" s="21">
        <f t="shared" si="268"/>
        <v>6.62608138417174</v>
      </c>
      <c r="AG837" s="4">
        <f t="shared" si="269"/>
        <v>3.1400192246075</v>
      </c>
      <c r="AH837" s="4">
        <f t="shared" si="270"/>
        <v>0.384492149951938</v>
      </c>
    </row>
    <row r="838" ht="15.75" spans="1:34">
      <c r="A838" s="2">
        <v>20260323</v>
      </c>
      <c r="B838" s="2" t="s">
        <v>1718</v>
      </c>
      <c r="C838" s="2" t="s">
        <v>1719</v>
      </c>
      <c r="D838" s="2">
        <v>5</v>
      </c>
      <c r="E838" s="2">
        <v>50</v>
      </c>
      <c r="F838" s="2">
        <v>10</v>
      </c>
      <c r="G838" s="2">
        <v>10</v>
      </c>
      <c r="H838" s="2">
        <v>105</v>
      </c>
      <c r="I838" s="3">
        <v>34</v>
      </c>
      <c r="J838" s="2">
        <v>96</v>
      </c>
      <c r="K838" s="2">
        <v>7</v>
      </c>
      <c r="L838" s="2">
        <v>3</v>
      </c>
      <c r="M838" s="2">
        <v>11</v>
      </c>
      <c r="N838" s="2">
        <v>50</v>
      </c>
      <c r="O838" s="2">
        <v>2</v>
      </c>
      <c r="P838" s="3">
        <v>16</v>
      </c>
      <c r="Q838" s="2">
        <v>6</v>
      </c>
      <c r="R838" s="2">
        <v>934</v>
      </c>
      <c r="S838" s="2">
        <v>5</v>
      </c>
      <c r="T838" s="2">
        <v>40</v>
      </c>
      <c r="U838" s="2">
        <v>4</v>
      </c>
      <c r="V838" s="2">
        <f t="shared" si="265"/>
        <v>300</v>
      </c>
      <c r="W838" s="2">
        <v>2</v>
      </c>
      <c r="X838" s="2">
        <v>20</v>
      </c>
      <c r="Y838" s="2">
        <v>0</v>
      </c>
      <c r="Z838" s="2">
        <f t="shared" si="266"/>
        <v>26</v>
      </c>
      <c r="AA838" s="2">
        <f t="shared" si="267"/>
        <v>326</v>
      </c>
      <c r="AB838" s="2">
        <v>6176</v>
      </c>
      <c r="AC838" s="20">
        <f t="shared" ref="AC838:AC854" si="271">AA838/AB838*100</f>
        <v>5.27849740932642</v>
      </c>
      <c r="AD838" s="32" t="s">
        <v>58</v>
      </c>
      <c r="AE838" s="2">
        <v>100</v>
      </c>
      <c r="AF838" s="21">
        <f t="shared" ref="AF838:AF846" si="272">188/AE838*AC838</f>
        <v>9.92357512953368</v>
      </c>
      <c r="AG838" s="4">
        <f t="shared" ref="AG838:AG852" si="273">V838/AB838*100</f>
        <v>4.85751295336788</v>
      </c>
      <c r="AH838" s="4">
        <f t="shared" si="270"/>
        <v>0.420984455958549</v>
      </c>
    </row>
    <row r="839" ht="15.75" spans="1:34">
      <c r="A839" s="2">
        <v>20260323</v>
      </c>
      <c r="B839" s="2" t="s">
        <v>1720</v>
      </c>
      <c r="C839" s="2" t="s">
        <v>1721</v>
      </c>
      <c r="D839" s="2">
        <v>4</v>
      </c>
      <c r="E839" s="2">
        <v>7</v>
      </c>
      <c r="F839" s="2">
        <v>5</v>
      </c>
      <c r="G839" s="2">
        <v>7</v>
      </c>
      <c r="H839" s="2">
        <v>17</v>
      </c>
      <c r="I839" s="3">
        <v>8</v>
      </c>
      <c r="J839" s="2">
        <v>30</v>
      </c>
      <c r="K839" s="2">
        <v>14</v>
      </c>
      <c r="L839" s="2">
        <v>1</v>
      </c>
      <c r="M839" s="2">
        <v>4</v>
      </c>
      <c r="N839" s="2">
        <v>69</v>
      </c>
      <c r="O839" s="2">
        <v>6</v>
      </c>
      <c r="P839" s="3">
        <v>16</v>
      </c>
      <c r="Q839" s="2">
        <v>12</v>
      </c>
      <c r="R839" s="2">
        <v>471</v>
      </c>
      <c r="S839" s="2">
        <v>0</v>
      </c>
      <c r="T839" s="2">
        <v>12</v>
      </c>
      <c r="U839" s="2">
        <v>0</v>
      </c>
      <c r="V839" s="2">
        <f t="shared" ref="V839:V848" si="274">AA839-Y839-X839-W839-U839</f>
        <v>107</v>
      </c>
      <c r="W839" s="2">
        <v>0</v>
      </c>
      <c r="X839" s="2">
        <v>2</v>
      </c>
      <c r="Y839" s="2">
        <v>0</v>
      </c>
      <c r="Z839" s="2">
        <f t="shared" ref="Z839:Z849" si="275">Y839+X839+W839+U839</f>
        <v>2</v>
      </c>
      <c r="AA839" s="2">
        <f t="shared" ref="AA839:AA849" si="276">G839+H839+I839+J839+K839+L839+M839+P839+T839+U839</f>
        <v>109</v>
      </c>
      <c r="AB839" s="2">
        <v>3720</v>
      </c>
      <c r="AC839" s="20">
        <f t="shared" si="271"/>
        <v>2.93010752688172</v>
      </c>
      <c r="AD839" s="32" t="s">
        <v>58</v>
      </c>
      <c r="AE839" s="2">
        <v>100</v>
      </c>
      <c r="AF839" s="21">
        <f t="shared" si="272"/>
        <v>5.50860215053763</v>
      </c>
      <c r="AG839" s="4">
        <f t="shared" si="273"/>
        <v>2.87634408602151</v>
      </c>
      <c r="AH839" s="4">
        <f t="shared" ref="AH839:AH846" si="277">Z839/AB839*100</f>
        <v>0.0537634408602151</v>
      </c>
    </row>
    <row r="840" ht="15.75" spans="1:34">
      <c r="A840" s="2">
        <v>20260323</v>
      </c>
      <c r="B840" s="2" t="s">
        <v>1722</v>
      </c>
      <c r="C840" s="2" t="s">
        <v>1723</v>
      </c>
      <c r="D840" s="2">
        <v>5</v>
      </c>
      <c r="E840" s="2">
        <v>9</v>
      </c>
      <c r="F840" s="2">
        <v>10</v>
      </c>
      <c r="G840" s="2">
        <v>23</v>
      </c>
      <c r="H840" s="2">
        <v>38</v>
      </c>
      <c r="I840" s="3">
        <v>29</v>
      </c>
      <c r="J840" s="2">
        <v>24</v>
      </c>
      <c r="K840" s="2">
        <v>8</v>
      </c>
      <c r="L840" s="2">
        <v>1</v>
      </c>
      <c r="M840" s="2">
        <v>13</v>
      </c>
      <c r="N840" s="2">
        <v>52</v>
      </c>
      <c r="O840" s="2">
        <v>6</v>
      </c>
      <c r="P840" s="3">
        <v>16</v>
      </c>
      <c r="Q840" s="2">
        <v>6</v>
      </c>
      <c r="R840" s="2">
        <v>591</v>
      </c>
      <c r="S840" s="2">
        <v>2</v>
      </c>
      <c r="T840" s="2">
        <v>15</v>
      </c>
      <c r="U840" s="2">
        <v>0</v>
      </c>
      <c r="V840" s="2">
        <f t="shared" si="274"/>
        <v>147</v>
      </c>
      <c r="W840" s="2">
        <v>3</v>
      </c>
      <c r="X840" s="2">
        <v>17</v>
      </c>
      <c r="Y840" s="2">
        <v>0</v>
      </c>
      <c r="Z840" s="2">
        <f t="shared" si="275"/>
        <v>20</v>
      </c>
      <c r="AA840" s="2">
        <f t="shared" si="276"/>
        <v>167</v>
      </c>
      <c r="AB840" s="2">
        <v>6876</v>
      </c>
      <c r="AC840" s="20">
        <f t="shared" si="271"/>
        <v>2.42873763816172</v>
      </c>
      <c r="AD840" s="32" t="s">
        <v>58</v>
      </c>
      <c r="AE840" s="2">
        <v>100</v>
      </c>
      <c r="AF840" s="21">
        <f t="shared" si="272"/>
        <v>4.56602675974404</v>
      </c>
      <c r="AG840" s="4">
        <f t="shared" si="273"/>
        <v>2.13787085514834</v>
      </c>
      <c r="AH840" s="4">
        <f t="shared" si="277"/>
        <v>0.29086678301338</v>
      </c>
    </row>
    <row r="841" ht="31.5" spans="1:34">
      <c r="A841" s="2">
        <v>20260323</v>
      </c>
      <c r="B841" s="2" t="s">
        <v>1724</v>
      </c>
      <c r="C841" s="2" t="s">
        <v>1725</v>
      </c>
      <c r="D841" s="2">
        <v>5</v>
      </c>
      <c r="E841" s="2">
        <v>22</v>
      </c>
      <c r="F841" s="2">
        <v>12</v>
      </c>
      <c r="G841" s="2">
        <v>6</v>
      </c>
      <c r="H841" s="2">
        <v>19</v>
      </c>
      <c r="I841" s="3">
        <v>21</v>
      </c>
      <c r="J841" s="2">
        <v>5</v>
      </c>
      <c r="K841" s="2">
        <v>6</v>
      </c>
      <c r="L841" s="2">
        <v>3</v>
      </c>
      <c r="M841" s="2">
        <v>4</v>
      </c>
      <c r="N841" s="2">
        <v>65</v>
      </c>
      <c r="O841" s="2">
        <v>22</v>
      </c>
      <c r="P841" s="3">
        <v>17</v>
      </c>
      <c r="Q841" s="2">
        <v>19</v>
      </c>
      <c r="R841" s="2">
        <v>29</v>
      </c>
      <c r="S841" s="2">
        <v>6</v>
      </c>
      <c r="T841" s="2">
        <v>16</v>
      </c>
      <c r="U841" s="2">
        <v>3</v>
      </c>
      <c r="V841" s="2">
        <f t="shared" si="274"/>
        <v>97</v>
      </c>
      <c r="W841" s="2">
        <v>0</v>
      </c>
      <c r="X841" s="2">
        <v>0</v>
      </c>
      <c r="Y841" s="2">
        <v>0</v>
      </c>
      <c r="Z841" s="2">
        <f t="shared" si="275"/>
        <v>3</v>
      </c>
      <c r="AA841" s="2">
        <f t="shared" si="276"/>
        <v>100</v>
      </c>
      <c r="AB841" s="2">
        <v>4416</v>
      </c>
      <c r="AC841" s="20">
        <f t="shared" si="271"/>
        <v>2.26449275362319</v>
      </c>
      <c r="AD841" s="32" t="s">
        <v>49</v>
      </c>
      <c r="AE841" s="2">
        <v>100</v>
      </c>
      <c r="AF841" s="21">
        <f t="shared" si="272"/>
        <v>4.25724637681159</v>
      </c>
      <c r="AG841" s="4">
        <f t="shared" si="273"/>
        <v>2.19655797101449</v>
      </c>
      <c r="AH841" s="4">
        <f t="shared" si="277"/>
        <v>0.0679347826086956</v>
      </c>
    </row>
    <row r="842" ht="31.5" spans="1:34">
      <c r="A842" s="2">
        <v>20260323</v>
      </c>
      <c r="B842" s="2" t="s">
        <v>1726</v>
      </c>
      <c r="C842" s="2" t="s">
        <v>1727</v>
      </c>
      <c r="D842" s="2">
        <v>1</v>
      </c>
      <c r="E842" s="2">
        <v>2</v>
      </c>
      <c r="F842" s="2">
        <v>6</v>
      </c>
      <c r="G842" s="2">
        <v>7</v>
      </c>
      <c r="H842" s="2">
        <v>12</v>
      </c>
      <c r="I842" s="3">
        <v>27</v>
      </c>
      <c r="J842" s="2">
        <v>6</v>
      </c>
      <c r="K842" s="2">
        <v>3</v>
      </c>
      <c r="L842" s="2">
        <v>0</v>
      </c>
      <c r="M842" s="2">
        <v>7</v>
      </c>
      <c r="N842" s="2">
        <v>43</v>
      </c>
      <c r="O842" s="2">
        <v>5</v>
      </c>
      <c r="P842" s="3">
        <v>11</v>
      </c>
      <c r="Q842" s="2">
        <v>11</v>
      </c>
      <c r="R842" s="2">
        <v>9</v>
      </c>
      <c r="S842" s="2">
        <v>3</v>
      </c>
      <c r="T842" s="2">
        <v>20</v>
      </c>
      <c r="U842" s="2">
        <v>0</v>
      </c>
      <c r="V842" s="2">
        <f t="shared" si="274"/>
        <v>85</v>
      </c>
      <c r="W842" s="2">
        <v>0</v>
      </c>
      <c r="X842" s="2">
        <v>8</v>
      </c>
      <c r="Y842" s="2">
        <v>0</v>
      </c>
      <c r="Z842" s="2">
        <f t="shared" si="275"/>
        <v>8</v>
      </c>
      <c r="AA842" s="2">
        <f t="shared" si="276"/>
        <v>93</v>
      </c>
      <c r="AB842" s="2">
        <v>4118</v>
      </c>
      <c r="AC842" s="20">
        <f t="shared" si="271"/>
        <v>2.25837785332686</v>
      </c>
      <c r="AD842" s="32" t="s">
        <v>49</v>
      </c>
      <c r="AE842" s="2">
        <v>100</v>
      </c>
      <c r="AF842" s="21">
        <f t="shared" si="272"/>
        <v>4.24575036425449</v>
      </c>
      <c r="AG842" s="4">
        <f t="shared" si="273"/>
        <v>2.06410879067508</v>
      </c>
      <c r="AH842" s="4">
        <f t="shared" si="277"/>
        <v>0.194269062651773</v>
      </c>
    </row>
    <row r="843" ht="31.5" spans="1:34">
      <c r="A843" s="2">
        <v>20260323</v>
      </c>
      <c r="B843" s="2" t="s">
        <v>1728</v>
      </c>
      <c r="C843" s="2" t="s">
        <v>1729</v>
      </c>
      <c r="D843" s="2">
        <v>7</v>
      </c>
      <c r="E843" s="2">
        <v>281</v>
      </c>
      <c r="F843" s="2">
        <v>23</v>
      </c>
      <c r="G843" s="2">
        <v>7</v>
      </c>
      <c r="H843" s="2">
        <v>16</v>
      </c>
      <c r="I843" s="3">
        <v>27</v>
      </c>
      <c r="J843" s="2">
        <v>71</v>
      </c>
      <c r="K843" s="2">
        <v>1</v>
      </c>
      <c r="L843" s="2">
        <v>2</v>
      </c>
      <c r="M843" s="2">
        <v>3</v>
      </c>
      <c r="N843" s="2">
        <v>34</v>
      </c>
      <c r="O843" s="2">
        <v>43</v>
      </c>
      <c r="P843" s="3">
        <v>12</v>
      </c>
      <c r="Q843" s="2">
        <v>8</v>
      </c>
      <c r="R843" s="2">
        <v>49</v>
      </c>
      <c r="S843" s="2">
        <v>2</v>
      </c>
      <c r="T843" s="2">
        <v>18</v>
      </c>
      <c r="U843" s="2">
        <v>0</v>
      </c>
      <c r="V843" s="2">
        <f t="shared" si="274"/>
        <v>156</v>
      </c>
      <c r="W843" s="2">
        <v>0</v>
      </c>
      <c r="X843" s="2">
        <v>0</v>
      </c>
      <c r="Y843" s="2">
        <v>1</v>
      </c>
      <c r="Z843" s="2">
        <f t="shared" si="275"/>
        <v>1</v>
      </c>
      <c r="AA843" s="2">
        <f t="shared" si="276"/>
        <v>157</v>
      </c>
      <c r="AB843" s="2">
        <v>4466</v>
      </c>
      <c r="AC843" s="20">
        <f t="shared" si="271"/>
        <v>3.5154500671742</v>
      </c>
      <c r="AD843" s="32" t="s">
        <v>49</v>
      </c>
      <c r="AE843" s="2">
        <v>100</v>
      </c>
      <c r="AF843" s="21">
        <f t="shared" si="272"/>
        <v>6.60904612628751</v>
      </c>
      <c r="AG843" s="4">
        <f t="shared" si="273"/>
        <v>3.49305866547246</v>
      </c>
      <c r="AH843" s="4">
        <f t="shared" si="277"/>
        <v>0.0223914017017465</v>
      </c>
    </row>
    <row r="844" ht="15.75" spans="1:34">
      <c r="A844" s="2">
        <v>20260323</v>
      </c>
      <c r="B844" s="2" t="s">
        <v>1730</v>
      </c>
      <c r="C844" s="2" t="s">
        <v>1731</v>
      </c>
      <c r="D844" s="2">
        <v>1</v>
      </c>
      <c r="E844" s="2">
        <v>28</v>
      </c>
      <c r="F844" s="2">
        <v>7</v>
      </c>
      <c r="G844" s="2">
        <v>4</v>
      </c>
      <c r="H844" s="2">
        <v>25</v>
      </c>
      <c r="I844" s="3">
        <v>23</v>
      </c>
      <c r="J844" s="2">
        <v>21</v>
      </c>
      <c r="K844" s="2">
        <v>6</v>
      </c>
      <c r="L844" s="2">
        <v>0</v>
      </c>
      <c r="M844" s="2">
        <v>8</v>
      </c>
      <c r="N844" s="2">
        <v>25</v>
      </c>
      <c r="O844" s="2">
        <v>42</v>
      </c>
      <c r="P844" s="3">
        <v>12</v>
      </c>
      <c r="Q844" s="2">
        <v>8</v>
      </c>
      <c r="R844" s="2">
        <v>1254</v>
      </c>
      <c r="S844" s="2">
        <v>2</v>
      </c>
      <c r="T844" s="2">
        <v>22</v>
      </c>
      <c r="U844" s="2">
        <v>2</v>
      </c>
      <c r="V844" s="2">
        <f t="shared" si="274"/>
        <v>116</v>
      </c>
      <c r="W844" s="2">
        <v>5</v>
      </c>
      <c r="X844" s="2">
        <v>0</v>
      </c>
      <c r="Y844" s="2">
        <v>0</v>
      </c>
      <c r="Z844" s="2">
        <f t="shared" si="275"/>
        <v>7</v>
      </c>
      <c r="AA844" s="2">
        <f t="shared" si="276"/>
        <v>123</v>
      </c>
      <c r="AB844" s="2">
        <v>3320</v>
      </c>
      <c r="AC844" s="20">
        <f t="shared" si="271"/>
        <v>3.70481927710843</v>
      </c>
      <c r="AD844" s="32" t="s">
        <v>58</v>
      </c>
      <c r="AE844" s="2">
        <v>100</v>
      </c>
      <c r="AF844" s="21">
        <f t="shared" si="272"/>
        <v>6.96506024096385</v>
      </c>
      <c r="AG844" s="4">
        <f t="shared" si="273"/>
        <v>3.49397590361446</v>
      </c>
      <c r="AH844" s="4">
        <f t="shared" si="277"/>
        <v>0.210843373493976</v>
      </c>
    </row>
    <row r="845" ht="15.75" spans="1:34">
      <c r="A845" s="2">
        <v>20260324</v>
      </c>
      <c r="B845" s="2" t="s">
        <v>1732</v>
      </c>
      <c r="C845" s="2" t="s">
        <v>1733</v>
      </c>
      <c r="D845" s="2">
        <v>0</v>
      </c>
      <c r="E845" s="2">
        <v>6</v>
      </c>
      <c r="F845" s="2">
        <v>5</v>
      </c>
      <c r="G845" s="2">
        <v>5</v>
      </c>
      <c r="H845" s="2">
        <v>7</v>
      </c>
      <c r="I845" s="3">
        <v>27</v>
      </c>
      <c r="J845" s="2">
        <v>3</v>
      </c>
      <c r="K845" s="2">
        <v>5</v>
      </c>
      <c r="L845" s="2">
        <v>2</v>
      </c>
      <c r="M845" s="2">
        <v>7</v>
      </c>
      <c r="N845" s="2">
        <v>33</v>
      </c>
      <c r="O845" s="2">
        <v>0</v>
      </c>
      <c r="P845" s="3">
        <v>7</v>
      </c>
      <c r="Q845" s="2">
        <v>1</v>
      </c>
      <c r="R845" s="2">
        <v>154</v>
      </c>
      <c r="S845" s="2">
        <v>3</v>
      </c>
      <c r="T845" s="2">
        <v>7</v>
      </c>
      <c r="U845" s="2">
        <v>1</v>
      </c>
      <c r="V845" s="2">
        <f t="shared" si="274"/>
        <v>67</v>
      </c>
      <c r="W845" s="2">
        <v>0</v>
      </c>
      <c r="X845" s="2">
        <v>3</v>
      </c>
      <c r="Y845" s="2">
        <v>0</v>
      </c>
      <c r="Z845" s="2">
        <f t="shared" si="275"/>
        <v>4</v>
      </c>
      <c r="AA845" s="2">
        <f t="shared" si="276"/>
        <v>71</v>
      </c>
      <c r="AB845" s="2">
        <v>3120</v>
      </c>
      <c r="AC845" s="20">
        <f t="shared" si="271"/>
        <v>2.27564102564103</v>
      </c>
      <c r="AD845" s="32" t="s">
        <v>58</v>
      </c>
      <c r="AE845" s="2">
        <v>100</v>
      </c>
      <c r="AF845" s="21">
        <f t="shared" si="272"/>
        <v>4.27820512820513</v>
      </c>
      <c r="AG845" s="4">
        <f t="shared" si="273"/>
        <v>2.1474358974359</v>
      </c>
      <c r="AH845" s="4">
        <f t="shared" si="277"/>
        <v>0.128205128205128</v>
      </c>
    </row>
    <row r="846" ht="15.75" spans="1:34">
      <c r="A846" s="2">
        <v>20260324</v>
      </c>
      <c r="B846" s="2" t="s">
        <v>1734</v>
      </c>
      <c r="C846" s="2" t="s">
        <v>1735</v>
      </c>
      <c r="D846" s="2">
        <v>2</v>
      </c>
      <c r="E846" s="2">
        <v>9</v>
      </c>
      <c r="F846" s="2">
        <v>4</v>
      </c>
      <c r="G846" s="2">
        <v>11</v>
      </c>
      <c r="H846" s="2">
        <v>27</v>
      </c>
      <c r="I846" s="3">
        <v>18</v>
      </c>
      <c r="J846" s="2">
        <v>17</v>
      </c>
      <c r="K846" s="2">
        <v>9</v>
      </c>
      <c r="L846" s="2">
        <v>5</v>
      </c>
      <c r="M846" s="2">
        <v>9</v>
      </c>
      <c r="N846" s="2">
        <v>41</v>
      </c>
      <c r="O846" s="2">
        <v>2</v>
      </c>
      <c r="P846" s="3">
        <v>13</v>
      </c>
      <c r="Q846" s="2">
        <v>6</v>
      </c>
      <c r="R846" s="2">
        <v>273</v>
      </c>
      <c r="S846" s="2">
        <v>5</v>
      </c>
      <c r="T846" s="2">
        <v>24</v>
      </c>
      <c r="U846" s="2">
        <v>0</v>
      </c>
      <c r="V846" s="2">
        <f t="shared" si="274"/>
        <v>130</v>
      </c>
      <c r="W846" s="2">
        <v>0</v>
      </c>
      <c r="X846" s="2">
        <v>0</v>
      </c>
      <c r="Y846" s="2">
        <v>3</v>
      </c>
      <c r="Z846" s="2">
        <f t="shared" si="275"/>
        <v>3</v>
      </c>
      <c r="AA846" s="2">
        <f t="shared" si="276"/>
        <v>133</v>
      </c>
      <c r="AB846" s="2">
        <v>6167</v>
      </c>
      <c r="AC846" s="20">
        <f t="shared" si="271"/>
        <v>2.1566401816118</v>
      </c>
      <c r="AD846" s="32" t="s">
        <v>58</v>
      </c>
      <c r="AE846" s="2">
        <v>100</v>
      </c>
      <c r="AF846" s="21">
        <f t="shared" si="272"/>
        <v>4.05448354143019</v>
      </c>
      <c r="AG846" s="4">
        <f t="shared" si="273"/>
        <v>2.1079941624777</v>
      </c>
      <c r="AH846" s="4">
        <f t="shared" ref="AH846:AH857" si="278">Z846/AB846*100</f>
        <v>0.0486460191341009</v>
      </c>
    </row>
    <row r="847" ht="31.5" spans="1:34">
      <c r="A847" s="2">
        <v>20260324</v>
      </c>
      <c r="B847" s="2" t="s">
        <v>1736</v>
      </c>
      <c r="C847" s="2" t="s">
        <v>1737</v>
      </c>
      <c r="D847" s="2">
        <v>1</v>
      </c>
      <c r="E847" s="2">
        <v>5</v>
      </c>
      <c r="F847" s="2">
        <v>17</v>
      </c>
      <c r="G847" s="2">
        <v>15</v>
      </c>
      <c r="H847" s="2">
        <v>25</v>
      </c>
      <c r="I847" s="3">
        <v>16</v>
      </c>
      <c r="J847" s="2">
        <v>7</v>
      </c>
      <c r="K847" s="2">
        <v>4</v>
      </c>
      <c r="L847" s="2">
        <v>1</v>
      </c>
      <c r="M847" s="2">
        <v>3</v>
      </c>
      <c r="N847" s="2">
        <v>39</v>
      </c>
      <c r="O847" s="2">
        <v>42</v>
      </c>
      <c r="P847" s="3">
        <v>12</v>
      </c>
      <c r="Q847" s="2">
        <v>7</v>
      </c>
      <c r="R847" s="2">
        <v>4</v>
      </c>
      <c r="S847" s="2">
        <v>5</v>
      </c>
      <c r="T847" s="2">
        <v>21</v>
      </c>
      <c r="U847" s="2">
        <v>2</v>
      </c>
      <c r="V847" s="2">
        <f t="shared" si="274"/>
        <v>104</v>
      </c>
      <c r="W847" s="2">
        <v>0</v>
      </c>
      <c r="X847" s="2">
        <v>0</v>
      </c>
      <c r="Y847" s="2">
        <v>0</v>
      </c>
      <c r="Z847" s="2">
        <f t="shared" si="275"/>
        <v>2</v>
      </c>
      <c r="AA847" s="2">
        <f t="shared" si="276"/>
        <v>106</v>
      </c>
      <c r="AB847" s="2">
        <v>4495</v>
      </c>
      <c r="AC847" s="20">
        <f t="shared" si="271"/>
        <v>2.35817575083426</v>
      </c>
      <c r="AD847" s="32" t="s">
        <v>49</v>
      </c>
      <c r="AE847" s="2">
        <v>100</v>
      </c>
      <c r="AF847" s="21">
        <f t="shared" ref="AF847:AF860" si="279">188/AE847*AC847</f>
        <v>4.43337041156841</v>
      </c>
      <c r="AG847" s="4">
        <f t="shared" si="273"/>
        <v>2.31368186874305</v>
      </c>
      <c r="AH847" s="4">
        <f t="shared" si="278"/>
        <v>0.0444938820912125</v>
      </c>
    </row>
    <row r="848" ht="31.5" spans="1:34">
      <c r="A848" s="2">
        <v>20260324</v>
      </c>
      <c r="B848" s="2" t="s">
        <v>1738</v>
      </c>
      <c r="C848" s="2" t="s">
        <v>1739</v>
      </c>
      <c r="D848" s="2">
        <v>0</v>
      </c>
      <c r="E848" s="2">
        <v>4</v>
      </c>
      <c r="F848" s="2">
        <v>4</v>
      </c>
      <c r="G848" s="2">
        <v>13</v>
      </c>
      <c r="H848" s="2">
        <v>10</v>
      </c>
      <c r="I848" s="3">
        <v>19</v>
      </c>
      <c r="J848" s="2">
        <v>18</v>
      </c>
      <c r="K848" s="2">
        <v>6</v>
      </c>
      <c r="L848" s="2">
        <v>0</v>
      </c>
      <c r="M848" s="2">
        <v>14</v>
      </c>
      <c r="N848" s="2">
        <v>19</v>
      </c>
      <c r="O848" s="2">
        <v>4</v>
      </c>
      <c r="P848" s="3">
        <v>13</v>
      </c>
      <c r="Q848" s="2">
        <v>12</v>
      </c>
      <c r="R848" s="2">
        <v>32</v>
      </c>
      <c r="S848" s="2">
        <v>2</v>
      </c>
      <c r="T848" s="2">
        <v>15</v>
      </c>
      <c r="U848" s="2">
        <v>0</v>
      </c>
      <c r="V848" s="2">
        <f t="shared" si="274"/>
        <v>108</v>
      </c>
      <c r="W848" s="2">
        <v>0</v>
      </c>
      <c r="X848" s="2">
        <v>0</v>
      </c>
      <c r="Y848" s="2">
        <v>0</v>
      </c>
      <c r="Z848" s="2">
        <f t="shared" si="275"/>
        <v>0</v>
      </c>
      <c r="AA848" s="2">
        <f t="shared" si="276"/>
        <v>108</v>
      </c>
      <c r="AB848" s="2">
        <v>3702</v>
      </c>
      <c r="AC848" s="20">
        <f t="shared" si="271"/>
        <v>2.91734197730956</v>
      </c>
      <c r="AD848" s="32" t="s">
        <v>49</v>
      </c>
      <c r="AE848" s="2">
        <v>125</v>
      </c>
      <c r="AF848" s="21">
        <f t="shared" si="279"/>
        <v>4.38768233387358</v>
      </c>
      <c r="AG848" s="4">
        <f t="shared" si="273"/>
        <v>2.91734197730956</v>
      </c>
      <c r="AH848" s="4">
        <f t="shared" si="278"/>
        <v>0</v>
      </c>
    </row>
    <row r="849" ht="31.5" spans="1:34">
      <c r="A849" s="2">
        <v>20260324</v>
      </c>
      <c r="B849" s="2" t="s">
        <v>1740</v>
      </c>
      <c r="C849" s="2" t="s">
        <v>1741</v>
      </c>
      <c r="D849" s="2">
        <v>3</v>
      </c>
      <c r="E849" s="2">
        <v>7</v>
      </c>
      <c r="F849" s="2">
        <v>8</v>
      </c>
      <c r="G849" s="2">
        <v>11</v>
      </c>
      <c r="H849" s="2">
        <v>8</v>
      </c>
      <c r="I849" s="3">
        <v>23</v>
      </c>
      <c r="J849" s="2">
        <v>14</v>
      </c>
      <c r="K849" s="2">
        <v>0</v>
      </c>
      <c r="L849" s="2">
        <v>0</v>
      </c>
      <c r="M849" s="2">
        <v>5</v>
      </c>
      <c r="N849" s="2">
        <v>19</v>
      </c>
      <c r="O849" s="2">
        <v>7</v>
      </c>
      <c r="P849" s="3">
        <v>13</v>
      </c>
      <c r="Q849" s="2">
        <v>3</v>
      </c>
      <c r="R849" s="2">
        <v>17</v>
      </c>
      <c r="S849" s="2">
        <v>1</v>
      </c>
      <c r="T849" s="2">
        <v>11</v>
      </c>
      <c r="U849" s="2">
        <v>0</v>
      </c>
      <c r="V849" s="2">
        <f t="shared" ref="V849:V856" si="280">AA849-Y849-X849-W849-U849</f>
        <v>84</v>
      </c>
      <c r="W849" s="2">
        <v>0</v>
      </c>
      <c r="X849" s="2">
        <v>1</v>
      </c>
      <c r="Y849" s="2">
        <v>0</v>
      </c>
      <c r="Z849" s="2">
        <f t="shared" si="275"/>
        <v>1</v>
      </c>
      <c r="AA849" s="2">
        <f t="shared" si="276"/>
        <v>85</v>
      </c>
      <c r="AB849" s="2">
        <v>3204</v>
      </c>
      <c r="AC849" s="20">
        <f t="shared" si="271"/>
        <v>2.65293383270911</v>
      </c>
      <c r="AD849" s="32" t="s">
        <v>49</v>
      </c>
      <c r="AE849" s="2">
        <v>125</v>
      </c>
      <c r="AF849" s="21">
        <f t="shared" si="279"/>
        <v>3.99001248439451</v>
      </c>
      <c r="AG849" s="4">
        <f t="shared" si="273"/>
        <v>2.62172284644195</v>
      </c>
      <c r="AH849" s="4">
        <f t="shared" si="278"/>
        <v>0.031210986267166</v>
      </c>
    </row>
    <row r="850" ht="31.5" spans="1:34">
      <c r="A850" s="2">
        <v>20260324</v>
      </c>
      <c r="B850" s="2" t="s">
        <v>1742</v>
      </c>
      <c r="C850" s="2" t="s">
        <v>1743</v>
      </c>
      <c r="D850" s="2">
        <v>0</v>
      </c>
      <c r="E850" s="2">
        <v>3</v>
      </c>
      <c r="F850" s="2">
        <v>4</v>
      </c>
      <c r="G850" s="2">
        <v>3</v>
      </c>
      <c r="H850" s="2">
        <v>8</v>
      </c>
      <c r="I850" s="3">
        <v>26</v>
      </c>
      <c r="J850" s="2">
        <v>5</v>
      </c>
      <c r="K850" s="2">
        <v>8</v>
      </c>
      <c r="L850" s="2">
        <v>0</v>
      </c>
      <c r="M850" s="2">
        <v>7</v>
      </c>
      <c r="N850" s="2">
        <v>15</v>
      </c>
      <c r="O850" s="2">
        <v>4</v>
      </c>
      <c r="P850" s="3">
        <v>9</v>
      </c>
      <c r="Q850" s="2">
        <v>7</v>
      </c>
      <c r="R850" s="2">
        <v>8</v>
      </c>
      <c r="S850" s="2">
        <v>3</v>
      </c>
      <c r="T850" s="2">
        <v>6</v>
      </c>
      <c r="U850" s="2">
        <v>0</v>
      </c>
      <c r="V850" s="2">
        <f t="shared" si="280"/>
        <v>72</v>
      </c>
      <c r="W850" s="2">
        <v>0</v>
      </c>
      <c r="X850" s="2">
        <v>0</v>
      </c>
      <c r="Y850" s="2">
        <v>0</v>
      </c>
      <c r="Z850" s="2">
        <f t="shared" ref="Z850:Z856" si="281">Y850+X850+W850+U850</f>
        <v>0</v>
      </c>
      <c r="AA850" s="2">
        <f t="shared" ref="AA850:AA858" si="282">G850+H850+I850+J850+K850+L850+M850+P850+T850+U850</f>
        <v>72</v>
      </c>
      <c r="AB850" s="2">
        <v>3204</v>
      </c>
      <c r="AC850" s="20">
        <f t="shared" si="271"/>
        <v>2.24719101123596</v>
      </c>
      <c r="AD850" s="32" t="s">
        <v>49</v>
      </c>
      <c r="AE850" s="2">
        <v>125</v>
      </c>
      <c r="AF850" s="21">
        <f t="shared" si="279"/>
        <v>3.37977528089888</v>
      </c>
      <c r="AG850" s="4">
        <f t="shared" si="273"/>
        <v>2.24719101123596</v>
      </c>
      <c r="AH850" s="4">
        <f t="shared" si="278"/>
        <v>0</v>
      </c>
    </row>
    <row r="851" ht="31.5" spans="1:34">
      <c r="A851" s="2">
        <v>20260324</v>
      </c>
      <c r="B851" s="2" t="s">
        <v>1744</v>
      </c>
      <c r="C851" s="2" t="s">
        <v>1745</v>
      </c>
      <c r="D851" s="2">
        <v>3</v>
      </c>
      <c r="E851" s="2">
        <v>2</v>
      </c>
      <c r="F851" s="2">
        <v>6</v>
      </c>
      <c r="G851" s="2">
        <v>25</v>
      </c>
      <c r="H851" s="2">
        <v>31</v>
      </c>
      <c r="I851" s="3">
        <v>30</v>
      </c>
      <c r="J851" s="2">
        <v>45</v>
      </c>
      <c r="K851" s="2">
        <v>3</v>
      </c>
      <c r="L851" s="2">
        <v>0</v>
      </c>
      <c r="M851" s="2">
        <v>31</v>
      </c>
      <c r="N851" s="2">
        <v>44</v>
      </c>
      <c r="O851" s="2">
        <v>3</v>
      </c>
      <c r="P851" s="3">
        <v>23</v>
      </c>
      <c r="Q851" s="2">
        <v>7</v>
      </c>
      <c r="R851" s="2">
        <v>10</v>
      </c>
      <c r="S851" s="2">
        <v>1</v>
      </c>
      <c r="T851" s="2">
        <v>19</v>
      </c>
      <c r="U851" s="2">
        <v>0</v>
      </c>
      <c r="V851" s="2">
        <f t="shared" si="280"/>
        <v>207</v>
      </c>
      <c r="W851" s="2">
        <v>0</v>
      </c>
      <c r="X851" s="2">
        <v>0</v>
      </c>
      <c r="Y851" s="2">
        <v>0</v>
      </c>
      <c r="Z851" s="2">
        <f t="shared" si="281"/>
        <v>0</v>
      </c>
      <c r="AA851" s="2">
        <f t="shared" si="282"/>
        <v>207</v>
      </c>
      <c r="AB851" s="2">
        <v>3204</v>
      </c>
      <c r="AC851" s="20">
        <f t="shared" si="271"/>
        <v>6.46067415730337</v>
      </c>
      <c r="AD851" s="32" t="s">
        <v>49</v>
      </c>
      <c r="AE851" s="2">
        <v>125</v>
      </c>
      <c r="AF851" s="21">
        <f t="shared" si="279"/>
        <v>9.71685393258427</v>
      </c>
      <c r="AG851" s="4">
        <f t="shared" si="273"/>
        <v>6.46067415730337</v>
      </c>
      <c r="AH851" s="4">
        <f t="shared" si="278"/>
        <v>0</v>
      </c>
    </row>
    <row r="852" ht="31.5" spans="1:34">
      <c r="A852" s="2">
        <v>20260324</v>
      </c>
      <c r="B852" s="2" t="s">
        <v>1746</v>
      </c>
      <c r="C852" s="2" t="s">
        <v>1747</v>
      </c>
      <c r="D852" s="2">
        <v>0</v>
      </c>
      <c r="E852" s="2">
        <v>5</v>
      </c>
      <c r="F852" s="2">
        <v>4</v>
      </c>
      <c r="G852" s="2">
        <v>6</v>
      </c>
      <c r="H852" s="2">
        <v>13</v>
      </c>
      <c r="I852" s="3">
        <v>21</v>
      </c>
      <c r="J852" s="2">
        <v>13</v>
      </c>
      <c r="K852" s="2">
        <v>3</v>
      </c>
      <c r="L852" s="2">
        <v>5</v>
      </c>
      <c r="M852" s="2">
        <v>26</v>
      </c>
      <c r="N852" s="2">
        <v>21</v>
      </c>
      <c r="O852" s="2">
        <v>6</v>
      </c>
      <c r="P852" s="3">
        <v>14</v>
      </c>
      <c r="Q852" s="2">
        <v>12</v>
      </c>
      <c r="R852" s="2">
        <v>12</v>
      </c>
      <c r="S852" s="2">
        <v>3</v>
      </c>
      <c r="T852" s="2">
        <v>4</v>
      </c>
      <c r="U852" s="2">
        <v>4</v>
      </c>
      <c r="V852" s="2">
        <f t="shared" si="280"/>
        <v>97</v>
      </c>
      <c r="W852" s="2">
        <v>8</v>
      </c>
      <c r="X852" s="2">
        <v>0</v>
      </c>
      <c r="Y852" s="2">
        <v>0</v>
      </c>
      <c r="Z852" s="2">
        <f t="shared" si="281"/>
        <v>12</v>
      </c>
      <c r="AA852" s="2">
        <f t="shared" si="282"/>
        <v>109</v>
      </c>
      <c r="AB852" s="2">
        <v>3204</v>
      </c>
      <c r="AC852" s="20">
        <f t="shared" si="271"/>
        <v>3.4019975031211</v>
      </c>
      <c r="AD852" s="32" t="s">
        <v>49</v>
      </c>
      <c r="AE852" s="2">
        <v>125</v>
      </c>
      <c r="AF852" s="21">
        <f t="shared" si="279"/>
        <v>5.11660424469413</v>
      </c>
      <c r="AG852" s="4">
        <f t="shared" si="273"/>
        <v>3.02746566791511</v>
      </c>
      <c r="AH852" s="4">
        <f t="shared" si="278"/>
        <v>0.374531835205993</v>
      </c>
    </row>
    <row r="853" ht="31.5" spans="1:34">
      <c r="A853" s="2">
        <v>20260324</v>
      </c>
      <c r="B853" s="2" t="s">
        <v>1748</v>
      </c>
      <c r="C853" s="2" t="s">
        <v>1749</v>
      </c>
      <c r="D853" s="2">
        <v>0</v>
      </c>
      <c r="E853" s="2">
        <v>3</v>
      </c>
      <c r="F853" s="2">
        <v>8</v>
      </c>
      <c r="G853" s="2">
        <v>7</v>
      </c>
      <c r="H853" s="2">
        <v>10</v>
      </c>
      <c r="I853" s="3">
        <v>20</v>
      </c>
      <c r="J853" s="2">
        <v>10</v>
      </c>
      <c r="K853" s="2">
        <v>13</v>
      </c>
      <c r="L853" s="2">
        <v>1</v>
      </c>
      <c r="M853" s="2">
        <v>14</v>
      </c>
      <c r="N853" s="2">
        <v>32</v>
      </c>
      <c r="O853" s="2">
        <v>10</v>
      </c>
      <c r="P853" s="3">
        <v>8</v>
      </c>
      <c r="Q853" s="2">
        <v>11</v>
      </c>
      <c r="R853" s="2">
        <v>14</v>
      </c>
      <c r="S853" s="2">
        <v>4</v>
      </c>
      <c r="T853" s="2">
        <v>7</v>
      </c>
      <c r="U853" s="2">
        <v>2</v>
      </c>
      <c r="V853" s="2">
        <f t="shared" si="280"/>
        <v>86</v>
      </c>
      <c r="W853" s="2">
        <v>2</v>
      </c>
      <c r="X853" s="2">
        <v>2</v>
      </c>
      <c r="Y853" s="2">
        <v>0</v>
      </c>
      <c r="Z853" s="2">
        <f t="shared" si="281"/>
        <v>6</v>
      </c>
      <c r="AA853" s="2">
        <f t="shared" si="282"/>
        <v>92</v>
      </c>
      <c r="AB853" s="2">
        <v>3424</v>
      </c>
      <c r="AC853" s="20">
        <f t="shared" si="271"/>
        <v>2.68691588785047</v>
      </c>
      <c r="AD853" s="32" t="s">
        <v>49</v>
      </c>
      <c r="AE853" s="2">
        <v>125</v>
      </c>
      <c r="AF853" s="21">
        <f t="shared" si="279"/>
        <v>4.0411214953271</v>
      </c>
      <c r="AG853" s="4">
        <f t="shared" ref="AG853:AG868" si="283">V853/AB853*100</f>
        <v>2.51168224299065</v>
      </c>
      <c r="AH853" s="4">
        <f t="shared" si="278"/>
        <v>0.175233644859813</v>
      </c>
    </row>
    <row r="854" ht="31.5" spans="1:34">
      <c r="A854" s="2">
        <v>20260324</v>
      </c>
      <c r="B854" s="2" t="s">
        <v>1750</v>
      </c>
      <c r="C854" s="2" t="s">
        <v>1751</v>
      </c>
      <c r="D854" s="2">
        <v>3</v>
      </c>
      <c r="E854" s="2">
        <v>4</v>
      </c>
      <c r="F854" s="2">
        <v>6</v>
      </c>
      <c r="G854" s="2">
        <v>12</v>
      </c>
      <c r="H854" s="2">
        <v>14</v>
      </c>
      <c r="I854" s="3">
        <v>32</v>
      </c>
      <c r="J854" s="2">
        <v>23</v>
      </c>
      <c r="K854" s="2">
        <v>5</v>
      </c>
      <c r="L854" s="2">
        <v>2</v>
      </c>
      <c r="M854" s="2">
        <v>13</v>
      </c>
      <c r="N854" s="2">
        <v>18</v>
      </c>
      <c r="O854" s="2">
        <v>6</v>
      </c>
      <c r="P854" s="3">
        <v>18</v>
      </c>
      <c r="Q854" s="2">
        <v>7</v>
      </c>
      <c r="R854" s="2">
        <v>14</v>
      </c>
      <c r="S854" s="2">
        <v>4</v>
      </c>
      <c r="T854" s="2">
        <v>12</v>
      </c>
      <c r="U854" s="2">
        <v>2</v>
      </c>
      <c r="V854" s="2">
        <f t="shared" si="280"/>
        <v>124</v>
      </c>
      <c r="W854" s="2">
        <v>0</v>
      </c>
      <c r="X854" s="2">
        <v>7</v>
      </c>
      <c r="Y854" s="2">
        <v>0</v>
      </c>
      <c r="Z854" s="2">
        <f t="shared" si="281"/>
        <v>9</v>
      </c>
      <c r="AA854" s="2">
        <f t="shared" si="282"/>
        <v>133</v>
      </c>
      <c r="AB854" s="2">
        <v>3752</v>
      </c>
      <c r="AC854" s="20">
        <f t="shared" si="271"/>
        <v>3.54477611940298</v>
      </c>
      <c r="AD854" s="32" t="s">
        <v>49</v>
      </c>
      <c r="AE854" s="2">
        <v>125</v>
      </c>
      <c r="AF854" s="21">
        <f t="shared" si="279"/>
        <v>5.33134328358209</v>
      </c>
      <c r="AG854" s="4">
        <f t="shared" si="283"/>
        <v>3.30490405117271</v>
      </c>
      <c r="AH854" s="4">
        <f t="shared" si="278"/>
        <v>0.239872068230277</v>
      </c>
    </row>
    <row r="855" ht="31.5" spans="1:34">
      <c r="A855" s="2">
        <v>20260324</v>
      </c>
      <c r="B855" s="2" t="s">
        <v>1752</v>
      </c>
      <c r="C855" s="2" t="s">
        <v>1753</v>
      </c>
      <c r="D855" s="2">
        <v>5</v>
      </c>
      <c r="E855" s="2">
        <v>11</v>
      </c>
      <c r="F855" s="2">
        <v>13</v>
      </c>
      <c r="G855" s="2">
        <v>17</v>
      </c>
      <c r="H855" s="2">
        <v>17</v>
      </c>
      <c r="I855" s="3">
        <v>31</v>
      </c>
      <c r="J855" s="2">
        <v>20</v>
      </c>
      <c r="K855" s="2">
        <v>19</v>
      </c>
      <c r="L855" s="2">
        <v>0</v>
      </c>
      <c r="M855" s="2">
        <v>10</v>
      </c>
      <c r="N855" s="2">
        <v>80</v>
      </c>
      <c r="O855" s="2">
        <v>47</v>
      </c>
      <c r="P855" s="3">
        <v>17</v>
      </c>
      <c r="Q855" s="2">
        <v>20</v>
      </c>
      <c r="R855" s="2">
        <v>9</v>
      </c>
      <c r="S855" s="2">
        <v>0</v>
      </c>
      <c r="T855" s="2">
        <v>29</v>
      </c>
      <c r="U855" s="2">
        <v>2</v>
      </c>
      <c r="V855" s="2">
        <f t="shared" si="280"/>
        <v>151</v>
      </c>
      <c r="W855" s="2">
        <v>3</v>
      </c>
      <c r="X855" s="2">
        <v>6</v>
      </c>
      <c r="Y855" s="2">
        <v>0</v>
      </c>
      <c r="Z855" s="2">
        <f t="shared" si="281"/>
        <v>11</v>
      </c>
      <c r="AA855" s="2">
        <f t="shared" si="282"/>
        <v>162</v>
      </c>
      <c r="AB855" s="2">
        <v>3574</v>
      </c>
      <c r="AC855" s="20">
        <f t="shared" ref="AC855:AC864" si="284">AA855/AB855*100</f>
        <v>4.53273642977057</v>
      </c>
      <c r="AD855" s="32" t="s">
        <v>49</v>
      </c>
      <c r="AE855" s="2">
        <v>125</v>
      </c>
      <c r="AF855" s="21">
        <f t="shared" si="279"/>
        <v>6.81723559037493</v>
      </c>
      <c r="AG855" s="4">
        <f t="shared" si="283"/>
        <v>4.22495803021824</v>
      </c>
      <c r="AH855" s="4">
        <f t="shared" si="278"/>
        <v>0.307778399552322</v>
      </c>
    </row>
    <row r="856" ht="31.5" spans="1:34">
      <c r="A856" s="2">
        <v>20260324</v>
      </c>
      <c r="B856" s="2" t="s">
        <v>1754</v>
      </c>
      <c r="C856" s="2" t="s">
        <v>1755</v>
      </c>
      <c r="D856" s="2">
        <v>0</v>
      </c>
      <c r="E856" s="2">
        <v>1</v>
      </c>
      <c r="F856" s="2">
        <v>8</v>
      </c>
      <c r="G856" s="2">
        <v>11</v>
      </c>
      <c r="H856" s="2">
        <v>7</v>
      </c>
      <c r="I856" s="3">
        <v>23</v>
      </c>
      <c r="J856" s="2">
        <v>22</v>
      </c>
      <c r="K856" s="2">
        <v>2</v>
      </c>
      <c r="L856" s="2">
        <v>5</v>
      </c>
      <c r="M856" s="2">
        <v>8</v>
      </c>
      <c r="N856" s="2">
        <v>30</v>
      </c>
      <c r="O856" s="2">
        <v>4</v>
      </c>
      <c r="P856" s="3">
        <v>15</v>
      </c>
      <c r="Q856" s="2">
        <v>6</v>
      </c>
      <c r="R856" s="2">
        <v>8</v>
      </c>
      <c r="S856" s="2">
        <v>6</v>
      </c>
      <c r="T856" s="2">
        <v>5</v>
      </c>
      <c r="U856" s="2">
        <v>1</v>
      </c>
      <c r="V856" s="2">
        <f t="shared" ref="V856:V864" si="285">AA856-Y856-X856-W856-U856</f>
        <v>95</v>
      </c>
      <c r="W856" s="2">
        <v>0</v>
      </c>
      <c r="X856" s="2">
        <v>3</v>
      </c>
      <c r="Y856" s="2">
        <v>0</v>
      </c>
      <c r="Z856" s="2">
        <f t="shared" ref="Z856:Z864" si="286">Y856+X856+W856+U856</f>
        <v>4</v>
      </c>
      <c r="AA856" s="2">
        <f t="shared" ref="AA856:AA864" si="287">G856+H856+I856+J856+K856+L856+M856+P856+T856+U856</f>
        <v>99</v>
      </c>
      <c r="AB856" s="2">
        <v>3524</v>
      </c>
      <c r="AC856" s="20">
        <f t="shared" si="284"/>
        <v>2.80930760499432</v>
      </c>
      <c r="AD856" s="32" t="s">
        <v>49</v>
      </c>
      <c r="AE856" s="2">
        <v>125</v>
      </c>
      <c r="AF856" s="21">
        <f t="shared" ref="AF856:AF863" si="288">188/AE856*AC856</f>
        <v>4.22519863791146</v>
      </c>
      <c r="AG856" s="4">
        <f t="shared" si="283"/>
        <v>2.69580022701476</v>
      </c>
      <c r="AH856" s="4">
        <f t="shared" si="278"/>
        <v>0.113507377979569</v>
      </c>
    </row>
    <row r="857" ht="31.5" spans="1:34">
      <c r="A857" s="2">
        <v>20260324</v>
      </c>
      <c r="B857" s="2" t="s">
        <v>1756</v>
      </c>
      <c r="C857" s="2" t="s">
        <v>1757</v>
      </c>
      <c r="D857" s="2">
        <v>8</v>
      </c>
      <c r="E857" s="2">
        <v>24</v>
      </c>
      <c r="F857" s="2">
        <v>10</v>
      </c>
      <c r="G857" s="2">
        <v>13</v>
      </c>
      <c r="H857" s="2">
        <v>28</v>
      </c>
      <c r="I857" s="3">
        <v>28</v>
      </c>
      <c r="J857" s="2">
        <v>18</v>
      </c>
      <c r="K857" s="2">
        <v>14</v>
      </c>
      <c r="L857" s="2">
        <v>2</v>
      </c>
      <c r="M857" s="2">
        <v>16</v>
      </c>
      <c r="N857" s="2">
        <v>45</v>
      </c>
      <c r="O857" s="2">
        <v>23</v>
      </c>
      <c r="P857" s="3">
        <v>23</v>
      </c>
      <c r="Q857" s="2">
        <v>18</v>
      </c>
      <c r="R857" s="2">
        <v>123</v>
      </c>
      <c r="S857" s="2">
        <v>4</v>
      </c>
      <c r="T857" s="2">
        <v>18</v>
      </c>
      <c r="U857" s="2">
        <v>0</v>
      </c>
      <c r="V857" s="2">
        <f t="shared" si="285"/>
        <v>157</v>
      </c>
      <c r="W857" s="2">
        <v>2</v>
      </c>
      <c r="X857" s="2">
        <v>1</v>
      </c>
      <c r="Y857" s="2">
        <v>0</v>
      </c>
      <c r="Z857" s="2">
        <f t="shared" si="286"/>
        <v>3</v>
      </c>
      <c r="AA857" s="2">
        <f t="shared" si="287"/>
        <v>160</v>
      </c>
      <c r="AB857" s="2">
        <v>3882</v>
      </c>
      <c r="AC857" s="20">
        <f t="shared" si="284"/>
        <v>4.1215868109222</v>
      </c>
      <c r="AD857" s="32" t="s">
        <v>49</v>
      </c>
      <c r="AE857" s="2">
        <v>125</v>
      </c>
      <c r="AF857" s="21">
        <f t="shared" si="288"/>
        <v>6.198866563627</v>
      </c>
      <c r="AG857" s="4">
        <f t="shared" si="283"/>
        <v>4.04430705821741</v>
      </c>
      <c r="AH857" s="4">
        <f t="shared" ref="AH857:AH865" si="289">Z857/AB857*100</f>
        <v>0.0772797527047913</v>
      </c>
    </row>
    <row r="858" ht="31.5" spans="1:34">
      <c r="A858" s="2">
        <v>20260324</v>
      </c>
      <c r="B858" s="2" t="s">
        <v>1758</v>
      </c>
      <c r="C858" s="2" t="s">
        <v>1759</v>
      </c>
      <c r="D858" s="2">
        <v>2</v>
      </c>
      <c r="E858" s="2">
        <v>11</v>
      </c>
      <c r="F858" s="2">
        <v>10</v>
      </c>
      <c r="G858" s="2">
        <v>3</v>
      </c>
      <c r="H858" s="2">
        <v>10</v>
      </c>
      <c r="I858" s="3">
        <v>27</v>
      </c>
      <c r="J858" s="2">
        <v>10</v>
      </c>
      <c r="K858" s="2">
        <v>4</v>
      </c>
      <c r="L858" s="2">
        <v>0</v>
      </c>
      <c r="M858" s="2">
        <v>4</v>
      </c>
      <c r="N858" s="2">
        <v>23</v>
      </c>
      <c r="O858" s="2">
        <v>6</v>
      </c>
      <c r="P858" s="3">
        <v>7</v>
      </c>
      <c r="Q858" s="2">
        <v>9</v>
      </c>
      <c r="R858" s="2">
        <v>67</v>
      </c>
      <c r="S858" s="2">
        <v>3</v>
      </c>
      <c r="T858" s="2">
        <v>8</v>
      </c>
      <c r="U858" s="2">
        <v>0</v>
      </c>
      <c r="V858" s="2">
        <f t="shared" si="285"/>
        <v>65</v>
      </c>
      <c r="W858" s="2">
        <v>1</v>
      </c>
      <c r="X858" s="2">
        <v>7</v>
      </c>
      <c r="Y858" s="2">
        <v>0</v>
      </c>
      <c r="Z858" s="2">
        <f t="shared" si="286"/>
        <v>8</v>
      </c>
      <c r="AA858" s="2">
        <f t="shared" si="287"/>
        <v>73</v>
      </c>
      <c r="AB858" s="2">
        <v>3663</v>
      </c>
      <c r="AC858" s="20">
        <f t="shared" si="284"/>
        <v>1.99290199290199</v>
      </c>
      <c r="AD858" s="32" t="s">
        <v>49</v>
      </c>
      <c r="AE858" s="2">
        <v>125</v>
      </c>
      <c r="AF858" s="21">
        <f t="shared" si="288"/>
        <v>2.9973245973246</v>
      </c>
      <c r="AG858" s="4">
        <f t="shared" si="283"/>
        <v>1.77450177450177</v>
      </c>
      <c r="AH858" s="4">
        <f t="shared" si="289"/>
        <v>0.218400218400218</v>
      </c>
    </row>
    <row r="859" ht="31.5" spans="1:34">
      <c r="A859" s="2">
        <v>20260324</v>
      </c>
      <c r="B859" s="2" t="s">
        <v>1760</v>
      </c>
      <c r="C859" s="2" t="s">
        <v>1761</v>
      </c>
      <c r="D859" s="2">
        <v>3</v>
      </c>
      <c r="E859" s="2">
        <v>1</v>
      </c>
      <c r="F859" s="2">
        <v>8</v>
      </c>
      <c r="G859" s="2">
        <v>2</v>
      </c>
      <c r="H859" s="2">
        <v>9</v>
      </c>
      <c r="I859" s="3">
        <v>27</v>
      </c>
      <c r="J859" s="2">
        <v>10</v>
      </c>
      <c r="K859" s="2">
        <v>7</v>
      </c>
      <c r="L859" s="2">
        <v>1</v>
      </c>
      <c r="M859" s="2">
        <v>5</v>
      </c>
      <c r="N859" s="2">
        <v>27</v>
      </c>
      <c r="O859" s="2">
        <v>7</v>
      </c>
      <c r="P859" s="3">
        <v>7</v>
      </c>
      <c r="Q859" s="2">
        <v>11</v>
      </c>
      <c r="R859" s="2">
        <v>17</v>
      </c>
      <c r="S859" s="2">
        <v>1</v>
      </c>
      <c r="T859" s="2">
        <v>4</v>
      </c>
      <c r="U859" s="2">
        <v>0</v>
      </c>
      <c r="V859" s="2">
        <f t="shared" si="285"/>
        <v>60</v>
      </c>
      <c r="W859" s="2">
        <v>3</v>
      </c>
      <c r="X859" s="2">
        <v>9</v>
      </c>
      <c r="Y859" s="2">
        <v>0</v>
      </c>
      <c r="Z859" s="2">
        <f t="shared" si="286"/>
        <v>12</v>
      </c>
      <c r="AA859" s="2">
        <f t="shared" si="287"/>
        <v>72</v>
      </c>
      <c r="AB859" s="2">
        <v>3304</v>
      </c>
      <c r="AC859" s="20">
        <f t="shared" si="284"/>
        <v>2.17917675544794</v>
      </c>
      <c r="AD859" s="32" t="s">
        <v>49</v>
      </c>
      <c r="AE859" s="2">
        <v>125</v>
      </c>
      <c r="AF859" s="21">
        <f t="shared" si="288"/>
        <v>3.2774818401937</v>
      </c>
      <c r="AG859" s="4">
        <f t="shared" si="283"/>
        <v>1.81598062953995</v>
      </c>
      <c r="AH859" s="4">
        <f t="shared" si="289"/>
        <v>0.36319612590799</v>
      </c>
    </row>
    <row r="860" ht="15.75" spans="1:34">
      <c r="A860" s="2">
        <v>20260324</v>
      </c>
      <c r="B860" s="2" t="s">
        <v>1762</v>
      </c>
      <c r="C860" s="2" t="s">
        <v>1763</v>
      </c>
      <c r="D860" s="2">
        <v>3</v>
      </c>
      <c r="E860" s="2">
        <v>7</v>
      </c>
      <c r="F860" s="2">
        <v>10</v>
      </c>
      <c r="G860" s="2">
        <v>16</v>
      </c>
      <c r="H860" s="2">
        <v>20</v>
      </c>
      <c r="I860" s="3">
        <v>23</v>
      </c>
      <c r="J860" s="2">
        <v>15</v>
      </c>
      <c r="K860" s="2">
        <v>7</v>
      </c>
      <c r="L860" s="2">
        <v>3</v>
      </c>
      <c r="M860" s="2">
        <v>11</v>
      </c>
      <c r="N860" s="2">
        <v>39</v>
      </c>
      <c r="O860" s="2">
        <v>36</v>
      </c>
      <c r="P860" s="3">
        <v>8</v>
      </c>
      <c r="Q860" s="2">
        <v>14</v>
      </c>
      <c r="R860" s="2">
        <v>282</v>
      </c>
      <c r="S860" s="2">
        <v>1</v>
      </c>
      <c r="T860" s="2">
        <v>10</v>
      </c>
      <c r="U860" s="2">
        <v>2</v>
      </c>
      <c r="V860" s="2">
        <f t="shared" si="285"/>
        <v>106</v>
      </c>
      <c r="W860" s="2">
        <v>3</v>
      </c>
      <c r="X860" s="2">
        <v>4</v>
      </c>
      <c r="Y860" s="2">
        <v>0</v>
      </c>
      <c r="Z860" s="2">
        <f t="shared" si="286"/>
        <v>9</v>
      </c>
      <c r="AA860" s="2">
        <f t="shared" si="287"/>
        <v>115</v>
      </c>
      <c r="AB860" s="2">
        <v>2625</v>
      </c>
      <c r="AC860" s="20">
        <f t="shared" si="284"/>
        <v>4.38095238095238</v>
      </c>
      <c r="AD860" s="32" t="s">
        <v>58</v>
      </c>
      <c r="AE860" s="2">
        <v>125</v>
      </c>
      <c r="AF860" s="21">
        <f t="shared" si="288"/>
        <v>6.58895238095238</v>
      </c>
      <c r="AG860" s="4">
        <f t="shared" si="283"/>
        <v>4.03809523809524</v>
      </c>
      <c r="AH860" s="4">
        <f t="shared" si="289"/>
        <v>0.342857142857143</v>
      </c>
    </row>
    <row r="861" ht="15.75" spans="1:34">
      <c r="A861" s="2">
        <v>20260324</v>
      </c>
      <c r="B861" s="2" t="s">
        <v>1764</v>
      </c>
      <c r="C861" s="2" t="s">
        <v>1765</v>
      </c>
      <c r="D861" s="2">
        <v>2</v>
      </c>
      <c r="E861" s="2">
        <v>11</v>
      </c>
      <c r="F861" s="2">
        <v>9</v>
      </c>
      <c r="G861" s="2">
        <v>11</v>
      </c>
      <c r="H861" s="2">
        <v>11</v>
      </c>
      <c r="I861" s="3">
        <v>24</v>
      </c>
      <c r="J861" s="2">
        <v>18</v>
      </c>
      <c r="K861" s="2">
        <v>3</v>
      </c>
      <c r="L861" s="2">
        <v>3</v>
      </c>
      <c r="M861" s="2">
        <v>13</v>
      </c>
      <c r="N861" s="2">
        <v>28</v>
      </c>
      <c r="O861" s="2">
        <v>8</v>
      </c>
      <c r="P861" s="3">
        <v>13</v>
      </c>
      <c r="Q861" s="2">
        <v>9</v>
      </c>
      <c r="R861" s="2">
        <v>188</v>
      </c>
      <c r="S861" s="2">
        <v>2</v>
      </c>
      <c r="T861" s="2">
        <v>5</v>
      </c>
      <c r="U861" s="2">
        <v>2</v>
      </c>
      <c r="V861" s="2">
        <f t="shared" si="285"/>
        <v>91</v>
      </c>
      <c r="W861" s="2">
        <v>2</v>
      </c>
      <c r="X861" s="2">
        <v>8</v>
      </c>
      <c r="Y861" s="2">
        <v>0</v>
      </c>
      <c r="Z861" s="2">
        <f t="shared" si="286"/>
        <v>12</v>
      </c>
      <c r="AA861" s="2">
        <f t="shared" si="287"/>
        <v>103</v>
      </c>
      <c r="AB861" s="2">
        <v>4163</v>
      </c>
      <c r="AC861" s="20">
        <f t="shared" si="284"/>
        <v>2.47417727600288</v>
      </c>
      <c r="AD861" s="32" t="s">
        <v>58</v>
      </c>
      <c r="AE861" s="2">
        <v>125</v>
      </c>
      <c r="AF861" s="21">
        <f t="shared" si="288"/>
        <v>3.72116262310834</v>
      </c>
      <c r="AG861" s="4">
        <f t="shared" si="283"/>
        <v>2.18592361277925</v>
      </c>
      <c r="AH861" s="4">
        <f t="shared" si="289"/>
        <v>0.288253663223637</v>
      </c>
    </row>
    <row r="862" ht="15.75" spans="1:34">
      <c r="A862" s="2">
        <v>20260324</v>
      </c>
      <c r="B862" s="2" t="s">
        <v>1766</v>
      </c>
      <c r="C862" s="2" t="s">
        <v>1767</v>
      </c>
      <c r="D862" s="2">
        <v>2</v>
      </c>
      <c r="E862" s="2">
        <v>9</v>
      </c>
      <c r="F862" s="2">
        <v>3</v>
      </c>
      <c r="G862" s="2">
        <v>7</v>
      </c>
      <c r="H862" s="2">
        <v>6</v>
      </c>
      <c r="I862" s="2">
        <v>13</v>
      </c>
      <c r="J862" s="3">
        <v>16</v>
      </c>
      <c r="K862" s="2">
        <v>1</v>
      </c>
      <c r="L862" s="2">
        <v>3</v>
      </c>
      <c r="M862" s="2">
        <v>2</v>
      </c>
      <c r="N862" s="2">
        <v>22</v>
      </c>
      <c r="O862" s="2">
        <v>3</v>
      </c>
      <c r="P862" s="2">
        <v>6</v>
      </c>
      <c r="Q862" s="3">
        <v>4</v>
      </c>
      <c r="R862" s="2">
        <v>236</v>
      </c>
      <c r="S862" s="2">
        <v>2</v>
      </c>
      <c r="T862" s="2">
        <v>8</v>
      </c>
      <c r="U862" s="2">
        <v>0</v>
      </c>
      <c r="V862" s="2">
        <f t="shared" si="285"/>
        <v>56</v>
      </c>
      <c r="W862" s="2">
        <v>4</v>
      </c>
      <c r="X862" s="2">
        <v>2</v>
      </c>
      <c r="Y862" s="2">
        <v>0</v>
      </c>
      <c r="Z862" s="2">
        <f t="shared" si="286"/>
        <v>6</v>
      </c>
      <c r="AA862" s="2">
        <f t="shared" si="287"/>
        <v>62</v>
      </c>
      <c r="AB862" s="2">
        <v>3317</v>
      </c>
      <c r="AC862" s="20">
        <f t="shared" si="284"/>
        <v>1.86915887850467</v>
      </c>
      <c r="AD862" s="32" t="s">
        <v>58</v>
      </c>
      <c r="AE862" s="2">
        <v>100</v>
      </c>
      <c r="AF862" s="21">
        <f t="shared" si="288"/>
        <v>3.51401869158878</v>
      </c>
      <c r="AG862" s="4">
        <f t="shared" si="283"/>
        <v>1.68827253542358</v>
      </c>
      <c r="AH862" s="4">
        <f t="shared" si="289"/>
        <v>0.180886343081097</v>
      </c>
    </row>
    <row r="863" ht="15.75" spans="1:34">
      <c r="A863" s="2">
        <v>20260324</v>
      </c>
      <c r="B863" s="2" t="s">
        <v>1768</v>
      </c>
      <c r="C863" s="2" t="s">
        <v>1769</v>
      </c>
      <c r="D863" s="2">
        <v>9</v>
      </c>
      <c r="E863" s="2">
        <v>126</v>
      </c>
      <c r="F863" s="2">
        <v>34</v>
      </c>
      <c r="G863" s="2">
        <v>11</v>
      </c>
      <c r="H863" s="2">
        <v>27</v>
      </c>
      <c r="I863" s="3">
        <v>33</v>
      </c>
      <c r="J863" s="2">
        <v>41</v>
      </c>
      <c r="K863" s="2">
        <v>4</v>
      </c>
      <c r="L863" s="2">
        <v>3</v>
      </c>
      <c r="M863" s="2">
        <v>8</v>
      </c>
      <c r="N863" s="2">
        <v>61</v>
      </c>
      <c r="O863" s="2">
        <v>65</v>
      </c>
      <c r="P863" s="3">
        <v>13</v>
      </c>
      <c r="Q863" s="2">
        <v>23</v>
      </c>
      <c r="R863" s="2">
        <v>2332</v>
      </c>
      <c r="S863" s="2">
        <v>1</v>
      </c>
      <c r="T863" s="2">
        <v>37</v>
      </c>
      <c r="U863" s="2">
        <v>0</v>
      </c>
      <c r="V863" s="2">
        <f t="shared" ref="V863:V876" si="290">AA863-Y863-X863-W863-U863</f>
        <v>175</v>
      </c>
      <c r="W863" s="2">
        <v>2</v>
      </c>
      <c r="X863" s="2">
        <v>0</v>
      </c>
      <c r="Y863" s="2">
        <v>0</v>
      </c>
      <c r="Z863" s="2">
        <f t="shared" ref="Z863:Z876" si="291">Y863+X863+W863+U863</f>
        <v>2</v>
      </c>
      <c r="AA863" s="2">
        <f t="shared" ref="AA863:AA876" si="292">G863+H863+I863+J863+K863+L863+M863+P863+T863+U863</f>
        <v>177</v>
      </c>
      <c r="AB863" s="2">
        <v>4417</v>
      </c>
      <c r="AC863" s="20">
        <f t="shared" ref="AC863:AC876" si="293">AA863/AB863*100</f>
        <v>4.00724473624632</v>
      </c>
      <c r="AD863" s="32" t="s">
        <v>58</v>
      </c>
      <c r="AE863" s="2">
        <v>100</v>
      </c>
      <c r="AF863" s="21">
        <f t="shared" ref="AF863:AF876" si="294">188/AE863*AC863</f>
        <v>7.53362010414308</v>
      </c>
      <c r="AG863" s="4">
        <f t="shared" ref="AG863:AG876" si="295">V863/AB863*100</f>
        <v>3.96196513470681</v>
      </c>
      <c r="AH863" s="4">
        <f t="shared" ref="AH863:AH876" si="296">Z863/AB863*100</f>
        <v>0.0452796015395064</v>
      </c>
    </row>
    <row r="864" ht="15.75" spans="1:34">
      <c r="A864" s="2">
        <v>20260324</v>
      </c>
      <c r="B864" s="2" t="s">
        <v>1770</v>
      </c>
      <c r="C864" s="2" t="s">
        <v>1771</v>
      </c>
      <c r="D864" s="2">
        <v>0</v>
      </c>
      <c r="E864" s="2">
        <v>4</v>
      </c>
      <c r="F864" s="2">
        <v>5</v>
      </c>
      <c r="G864" s="2">
        <v>6</v>
      </c>
      <c r="H864" s="2">
        <v>8</v>
      </c>
      <c r="I864" s="3">
        <v>14</v>
      </c>
      <c r="J864" s="2">
        <v>4</v>
      </c>
      <c r="K864" s="2">
        <v>1</v>
      </c>
      <c r="L864" s="2">
        <v>1</v>
      </c>
      <c r="M864" s="2">
        <v>1</v>
      </c>
      <c r="N864" s="2">
        <v>16</v>
      </c>
      <c r="O864" s="2">
        <v>12</v>
      </c>
      <c r="P864" s="3">
        <v>6</v>
      </c>
      <c r="Q864" s="2">
        <v>5</v>
      </c>
      <c r="R864" s="2">
        <v>140</v>
      </c>
      <c r="S864" s="2">
        <v>2</v>
      </c>
      <c r="T864" s="2">
        <v>6</v>
      </c>
      <c r="U864" s="2">
        <v>1</v>
      </c>
      <c r="V864" s="2">
        <f t="shared" si="290"/>
        <v>41</v>
      </c>
      <c r="W864" s="2">
        <v>0</v>
      </c>
      <c r="X864" s="2">
        <v>6</v>
      </c>
      <c r="Y864" s="2">
        <v>0</v>
      </c>
      <c r="Z864" s="2">
        <f t="shared" si="291"/>
        <v>7</v>
      </c>
      <c r="AA864" s="2">
        <f t="shared" si="292"/>
        <v>48</v>
      </c>
      <c r="AB864" s="2">
        <v>3717</v>
      </c>
      <c r="AC864" s="20">
        <f t="shared" si="293"/>
        <v>1.29136400322841</v>
      </c>
      <c r="AD864" s="32" t="s">
        <v>58</v>
      </c>
      <c r="AE864" s="2">
        <v>100</v>
      </c>
      <c r="AF864" s="21">
        <f t="shared" si="294"/>
        <v>2.42776432606941</v>
      </c>
      <c r="AG864" s="4">
        <f t="shared" si="295"/>
        <v>1.10304008609093</v>
      </c>
      <c r="AH864" s="4">
        <f t="shared" si="296"/>
        <v>0.188323917137476</v>
      </c>
    </row>
    <row r="865" ht="31.5" spans="1:34">
      <c r="A865" s="2">
        <v>20260324</v>
      </c>
      <c r="B865" s="2" t="s">
        <v>1772</v>
      </c>
      <c r="C865" s="2" t="s">
        <v>1773</v>
      </c>
      <c r="D865" s="2">
        <v>5</v>
      </c>
      <c r="E865" s="2">
        <v>21</v>
      </c>
      <c r="F865" s="2">
        <v>5</v>
      </c>
      <c r="G865" s="2">
        <v>22</v>
      </c>
      <c r="H865" s="2">
        <v>14</v>
      </c>
      <c r="I865" s="3">
        <v>23</v>
      </c>
      <c r="J865" s="2">
        <v>11</v>
      </c>
      <c r="K865" s="2">
        <v>4</v>
      </c>
      <c r="L865" s="2">
        <v>1</v>
      </c>
      <c r="M865" s="2">
        <v>5</v>
      </c>
      <c r="N865" s="2">
        <v>32</v>
      </c>
      <c r="O865" s="2">
        <v>3</v>
      </c>
      <c r="P865" s="3">
        <v>28</v>
      </c>
      <c r="Q865" s="2">
        <v>14</v>
      </c>
      <c r="R865" s="2">
        <v>86</v>
      </c>
      <c r="S865" s="2">
        <v>7</v>
      </c>
      <c r="T865" s="2">
        <v>30</v>
      </c>
      <c r="U865" s="2">
        <v>0</v>
      </c>
      <c r="V865" s="2">
        <f t="shared" si="290"/>
        <v>133</v>
      </c>
      <c r="W865" s="2">
        <v>1</v>
      </c>
      <c r="X865" s="2">
        <v>4</v>
      </c>
      <c r="Y865" s="2">
        <v>0</v>
      </c>
      <c r="Z865" s="2">
        <f t="shared" si="291"/>
        <v>5</v>
      </c>
      <c r="AA865" s="2">
        <f t="shared" si="292"/>
        <v>138</v>
      </c>
      <c r="AB865" s="2">
        <v>4354</v>
      </c>
      <c r="AC865" s="20">
        <f t="shared" si="293"/>
        <v>3.16949931097841</v>
      </c>
      <c r="AD865" s="32" t="s">
        <v>49</v>
      </c>
      <c r="AE865" s="2">
        <v>125</v>
      </c>
      <c r="AF865" s="21">
        <f t="shared" si="294"/>
        <v>4.76692696371153</v>
      </c>
      <c r="AG865" s="4">
        <f t="shared" si="295"/>
        <v>3.05466237942122</v>
      </c>
      <c r="AH865" s="4">
        <f t="shared" si="296"/>
        <v>0.114836931557189</v>
      </c>
    </row>
    <row r="866" ht="31.5" spans="1:34">
      <c r="A866" s="2">
        <v>20260325</v>
      </c>
      <c r="B866" s="2" t="s">
        <v>1774</v>
      </c>
      <c r="C866" s="2" t="s">
        <v>1775</v>
      </c>
      <c r="D866" s="2">
        <v>3</v>
      </c>
      <c r="E866" s="2">
        <v>7</v>
      </c>
      <c r="F866" s="2">
        <v>8</v>
      </c>
      <c r="G866" s="2">
        <v>11</v>
      </c>
      <c r="H866" s="2">
        <v>11</v>
      </c>
      <c r="I866" s="3">
        <v>9</v>
      </c>
      <c r="J866" s="2">
        <v>14</v>
      </c>
      <c r="K866" s="2">
        <v>6</v>
      </c>
      <c r="L866" s="2">
        <v>2</v>
      </c>
      <c r="M866" s="2">
        <v>5</v>
      </c>
      <c r="N866" s="2">
        <v>37</v>
      </c>
      <c r="O866" s="2">
        <v>8</v>
      </c>
      <c r="P866" s="3">
        <v>12</v>
      </c>
      <c r="Q866" s="2">
        <v>7</v>
      </c>
      <c r="R866" s="2">
        <v>13</v>
      </c>
      <c r="S866" s="2">
        <v>4</v>
      </c>
      <c r="T866" s="2">
        <v>9</v>
      </c>
      <c r="U866" s="2">
        <v>0</v>
      </c>
      <c r="V866" s="2">
        <f t="shared" si="290"/>
        <v>74</v>
      </c>
      <c r="W866" s="2">
        <v>2</v>
      </c>
      <c r="X866" s="2">
        <v>3</v>
      </c>
      <c r="Y866" s="2">
        <v>0</v>
      </c>
      <c r="Z866" s="2">
        <f t="shared" si="291"/>
        <v>5</v>
      </c>
      <c r="AA866" s="2">
        <f t="shared" si="292"/>
        <v>79</v>
      </c>
      <c r="AB866" s="2">
        <v>3565</v>
      </c>
      <c r="AC866" s="20">
        <f t="shared" si="293"/>
        <v>2.21598877980365</v>
      </c>
      <c r="AD866" s="32" t="s">
        <v>49</v>
      </c>
      <c r="AE866" s="2">
        <v>125</v>
      </c>
      <c r="AF866" s="21">
        <f t="shared" si="294"/>
        <v>3.33284712482468</v>
      </c>
      <c r="AG866" s="4">
        <f t="shared" si="295"/>
        <v>2.07573632538569</v>
      </c>
      <c r="AH866" s="4">
        <f t="shared" si="296"/>
        <v>0.140252454417952</v>
      </c>
    </row>
    <row r="867" ht="31.5" spans="1:34">
      <c r="A867" s="2">
        <v>20260325</v>
      </c>
      <c r="B867" s="2" t="s">
        <v>1776</v>
      </c>
      <c r="C867" s="2" t="s">
        <v>1777</v>
      </c>
      <c r="D867" s="2">
        <v>1</v>
      </c>
      <c r="E867" s="2">
        <v>1</v>
      </c>
      <c r="F867" s="2">
        <v>9</v>
      </c>
      <c r="G867" s="2">
        <v>3</v>
      </c>
      <c r="H867" s="2">
        <v>3</v>
      </c>
      <c r="I867" s="3">
        <v>3</v>
      </c>
      <c r="J867" s="2">
        <v>8</v>
      </c>
      <c r="K867" s="2">
        <v>3</v>
      </c>
      <c r="L867" s="2">
        <v>0</v>
      </c>
      <c r="M867" s="2">
        <v>4</v>
      </c>
      <c r="N867" s="2">
        <v>13</v>
      </c>
      <c r="O867" s="2">
        <v>4</v>
      </c>
      <c r="P867" s="3">
        <v>9</v>
      </c>
      <c r="Q867" s="2">
        <v>4</v>
      </c>
      <c r="R867" s="2">
        <v>11</v>
      </c>
      <c r="S867" s="2">
        <v>2</v>
      </c>
      <c r="T867" s="2">
        <v>9</v>
      </c>
      <c r="U867" s="2">
        <v>0</v>
      </c>
      <c r="V867" s="2">
        <f t="shared" si="290"/>
        <v>36</v>
      </c>
      <c r="W867" s="2">
        <v>4</v>
      </c>
      <c r="X867" s="2">
        <v>2</v>
      </c>
      <c r="Y867" s="2">
        <v>0</v>
      </c>
      <c r="Z867" s="2">
        <f t="shared" si="291"/>
        <v>6</v>
      </c>
      <c r="AA867" s="2">
        <f t="shared" si="292"/>
        <v>42</v>
      </c>
      <c r="AB867" s="2">
        <v>3206</v>
      </c>
      <c r="AC867" s="20">
        <f t="shared" si="293"/>
        <v>1.31004366812227</v>
      </c>
      <c r="AD867" s="32" t="s">
        <v>49</v>
      </c>
      <c r="AE867" s="2">
        <v>125</v>
      </c>
      <c r="AF867" s="21">
        <f t="shared" si="294"/>
        <v>1.9703056768559</v>
      </c>
      <c r="AG867" s="4">
        <f t="shared" si="295"/>
        <v>1.12289457267623</v>
      </c>
      <c r="AH867" s="4">
        <f t="shared" si="296"/>
        <v>0.187149095446039</v>
      </c>
    </row>
    <row r="868" ht="31.5" spans="1:34">
      <c r="A868" s="2">
        <v>20260325</v>
      </c>
      <c r="B868" s="2" t="s">
        <v>912</v>
      </c>
      <c r="C868" s="2" t="s">
        <v>1778</v>
      </c>
      <c r="D868" s="2">
        <v>0</v>
      </c>
      <c r="E868" s="2">
        <v>8</v>
      </c>
      <c r="F868" s="2">
        <v>10</v>
      </c>
      <c r="G868" s="2">
        <v>11</v>
      </c>
      <c r="H868" s="2">
        <v>7</v>
      </c>
      <c r="I868" s="3">
        <v>11</v>
      </c>
      <c r="J868" s="2">
        <v>3</v>
      </c>
      <c r="K868" s="2">
        <v>1</v>
      </c>
      <c r="L868" s="2">
        <v>6</v>
      </c>
      <c r="M868" s="2">
        <v>17</v>
      </c>
      <c r="N868" s="2">
        <v>2</v>
      </c>
      <c r="O868" s="2">
        <v>11</v>
      </c>
      <c r="P868" s="3">
        <v>4</v>
      </c>
      <c r="Q868" s="2">
        <v>95</v>
      </c>
      <c r="R868" s="2">
        <v>7</v>
      </c>
      <c r="S868" s="2">
        <v>17</v>
      </c>
      <c r="T868" s="2">
        <v>1</v>
      </c>
      <c r="U868" s="2">
        <v>0</v>
      </c>
      <c r="V868" s="2">
        <f t="shared" si="290"/>
        <v>52</v>
      </c>
      <c r="W868" s="2">
        <v>4</v>
      </c>
      <c r="X868" s="2">
        <v>5</v>
      </c>
      <c r="Y868" s="2">
        <v>0</v>
      </c>
      <c r="Z868" s="2">
        <f t="shared" si="291"/>
        <v>9</v>
      </c>
      <c r="AA868" s="2">
        <f t="shared" si="292"/>
        <v>61</v>
      </c>
      <c r="AB868" s="2">
        <v>3404</v>
      </c>
      <c r="AC868" s="20">
        <f t="shared" si="293"/>
        <v>1.79200940070505</v>
      </c>
      <c r="AD868" s="32" t="s">
        <v>49</v>
      </c>
      <c r="AE868" s="2">
        <v>125</v>
      </c>
      <c r="AF868" s="21">
        <f t="shared" si="294"/>
        <v>2.6951821386604</v>
      </c>
      <c r="AG868" s="4">
        <f t="shared" si="295"/>
        <v>1.52761457109283</v>
      </c>
      <c r="AH868" s="4">
        <f t="shared" si="296"/>
        <v>0.264394829612221</v>
      </c>
    </row>
    <row r="869" ht="31.5" spans="1:34">
      <c r="A869" s="2">
        <v>20260325</v>
      </c>
      <c r="B869" s="2" t="s">
        <v>1779</v>
      </c>
      <c r="C869" s="2" t="s">
        <v>1780</v>
      </c>
      <c r="D869" s="2">
        <v>2</v>
      </c>
      <c r="E869" s="2">
        <v>2</v>
      </c>
      <c r="F869" s="2">
        <v>2</v>
      </c>
      <c r="G869" s="2">
        <v>7</v>
      </c>
      <c r="H869" s="2">
        <v>6</v>
      </c>
      <c r="I869" s="3">
        <v>9</v>
      </c>
      <c r="J869" s="2">
        <v>6</v>
      </c>
      <c r="K869" s="2">
        <v>5</v>
      </c>
      <c r="L869" s="2">
        <v>0</v>
      </c>
      <c r="M869" s="2">
        <v>2</v>
      </c>
      <c r="N869" s="2">
        <v>12</v>
      </c>
      <c r="O869" s="2">
        <v>1</v>
      </c>
      <c r="P869" s="3">
        <v>3</v>
      </c>
      <c r="Q869" s="2">
        <v>5</v>
      </c>
      <c r="R869" s="2">
        <v>55</v>
      </c>
      <c r="S869" s="2">
        <v>3</v>
      </c>
      <c r="T869" s="2">
        <v>4</v>
      </c>
      <c r="U869" s="2">
        <v>0</v>
      </c>
      <c r="V869" s="2">
        <f t="shared" si="290"/>
        <v>30</v>
      </c>
      <c r="W869" s="2">
        <v>6</v>
      </c>
      <c r="X869" s="2">
        <v>6</v>
      </c>
      <c r="Y869" s="2">
        <v>0</v>
      </c>
      <c r="Z869" s="2">
        <f t="shared" si="291"/>
        <v>12</v>
      </c>
      <c r="AA869" s="2">
        <f t="shared" si="292"/>
        <v>42</v>
      </c>
      <c r="AB869" s="2">
        <v>3205</v>
      </c>
      <c r="AC869" s="20">
        <f t="shared" si="293"/>
        <v>1.31045241809672</v>
      </c>
      <c r="AD869" s="32" t="s">
        <v>49</v>
      </c>
      <c r="AE869" s="2">
        <v>125</v>
      </c>
      <c r="AF869" s="21">
        <f t="shared" si="294"/>
        <v>1.97092043681747</v>
      </c>
      <c r="AG869" s="4">
        <f t="shared" si="295"/>
        <v>0.93603744149766</v>
      </c>
      <c r="AH869" s="4">
        <f t="shared" si="296"/>
        <v>0.374414976599064</v>
      </c>
    </row>
    <row r="870" ht="31.5" spans="1:34">
      <c r="A870" s="2">
        <v>20260325</v>
      </c>
      <c r="B870" s="2" t="s">
        <v>1781</v>
      </c>
      <c r="C870" s="2" t="s">
        <v>1782</v>
      </c>
      <c r="D870" s="2">
        <v>0</v>
      </c>
      <c r="E870" s="2">
        <v>7</v>
      </c>
      <c r="F870" s="2">
        <v>5</v>
      </c>
      <c r="G870" s="2">
        <v>10</v>
      </c>
      <c r="H870" s="2">
        <v>5</v>
      </c>
      <c r="I870" s="3">
        <v>9</v>
      </c>
      <c r="J870" s="2">
        <v>18</v>
      </c>
      <c r="K870" s="2">
        <v>11</v>
      </c>
      <c r="L870" s="2">
        <v>1</v>
      </c>
      <c r="M870" s="2">
        <v>7</v>
      </c>
      <c r="N870" s="2">
        <v>27</v>
      </c>
      <c r="O870" s="2">
        <v>10</v>
      </c>
      <c r="P870" s="3">
        <v>5</v>
      </c>
      <c r="Q870" s="2">
        <v>15</v>
      </c>
      <c r="R870" s="2">
        <v>12</v>
      </c>
      <c r="S870" s="2">
        <v>0</v>
      </c>
      <c r="T870" s="2">
        <v>5</v>
      </c>
      <c r="U870" s="2">
        <v>1</v>
      </c>
      <c r="V870" s="2">
        <f t="shared" si="290"/>
        <v>54</v>
      </c>
      <c r="W870" s="2">
        <v>14</v>
      </c>
      <c r="X870" s="2">
        <v>3</v>
      </c>
      <c r="Y870" s="2">
        <v>0</v>
      </c>
      <c r="Z870" s="2">
        <f t="shared" si="291"/>
        <v>18</v>
      </c>
      <c r="AA870" s="2">
        <f t="shared" si="292"/>
        <v>72</v>
      </c>
      <c r="AB870" s="2">
        <v>3503</v>
      </c>
      <c r="AC870" s="20">
        <f t="shared" si="293"/>
        <v>2.05538110191265</v>
      </c>
      <c r="AD870" s="32" t="s">
        <v>49</v>
      </c>
      <c r="AE870" s="2">
        <v>125</v>
      </c>
      <c r="AF870" s="21">
        <f t="shared" si="294"/>
        <v>3.09129317727662</v>
      </c>
      <c r="AG870" s="4">
        <f t="shared" si="295"/>
        <v>1.54153582643448</v>
      </c>
      <c r="AH870" s="4">
        <f t="shared" si="296"/>
        <v>0.513845275478162</v>
      </c>
    </row>
    <row r="871" ht="31.5" spans="1:34">
      <c r="A871" s="2">
        <v>20260325</v>
      </c>
      <c r="B871" s="2" t="s">
        <v>1783</v>
      </c>
      <c r="C871" s="2" t="s">
        <v>1784</v>
      </c>
      <c r="D871" s="2">
        <v>3</v>
      </c>
      <c r="E871" s="2">
        <v>4</v>
      </c>
      <c r="F871" s="2">
        <v>4</v>
      </c>
      <c r="G871" s="2">
        <v>6</v>
      </c>
      <c r="H871" s="2">
        <v>7</v>
      </c>
      <c r="I871" s="3">
        <v>13</v>
      </c>
      <c r="J871" s="2">
        <v>7</v>
      </c>
      <c r="K871" s="2">
        <v>2</v>
      </c>
      <c r="L871" s="2">
        <v>0</v>
      </c>
      <c r="M871" s="2">
        <v>10</v>
      </c>
      <c r="N871" s="2">
        <v>18</v>
      </c>
      <c r="O871" s="2">
        <v>13</v>
      </c>
      <c r="P871" s="3">
        <v>4</v>
      </c>
      <c r="Q871" s="2">
        <v>7</v>
      </c>
      <c r="R871" s="2">
        <v>16</v>
      </c>
      <c r="S871" s="2">
        <v>2</v>
      </c>
      <c r="T871" s="2">
        <v>0</v>
      </c>
      <c r="U871" s="2">
        <v>0</v>
      </c>
      <c r="V871" s="2">
        <f t="shared" si="290"/>
        <v>30</v>
      </c>
      <c r="W871" s="2">
        <v>14</v>
      </c>
      <c r="X871" s="2">
        <v>5</v>
      </c>
      <c r="Y871" s="2">
        <v>0</v>
      </c>
      <c r="Z871" s="2">
        <f t="shared" si="291"/>
        <v>19</v>
      </c>
      <c r="AA871" s="2">
        <f t="shared" si="292"/>
        <v>49</v>
      </c>
      <c r="AB871" s="2">
        <v>3706</v>
      </c>
      <c r="AC871" s="20">
        <f t="shared" si="293"/>
        <v>1.32218024824609</v>
      </c>
      <c r="AD871" s="32" t="s">
        <v>49</v>
      </c>
      <c r="AE871" s="2">
        <v>125</v>
      </c>
      <c r="AF871" s="21">
        <f t="shared" si="294"/>
        <v>1.98855909336212</v>
      </c>
      <c r="AG871" s="4">
        <f t="shared" si="295"/>
        <v>0.809498111171074</v>
      </c>
      <c r="AH871" s="4">
        <f t="shared" si="296"/>
        <v>0.512682137075013</v>
      </c>
    </row>
    <row r="872" ht="31.5" spans="1:34">
      <c r="A872" s="2">
        <v>20260325</v>
      </c>
      <c r="B872" s="2" t="s">
        <v>1785</v>
      </c>
      <c r="C872" s="2" t="s">
        <v>1786</v>
      </c>
      <c r="D872" s="2">
        <v>9</v>
      </c>
      <c r="E872" s="2">
        <v>39</v>
      </c>
      <c r="F872" s="2">
        <v>21</v>
      </c>
      <c r="G872" s="2">
        <v>6</v>
      </c>
      <c r="H872" s="2">
        <v>15</v>
      </c>
      <c r="I872" s="3">
        <v>32</v>
      </c>
      <c r="J872" s="2">
        <v>19</v>
      </c>
      <c r="K872" s="2">
        <v>11</v>
      </c>
      <c r="L872" s="2">
        <v>2</v>
      </c>
      <c r="M872" s="2">
        <v>14</v>
      </c>
      <c r="N872" s="2">
        <v>49</v>
      </c>
      <c r="O872" s="2">
        <v>25</v>
      </c>
      <c r="P872" s="3">
        <v>9</v>
      </c>
      <c r="Q872" s="2">
        <v>13</v>
      </c>
      <c r="R872" s="2">
        <v>340</v>
      </c>
      <c r="S872" s="2">
        <v>2</v>
      </c>
      <c r="T872" s="2">
        <v>19</v>
      </c>
      <c r="U872" s="2">
        <v>1</v>
      </c>
      <c r="V872" s="2">
        <f t="shared" si="290"/>
        <v>123</v>
      </c>
      <c r="W872" s="2">
        <v>2</v>
      </c>
      <c r="X872" s="2">
        <v>2</v>
      </c>
      <c r="Y872" s="2">
        <v>0</v>
      </c>
      <c r="Z872" s="2">
        <f t="shared" si="291"/>
        <v>5</v>
      </c>
      <c r="AA872" s="2">
        <f t="shared" si="292"/>
        <v>128</v>
      </c>
      <c r="AB872" s="2">
        <v>4317</v>
      </c>
      <c r="AC872" s="20">
        <f t="shared" si="293"/>
        <v>2.9650220060227</v>
      </c>
      <c r="AD872" s="32" t="s">
        <v>49</v>
      </c>
      <c r="AE872" s="2">
        <v>125</v>
      </c>
      <c r="AF872" s="21">
        <f t="shared" si="294"/>
        <v>4.45939309705814</v>
      </c>
      <c r="AG872" s="4">
        <f t="shared" si="295"/>
        <v>2.84920083391244</v>
      </c>
      <c r="AH872" s="4">
        <f t="shared" si="296"/>
        <v>0.115821172110262</v>
      </c>
    </row>
    <row r="873" ht="15.75" spans="1:34">
      <c r="A873" s="2">
        <v>20260325</v>
      </c>
      <c r="B873" s="2" t="s">
        <v>1787</v>
      </c>
      <c r="C873" s="2" t="s">
        <v>1788</v>
      </c>
      <c r="D873" s="2">
        <v>1</v>
      </c>
      <c r="E873" s="2">
        <v>0</v>
      </c>
      <c r="F873" s="2">
        <v>4</v>
      </c>
      <c r="G873" s="2">
        <v>0</v>
      </c>
      <c r="H873" s="2">
        <v>4</v>
      </c>
      <c r="I873" s="3">
        <v>5</v>
      </c>
      <c r="J873" s="2">
        <v>10</v>
      </c>
      <c r="K873" s="2">
        <v>6</v>
      </c>
      <c r="L873" s="2">
        <v>0</v>
      </c>
      <c r="M873" s="2">
        <v>6</v>
      </c>
      <c r="N873" s="2">
        <v>12</v>
      </c>
      <c r="O873" s="2">
        <v>12</v>
      </c>
      <c r="P873" s="3">
        <v>20</v>
      </c>
      <c r="Q873" s="2">
        <v>20</v>
      </c>
      <c r="R873" s="2">
        <v>16</v>
      </c>
      <c r="S873" s="2">
        <v>1</v>
      </c>
      <c r="T873" s="2">
        <v>6</v>
      </c>
      <c r="U873" s="2">
        <v>0</v>
      </c>
      <c r="V873" s="2">
        <f t="shared" si="290"/>
        <v>57</v>
      </c>
      <c r="W873" s="2">
        <v>0</v>
      </c>
      <c r="X873" s="2">
        <v>0</v>
      </c>
      <c r="Y873" s="2">
        <v>0</v>
      </c>
      <c r="Z873" s="2">
        <f t="shared" si="291"/>
        <v>0</v>
      </c>
      <c r="AA873" s="2">
        <f t="shared" si="292"/>
        <v>57</v>
      </c>
      <c r="AB873" s="2">
        <v>1277</v>
      </c>
      <c r="AC873" s="20">
        <f t="shared" si="293"/>
        <v>4.46358653093187</v>
      </c>
      <c r="AD873" s="32" t="s">
        <v>934</v>
      </c>
      <c r="AE873" s="2">
        <v>188</v>
      </c>
      <c r="AF873" s="21">
        <f t="shared" si="294"/>
        <v>4.46358653093187</v>
      </c>
      <c r="AG873" s="4">
        <f t="shared" si="295"/>
        <v>4.46358653093187</v>
      </c>
      <c r="AH873" s="4">
        <f t="shared" si="296"/>
        <v>0</v>
      </c>
    </row>
    <row r="874" ht="15.75" spans="1:34">
      <c r="A874" s="2">
        <v>20260325</v>
      </c>
      <c r="B874" s="8" t="s">
        <v>1789</v>
      </c>
      <c r="C874" s="2" t="s">
        <v>1790</v>
      </c>
      <c r="D874" s="2">
        <v>1</v>
      </c>
      <c r="E874" s="2">
        <v>3</v>
      </c>
      <c r="F874" s="2">
        <v>4</v>
      </c>
      <c r="G874" s="2">
        <v>3</v>
      </c>
      <c r="H874" s="2">
        <v>5</v>
      </c>
      <c r="I874" s="3">
        <v>7</v>
      </c>
      <c r="J874" s="2">
        <v>9</v>
      </c>
      <c r="K874" s="2">
        <v>1</v>
      </c>
      <c r="L874" s="2">
        <v>0</v>
      </c>
      <c r="M874" s="2">
        <v>7</v>
      </c>
      <c r="N874" s="2">
        <v>6</v>
      </c>
      <c r="O874" s="2">
        <v>8</v>
      </c>
      <c r="P874" s="3">
        <v>12</v>
      </c>
      <c r="Q874" s="2">
        <v>7</v>
      </c>
      <c r="R874" s="2">
        <v>29</v>
      </c>
      <c r="S874" s="2">
        <v>5</v>
      </c>
      <c r="T874" s="2">
        <v>2</v>
      </c>
      <c r="U874" s="2">
        <v>0</v>
      </c>
      <c r="V874" s="2">
        <f t="shared" si="290"/>
        <v>44</v>
      </c>
      <c r="W874" s="2">
        <v>0</v>
      </c>
      <c r="X874" s="2">
        <v>2</v>
      </c>
      <c r="Y874" s="2">
        <v>0</v>
      </c>
      <c r="Z874" s="2">
        <f t="shared" si="291"/>
        <v>2</v>
      </c>
      <c r="AA874" s="2">
        <f t="shared" si="292"/>
        <v>46</v>
      </c>
      <c r="AB874" s="2">
        <v>1277</v>
      </c>
      <c r="AC874" s="20">
        <f t="shared" si="293"/>
        <v>3.60219263899765</v>
      </c>
      <c r="AD874" s="32" t="s">
        <v>934</v>
      </c>
      <c r="AE874" s="2">
        <v>188</v>
      </c>
      <c r="AF874" s="21">
        <f t="shared" si="294"/>
        <v>3.60219263899765</v>
      </c>
      <c r="AG874" s="4">
        <f t="shared" si="295"/>
        <v>3.44557556773688</v>
      </c>
      <c r="AH874" s="4">
        <f t="shared" si="296"/>
        <v>0.156617071260767</v>
      </c>
    </row>
    <row r="875" ht="15.75" spans="1:34">
      <c r="A875" s="2">
        <v>20260325</v>
      </c>
      <c r="B875" s="8" t="s">
        <v>1791</v>
      </c>
      <c r="C875" s="2" t="s">
        <v>1792</v>
      </c>
      <c r="D875" s="2">
        <v>3</v>
      </c>
      <c r="E875" s="2">
        <v>59</v>
      </c>
      <c r="F875" s="2">
        <v>33</v>
      </c>
      <c r="G875" s="2">
        <v>5</v>
      </c>
      <c r="H875" s="2">
        <v>35</v>
      </c>
      <c r="I875" s="3">
        <v>22</v>
      </c>
      <c r="J875" s="2">
        <v>14</v>
      </c>
      <c r="K875" s="2">
        <v>9</v>
      </c>
      <c r="L875" s="2">
        <v>6</v>
      </c>
      <c r="M875" s="2">
        <v>8</v>
      </c>
      <c r="N875" s="2">
        <v>30</v>
      </c>
      <c r="O875" s="2">
        <v>57</v>
      </c>
      <c r="P875" s="3">
        <v>21</v>
      </c>
      <c r="Q875" s="2">
        <v>18</v>
      </c>
      <c r="R875" s="2">
        <v>446</v>
      </c>
      <c r="S875" s="2">
        <v>0</v>
      </c>
      <c r="T875" s="2">
        <v>11</v>
      </c>
      <c r="U875" s="2">
        <v>3</v>
      </c>
      <c r="V875" s="2">
        <f t="shared" si="290"/>
        <v>128</v>
      </c>
      <c r="W875" s="2">
        <v>0</v>
      </c>
      <c r="X875" s="2">
        <v>3</v>
      </c>
      <c r="Y875" s="2">
        <v>0</v>
      </c>
      <c r="Z875" s="2">
        <f t="shared" si="291"/>
        <v>6</v>
      </c>
      <c r="AA875" s="2">
        <f t="shared" si="292"/>
        <v>134</v>
      </c>
      <c r="AB875" s="2">
        <v>1477</v>
      </c>
      <c r="AC875" s="20">
        <f t="shared" si="293"/>
        <v>9.07244414353419</v>
      </c>
      <c r="AD875" s="32" t="s">
        <v>934</v>
      </c>
      <c r="AE875" s="2">
        <v>188</v>
      </c>
      <c r="AF875" s="21">
        <f t="shared" si="294"/>
        <v>9.07244414353419</v>
      </c>
      <c r="AG875" s="4">
        <f t="shared" si="295"/>
        <v>8.66621530128639</v>
      </c>
      <c r="AH875" s="4">
        <f t="shared" si="296"/>
        <v>0.4062288422478</v>
      </c>
    </row>
    <row r="876" ht="15.75" spans="1:34">
      <c r="A876" s="2">
        <v>20260325</v>
      </c>
      <c r="B876" s="8" t="s">
        <v>1793</v>
      </c>
      <c r="C876" s="2" t="s">
        <v>1794</v>
      </c>
      <c r="D876" s="2">
        <v>7</v>
      </c>
      <c r="E876" s="2">
        <v>55</v>
      </c>
      <c r="F876" s="2">
        <v>102</v>
      </c>
      <c r="G876" s="2">
        <v>84</v>
      </c>
      <c r="H876" s="2">
        <v>255</v>
      </c>
      <c r="I876" s="3">
        <v>50</v>
      </c>
      <c r="J876" s="2">
        <v>255</v>
      </c>
      <c r="K876" s="2">
        <v>38</v>
      </c>
      <c r="L876" s="2">
        <v>15</v>
      </c>
      <c r="M876" s="2">
        <v>15</v>
      </c>
      <c r="N876" s="2">
        <v>340</v>
      </c>
      <c r="O876" s="2">
        <v>92</v>
      </c>
      <c r="P876" s="3">
        <v>35</v>
      </c>
      <c r="Q876" s="2">
        <v>101</v>
      </c>
      <c r="R876" s="2">
        <v>210</v>
      </c>
      <c r="S876" s="2">
        <v>5</v>
      </c>
      <c r="T876" s="2">
        <v>115</v>
      </c>
      <c r="U876" s="2">
        <v>16</v>
      </c>
      <c r="V876" s="2">
        <f t="shared" si="290"/>
        <v>860</v>
      </c>
      <c r="W876" s="2">
        <v>0</v>
      </c>
      <c r="X876" s="2">
        <v>2</v>
      </c>
      <c r="Y876" s="2">
        <v>0</v>
      </c>
      <c r="Z876" s="2">
        <f t="shared" si="291"/>
        <v>18</v>
      </c>
      <c r="AA876" s="2">
        <f t="shared" si="292"/>
        <v>878</v>
      </c>
      <c r="AB876" s="2">
        <v>2529</v>
      </c>
      <c r="AC876" s="20">
        <f t="shared" si="293"/>
        <v>34.7172795571372</v>
      </c>
      <c r="AD876" s="32" t="s">
        <v>934</v>
      </c>
      <c r="AE876" s="2">
        <v>188</v>
      </c>
      <c r="AF876" s="21">
        <f t="shared" si="294"/>
        <v>34.7172795571372</v>
      </c>
      <c r="AG876" s="4">
        <f t="shared" si="295"/>
        <v>34.0055357848952</v>
      </c>
      <c r="AH876" s="4">
        <f t="shared" si="296"/>
        <v>0.711743772241993</v>
      </c>
    </row>
    <row r="877" ht="15.75" spans="1:34">
      <c r="A877" s="2">
        <v>20260325</v>
      </c>
      <c r="B877" s="8" t="s">
        <v>1795</v>
      </c>
      <c r="C877" s="2" t="s">
        <v>1796</v>
      </c>
      <c r="D877" s="2">
        <v>1</v>
      </c>
      <c r="E877" s="2">
        <v>1</v>
      </c>
      <c r="F877" s="2">
        <v>2</v>
      </c>
      <c r="G877" s="2">
        <v>4</v>
      </c>
      <c r="H877" s="2">
        <v>2</v>
      </c>
      <c r="I877" s="3">
        <v>9</v>
      </c>
      <c r="J877" s="2">
        <v>4</v>
      </c>
      <c r="K877" s="2">
        <v>1</v>
      </c>
      <c r="L877" s="2">
        <v>1</v>
      </c>
      <c r="M877" s="2">
        <v>4</v>
      </c>
      <c r="N877" s="2">
        <v>2</v>
      </c>
      <c r="O877" s="2">
        <v>5</v>
      </c>
      <c r="P877" s="3">
        <v>3</v>
      </c>
      <c r="Q877" s="2">
        <v>4</v>
      </c>
      <c r="R877" s="2">
        <v>13</v>
      </c>
      <c r="S877" s="2">
        <v>1</v>
      </c>
      <c r="T877" s="2">
        <v>0</v>
      </c>
      <c r="U877" s="2">
        <v>0</v>
      </c>
      <c r="V877" s="2">
        <f t="shared" ref="V877:V883" si="297">AA877-Y877-X877-W877-U877</f>
        <v>20</v>
      </c>
      <c r="W877" s="2">
        <v>1</v>
      </c>
      <c r="X877" s="2">
        <v>7</v>
      </c>
      <c r="Y877" s="2">
        <v>0</v>
      </c>
      <c r="Z877" s="2">
        <f t="shared" ref="Z877:Z884" si="298">Y877+X877+W877+U877</f>
        <v>8</v>
      </c>
      <c r="AA877" s="2">
        <f t="shared" ref="AA877:AA884" si="299">G877+H877+I877+J877+K877+L877+M877+P877+T877+U877</f>
        <v>28</v>
      </c>
      <c r="AB877" s="2">
        <v>1267</v>
      </c>
      <c r="AC877" s="20">
        <f t="shared" ref="AC877:AC884" si="300">AA877/AB877*100</f>
        <v>2.20994475138122</v>
      </c>
      <c r="AD877" s="32" t="s">
        <v>934</v>
      </c>
      <c r="AE877" s="2">
        <v>188</v>
      </c>
      <c r="AF877" s="21">
        <f t="shared" ref="AF877:AF884" si="301">188/AE877*AC877</f>
        <v>2.20994475138122</v>
      </c>
      <c r="AG877" s="4">
        <f t="shared" ref="AG877:AG884" si="302">V877/AB877*100</f>
        <v>1.5785319652723</v>
      </c>
      <c r="AH877" s="4">
        <f t="shared" ref="AH877:AH884" si="303">Z877/AB877*100</f>
        <v>0.631412786108919</v>
      </c>
    </row>
    <row r="878" ht="15.75" spans="1:34">
      <c r="A878" s="2">
        <v>20260325</v>
      </c>
      <c r="B878" s="8" t="s">
        <v>1797</v>
      </c>
      <c r="C878" s="2" t="s">
        <v>1798</v>
      </c>
      <c r="D878" s="2">
        <v>1</v>
      </c>
      <c r="E878" s="2">
        <v>3</v>
      </c>
      <c r="F878" s="2">
        <v>15</v>
      </c>
      <c r="G878" s="2">
        <v>2</v>
      </c>
      <c r="H878" s="2">
        <v>12</v>
      </c>
      <c r="I878" s="3">
        <v>18</v>
      </c>
      <c r="J878" s="2">
        <v>6</v>
      </c>
      <c r="K878" s="2">
        <v>1</v>
      </c>
      <c r="L878" s="2">
        <v>1</v>
      </c>
      <c r="M878" s="2">
        <v>4</v>
      </c>
      <c r="N878" s="2">
        <v>5</v>
      </c>
      <c r="O878" s="2">
        <v>47</v>
      </c>
      <c r="P878" s="3">
        <v>12</v>
      </c>
      <c r="Q878" s="2">
        <v>5</v>
      </c>
      <c r="R878" s="2">
        <v>5</v>
      </c>
      <c r="S878" s="2">
        <v>0</v>
      </c>
      <c r="T878" s="2">
        <v>2</v>
      </c>
      <c r="U878" s="2">
        <v>0</v>
      </c>
      <c r="V878" s="2">
        <f t="shared" si="297"/>
        <v>52</v>
      </c>
      <c r="W878" s="2">
        <v>0</v>
      </c>
      <c r="X878" s="2">
        <v>6</v>
      </c>
      <c r="Y878" s="2">
        <v>0</v>
      </c>
      <c r="Z878" s="2">
        <f t="shared" si="298"/>
        <v>6</v>
      </c>
      <c r="AA878" s="2">
        <f t="shared" si="299"/>
        <v>58</v>
      </c>
      <c r="AB878" s="2">
        <v>1617</v>
      </c>
      <c r="AC878" s="20">
        <f t="shared" si="300"/>
        <v>3.58688930117502</v>
      </c>
      <c r="AD878" s="32" t="s">
        <v>934</v>
      </c>
      <c r="AE878" s="2">
        <v>188</v>
      </c>
      <c r="AF878" s="21">
        <f t="shared" si="301"/>
        <v>3.58688930117502</v>
      </c>
      <c r="AG878" s="4">
        <f t="shared" si="302"/>
        <v>3.21583178726036</v>
      </c>
      <c r="AH878" s="4">
        <f t="shared" si="303"/>
        <v>0.371057513914657</v>
      </c>
    </row>
    <row r="879" ht="15.75" spans="1:34">
      <c r="A879" s="2">
        <v>20260325</v>
      </c>
      <c r="B879" s="8" t="s">
        <v>1799</v>
      </c>
      <c r="C879" s="2" t="s">
        <v>1800</v>
      </c>
      <c r="D879" s="2">
        <v>1</v>
      </c>
      <c r="E879" s="2">
        <v>0</v>
      </c>
      <c r="F879" s="2">
        <v>1</v>
      </c>
      <c r="G879" s="2">
        <v>0</v>
      </c>
      <c r="H879" s="2">
        <v>3</v>
      </c>
      <c r="I879" s="3">
        <v>5</v>
      </c>
      <c r="J879" s="2">
        <v>2</v>
      </c>
      <c r="K879" s="2">
        <v>0</v>
      </c>
      <c r="L879" s="2">
        <v>0</v>
      </c>
      <c r="M879" s="2">
        <v>3</v>
      </c>
      <c r="N879" s="2">
        <v>3</v>
      </c>
      <c r="O879" s="2">
        <v>2</v>
      </c>
      <c r="P879" s="3">
        <v>6</v>
      </c>
      <c r="Q879" s="2">
        <v>4</v>
      </c>
      <c r="R879" s="2">
        <v>7</v>
      </c>
      <c r="S879" s="2">
        <v>0</v>
      </c>
      <c r="T879" s="2">
        <v>0</v>
      </c>
      <c r="U879" s="2">
        <v>0</v>
      </c>
      <c r="V879" s="2">
        <f t="shared" si="297"/>
        <v>17</v>
      </c>
      <c r="W879" s="2">
        <v>0</v>
      </c>
      <c r="X879" s="2">
        <v>2</v>
      </c>
      <c r="Y879" s="2">
        <v>0</v>
      </c>
      <c r="Z879" s="2">
        <f t="shared" si="298"/>
        <v>2</v>
      </c>
      <c r="AA879" s="2">
        <f t="shared" si="299"/>
        <v>19</v>
      </c>
      <c r="AB879" s="2">
        <v>1317</v>
      </c>
      <c r="AC879" s="20">
        <f t="shared" si="300"/>
        <v>1.44267274107821</v>
      </c>
      <c r="AD879" s="32" t="s">
        <v>934</v>
      </c>
      <c r="AE879" s="2">
        <v>188</v>
      </c>
      <c r="AF879" s="21">
        <f t="shared" si="301"/>
        <v>1.44267274107821</v>
      </c>
      <c r="AG879" s="4">
        <f t="shared" si="302"/>
        <v>1.29081245254366</v>
      </c>
      <c r="AH879" s="4">
        <f t="shared" si="303"/>
        <v>0.151860288534548</v>
      </c>
    </row>
    <row r="880" ht="15.75" spans="1:34">
      <c r="A880" s="2">
        <v>20260325</v>
      </c>
      <c r="B880" s="8" t="s">
        <v>1801</v>
      </c>
      <c r="C880" s="2" t="s">
        <v>1802</v>
      </c>
      <c r="D880" s="2">
        <v>2</v>
      </c>
      <c r="E880" s="2">
        <v>64</v>
      </c>
      <c r="F880" s="2">
        <v>17</v>
      </c>
      <c r="G880" s="2">
        <v>2</v>
      </c>
      <c r="H880" s="2">
        <v>28</v>
      </c>
      <c r="I880" s="3">
        <v>12</v>
      </c>
      <c r="J880" s="2">
        <v>10</v>
      </c>
      <c r="K880" s="2">
        <v>2</v>
      </c>
      <c r="L880" s="2">
        <v>3</v>
      </c>
      <c r="M880" s="2">
        <v>12</v>
      </c>
      <c r="N880" s="2">
        <v>2</v>
      </c>
      <c r="O880" s="2">
        <v>49</v>
      </c>
      <c r="P880" s="3">
        <v>11</v>
      </c>
      <c r="Q880" s="2">
        <v>5</v>
      </c>
      <c r="R880" s="2">
        <v>67</v>
      </c>
      <c r="S880" s="2">
        <v>0</v>
      </c>
      <c r="T880" s="2">
        <v>7</v>
      </c>
      <c r="U880" s="2">
        <v>3</v>
      </c>
      <c r="V880" s="2">
        <f t="shared" si="297"/>
        <v>80</v>
      </c>
      <c r="W880" s="2">
        <v>2</v>
      </c>
      <c r="X880" s="2">
        <v>5</v>
      </c>
      <c r="Y880" s="2">
        <v>0</v>
      </c>
      <c r="Z880" s="2">
        <f t="shared" si="298"/>
        <v>10</v>
      </c>
      <c r="AA880" s="2">
        <f t="shared" si="299"/>
        <v>90</v>
      </c>
      <c r="AB880" s="2">
        <v>1717</v>
      </c>
      <c r="AC880" s="20">
        <f t="shared" si="300"/>
        <v>5.2417006406523</v>
      </c>
      <c r="AD880" s="32" t="s">
        <v>934</v>
      </c>
      <c r="AE880" s="2">
        <v>188</v>
      </c>
      <c r="AF880" s="21">
        <f t="shared" si="301"/>
        <v>5.2417006406523</v>
      </c>
      <c r="AG880" s="4">
        <f t="shared" si="302"/>
        <v>4.6592894583576</v>
      </c>
      <c r="AH880" s="4">
        <f t="shared" si="303"/>
        <v>0.5824111822947</v>
      </c>
    </row>
    <row r="881" ht="15.75" spans="1:34">
      <c r="A881" s="2">
        <v>20260325</v>
      </c>
      <c r="B881" s="8" t="s">
        <v>1803</v>
      </c>
      <c r="C881" s="2" t="s">
        <v>1804</v>
      </c>
      <c r="D881" s="2">
        <v>4</v>
      </c>
      <c r="E881" s="2">
        <v>0</v>
      </c>
      <c r="F881" s="2">
        <v>12</v>
      </c>
      <c r="G881" s="2">
        <v>6</v>
      </c>
      <c r="H881" s="2">
        <v>11</v>
      </c>
      <c r="I881" s="3">
        <v>9</v>
      </c>
      <c r="J881" s="2">
        <v>7</v>
      </c>
      <c r="K881" s="2">
        <v>6</v>
      </c>
      <c r="L881" s="2">
        <v>2</v>
      </c>
      <c r="M881" s="2">
        <v>7</v>
      </c>
      <c r="N881" s="2">
        <v>6</v>
      </c>
      <c r="O881" s="2">
        <v>27</v>
      </c>
      <c r="P881" s="3">
        <v>16</v>
      </c>
      <c r="Q881" s="2">
        <v>9</v>
      </c>
      <c r="R881" s="2">
        <v>10</v>
      </c>
      <c r="S881" s="2">
        <v>0</v>
      </c>
      <c r="T881" s="2">
        <v>2</v>
      </c>
      <c r="U881" s="2">
        <v>0</v>
      </c>
      <c r="V881" s="2">
        <f t="shared" si="297"/>
        <v>59</v>
      </c>
      <c r="W881" s="2">
        <v>3</v>
      </c>
      <c r="X881" s="2">
        <v>4</v>
      </c>
      <c r="Y881" s="2">
        <v>0</v>
      </c>
      <c r="Z881" s="2">
        <f t="shared" si="298"/>
        <v>7</v>
      </c>
      <c r="AA881" s="2">
        <f t="shared" si="299"/>
        <v>66</v>
      </c>
      <c r="AB881" s="2">
        <v>2615</v>
      </c>
      <c r="AC881" s="20">
        <f t="shared" si="300"/>
        <v>2.52390057361377</v>
      </c>
      <c r="AD881" s="32" t="s">
        <v>934</v>
      </c>
      <c r="AE881" s="2">
        <v>188</v>
      </c>
      <c r="AF881" s="21">
        <f t="shared" si="301"/>
        <v>2.52390057361377</v>
      </c>
      <c r="AG881" s="4">
        <f t="shared" si="302"/>
        <v>2.25621414913958</v>
      </c>
      <c r="AH881" s="4">
        <f t="shared" si="303"/>
        <v>0.267686424474187</v>
      </c>
    </row>
    <row r="882" ht="15.75" spans="1:34">
      <c r="A882" s="2">
        <v>20260325</v>
      </c>
      <c r="B882" s="8" t="s">
        <v>1805</v>
      </c>
      <c r="C882" s="2" t="s">
        <v>1806</v>
      </c>
      <c r="D882" s="2">
        <v>8</v>
      </c>
      <c r="E882" s="2">
        <v>20</v>
      </c>
      <c r="F882" s="2">
        <v>20</v>
      </c>
      <c r="G882" s="2">
        <v>11</v>
      </c>
      <c r="H882" s="2">
        <v>17</v>
      </c>
      <c r="I882" s="3">
        <v>26</v>
      </c>
      <c r="J882" s="2">
        <v>20</v>
      </c>
      <c r="K882" s="2">
        <v>34</v>
      </c>
      <c r="L882" s="2">
        <v>0</v>
      </c>
      <c r="M882" s="2">
        <v>7</v>
      </c>
      <c r="N882" s="2">
        <v>15</v>
      </c>
      <c r="O882" s="2">
        <v>67</v>
      </c>
      <c r="P882" s="3">
        <v>25</v>
      </c>
      <c r="Q882" s="2">
        <v>9</v>
      </c>
      <c r="R882" s="2">
        <v>155</v>
      </c>
      <c r="S882" s="2">
        <v>0</v>
      </c>
      <c r="T882" s="2">
        <v>28</v>
      </c>
      <c r="U882" s="2">
        <v>1</v>
      </c>
      <c r="V882" s="2">
        <f t="shared" ref="V882:V918" si="304">AA882-Y882-X882-W882-U882</f>
        <v>154</v>
      </c>
      <c r="W882" s="2">
        <v>3</v>
      </c>
      <c r="X882" s="2">
        <v>11</v>
      </c>
      <c r="Y882" s="2">
        <v>0</v>
      </c>
      <c r="Z882" s="2">
        <f t="shared" ref="Z882:Z925" si="305">Y882+X882+W882+U882</f>
        <v>15</v>
      </c>
      <c r="AA882" s="2">
        <f t="shared" ref="AA882:AA917" si="306">G882+H882+I882+J882+K882+L882+M882+P882+T882+U882</f>
        <v>169</v>
      </c>
      <c r="AB882" s="2">
        <v>2767</v>
      </c>
      <c r="AC882" s="20">
        <f t="shared" si="300"/>
        <v>6.10769786772678</v>
      </c>
      <c r="AD882" s="32" t="s">
        <v>934</v>
      </c>
      <c r="AE882" s="2">
        <v>188</v>
      </c>
      <c r="AF882" s="21">
        <f t="shared" si="301"/>
        <v>6.10769786772678</v>
      </c>
      <c r="AG882" s="4">
        <f t="shared" si="302"/>
        <v>5.56559450668594</v>
      </c>
      <c r="AH882" s="4">
        <f t="shared" si="303"/>
        <v>0.542103361040838</v>
      </c>
    </row>
    <row r="883" ht="15.75" spans="1:34">
      <c r="A883" s="2">
        <v>20260325</v>
      </c>
      <c r="B883" s="8" t="s">
        <v>1807</v>
      </c>
      <c r="C883" s="2" t="s">
        <v>1808</v>
      </c>
      <c r="D883" s="2">
        <v>15</v>
      </c>
      <c r="E883" s="2">
        <v>16</v>
      </c>
      <c r="F883" s="2">
        <v>37</v>
      </c>
      <c r="G883" s="2">
        <v>11</v>
      </c>
      <c r="H883" s="2">
        <v>52</v>
      </c>
      <c r="I883" s="3">
        <v>10</v>
      </c>
      <c r="J883" s="2">
        <v>37</v>
      </c>
      <c r="K883" s="2">
        <v>24</v>
      </c>
      <c r="L883" s="2">
        <v>9</v>
      </c>
      <c r="M883" s="2">
        <v>14</v>
      </c>
      <c r="N883" s="2">
        <v>59</v>
      </c>
      <c r="O883" s="2">
        <v>41</v>
      </c>
      <c r="P883" s="3">
        <v>16</v>
      </c>
      <c r="Q883" s="2">
        <v>18</v>
      </c>
      <c r="R883" s="2">
        <v>18</v>
      </c>
      <c r="S883" s="2">
        <v>1</v>
      </c>
      <c r="T883" s="2">
        <v>12</v>
      </c>
      <c r="U883" s="2">
        <v>6</v>
      </c>
      <c r="V883" s="2">
        <f t="shared" si="304"/>
        <v>175</v>
      </c>
      <c r="W883" s="2">
        <v>5</v>
      </c>
      <c r="X883" s="2">
        <v>5</v>
      </c>
      <c r="Y883" s="2">
        <v>0</v>
      </c>
      <c r="Z883" s="2">
        <f t="shared" si="305"/>
        <v>16</v>
      </c>
      <c r="AA883" s="2">
        <f t="shared" si="306"/>
        <v>191</v>
      </c>
      <c r="AB883" s="2">
        <v>2814</v>
      </c>
      <c r="AC883" s="20">
        <f t="shared" ref="AC883:AC898" si="307">AA883/AB883*100</f>
        <v>6.78749111584932</v>
      </c>
      <c r="AD883" s="32" t="s">
        <v>934</v>
      </c>
      <c r="AE883" s="2">
        <v>188</v>
      </c>
      <c r="AF883" s="21">
        <f t="shared" si="301"/>
        <v>6.78749111584932</v>
      </c>
      <c r="AG883" s="4">
        <f t="shared" si="302"/>
        <v>6.21890547263682</v>
      </c>
      <c r="AH883" s="4">
        <f t="shared" si="303"/>
        <v>0.568585643212509</v>
      </c>
    </row>
    <row r="884" ht="15.75" spans="1:34">
      <c r="A884" s="2">
        <v>20260326</v>
      </c>
      <c r="B884" s="8" t="s">
        <v>1809</v>
      </c>
      <c r="C884" s="2" t="s">
        <v>1810</v>
      </c>
      <c r="D884" s="2">
        <v>2</v>
      </c>
      <c r="E884" s="2">
        <v>0</v>
      </c>
      <c r="F884" s="2">
        <v>7</v>
      </c>
      <c r="G884" s="2">
        <v>2</v>
      </c>
      <c r="H884" s="2">
        <v>3</v>
      </c>
      <c r="I884" s="3">
        <v>26</v>
      </c>
      <c r="J884" s="2">
        <v>4</v>
      </c>
      <c r="K884" s="2">
        <v>6</v>
      </c>
      <c r="L884" s="2">
        <v>2</v>
      </c>
      <c r="M884" s="2">
        <v>8</v>
      </c>
      <c r="N884" s="2">
        <v>6</v>
      </c>
      <c r="O884" s="2">
        <v>21</v>
      </c>
      <c r="P884" s="3">
        <v>12</v>
      </c>
      <c r="Q884" s="2">
        <v>1</v>
      </c>
      <c r="R884" s="2">
        <v>15</v>
      </c>
      <c r="S884" s="2">
        <v>0</v>
      </c>
      <c r="T884" s="2">
        <v>3</v>
      </c>
      <c r="U884" s="2">
        <v>0</v>
      </c>
      <c r="V884" s="2">
        <f t="shared" si="304"/>
        <v>55</v>
      </c>
      <c r="W884" s="2">
        <v>1</v>
      </c>
      <c r="X884" s="2">
        <v>10</v>
      </c>
      <c r="Y884" s="2">
        <v>0</v>
      </c>
      <c r="Z884" s="2">
        <f t="shared" si="305"/>
        <v>11</v>
      </c>
      <c r="AA884" s="2">
        <f t="shared" si="306"/>
        <v>66</v>
      </c>
      <c r="AB884" s="2">
        <v>2615</v>
      </c>
      <c r="AC884" s="20">
        <f t="shared" si="307"/>
        <v>2.52390057361377</v>
      </c>
      <c r="AD884" s="32" t="s">
        <v>934</v>
      </c>
      <c r="AE884" s="2">
        <v>188</v>
      </c>
      <c r="AF884" s="21">
        <f t="shared" si="301"/>
        <v>2.52390057361377</v>
      </c>
      <c r="AG884" s="4">
        <f t="shared" si="302"/>
        <v>2.10325047801147</v>
      </c>
      <c r="AH884" s="4">
        <f t="shared" si="303"/>
        <v>0.420650095602294</v>
      </c>
    </row>
    <row r="885" ht="15.75" spans="1:34">
      <c r="A885" s="2">
        <v>20260326</v>
      </c>
      <c r="B885" s="8" t="s">
        <v>1811</v>
      </c>
      <c r="C885" s="2" t="s">
        <v>1812</v>
      </c>
      <c r="D885" s="2">
        <v>12</v>
      </c>
      <c r="E885" s="2">
        <v>7</v>
      </c>
      <c r="F885" s="2">
        <v>18</v>
      </c>
      <c r="G885" s="2">
        <v>7</v>
      </c>
      <c r="H885" s="2">
        <v>17</v>
      </c>
      <c r="I885" s="3">
        <v>11</v>
      </c>
      <c r="J885" s="2">
        <v>9</v>
      </c>
      <c r="K885" s="2">
        <v>35</v>
      </c>
      <c r="L885" s="2">
        <v>0</v>
      </c>
      <c r="M885" s="2">
        <v>12</v>
      </c>
      <c r="N885" s="2">
        <v>19</v>
      </c>
      <c r="O885" s="2">
        <v>62</v>
      </c>
      <c r="P885" s="3">
        <v>22</v>
      </c>
      <c r="Q885" s="2">
        <v>16</v>
      </c>
      <c r="R885" s="2">
        <v>16</v>
      </c>
      <c r="S885" s="2">
        <v>1</v>
      </c>
      <c r="T885" s="2">
        <v>14</v>
      </c>
      <c r="U885" s="2">
        <v>1</v>
      </c>
      <c r="V885" s="2">
        <f t="shared" si="304"/>
        <v>124</v>
      </c>
      <c r="W885" s="2">
        <v>0</v>
      </c>
      <c r="X885" s="2">
        <v>3</v>
      </c>
      <c r="Y885" s="2">
        <v>0</v>
      </c>
      <c r="Z885" s="2">
        <f t="shared" si="305"/>
        <v>4</v>
      </c>
      <c r="AA885" s="2">
        <f t="shared" si="306"/>
        <v>128</v>
      </c>
      <c r="AB885" s="2">
        <v>2764</v>
      </c>
      <c r="AC885" s="20">
        <f t="shared" si="307"/>
        <v>4.63096960926194</v>
      </c>
      <c r="AD885" s="32" t="s">
        <v>934</v>
      </c>
      <c r="AE885" s="2">
        <v>188</v>
      </c>
      <c r="AF885" s="21">
        <f t="shared" ref="AF885:AF894" si="308">188/AE885*AC885</f>
        <v>4.63096960926194</v>
      </c>
      <c r="AG885" s="4">
        <f t="shared" ref="AG885:AG894" si="309">V885/AB885*100</f>
        <v>4.4862518089725</v>
      </c>
      <c r="AH885" s="4">
        <f t="shared" ref="AH885:AH894" si="310">Z885/AB885*100</f>
        <v>0.144717800289436</v>
      </c>
    </row>
    <row r="886" ht="15.75" spans="1:34">
      <c r="A886" s="2">
        <v>20260326</v>
      </c>
      <c r="B886" s="8" t="s">
        <v>1813</v>
      </c>
      <c r="C886" s="2" t="s">
        <v>1814</v>
      </c>
      <c r="D886" s="2">
        <v>2</v>
      </c>
      <c r="E886" s="2">
        <v>0</v>
      </c>
      <c r="F886" s="2">
        <v>7</v>
      </c>
      <c r="G886" s="2">
        <v>1</v>
      </c>
      <c r="H886" s="2">
        <v>2</v>
      </c>
      <c r="I886" s="3">
        <v>8</v>
      </c>
      <c r="J886" s="2">
        <v>13</v>
      </c>
      <c r="K886" s="2">
        <v>1</v>
      </c>
      <c r="L886" s="2">
        <v>1</v>
      </c>
      <c r="M886" s="2">
        <v>8</v>
      </c>
      <c r="N886" s="2">
        <v>12</v>
      </c>
      <c r="O886" s="2">
        <v>19</v>
      </c>
      <c r="P886" s="3">
        <v>9</v>
      </c>
      <c r="Q886" s="2">
        <v>7</v>
      </c>
      <c r="R886" s="2">
        <v>13</v>
      </c>
      <c r="S886" s="2">
        <v>0</v>
      </c>
      <c r="T886" s="2">
        <v>0</v>
      </c>
      <c r="U886" s="2">
        <v>0</v>
      </c>
      <c r="V886" s="2">
        <f t="shared" si="304"/>
        <v>34</v>
      </c>
      <c r="W886" s="2">
        <v>1</v>
      </c>
      <c r="X886" s="2">
        <v>7</v>
      </c>
      <c r="Y886" s="2">
        <v>1</v>
      </c>
      <c r="Z886" s="2">
        <f t="shared" si="305"/>
        <v>9</v>
      </c>
      <c r="AA886" s="2">
        <f t="shared" si="306"/>
        <v>43</v>
      </c>
      <c r="AB886" s="2">
        <v>2615</v>
      </c>
      <c r="AC886" s="20">
        <f t="shared" si="307"/>
        <v>1.64435946462715</v>
      </c>
      <c r="AD886" s="32" t="s">
        <v>934</v>
      </c>
      <c r="AE886" s="2">
        <v>188</v>
      </c>
      <c r="AF886" s="21">
        <f t="shared" si="308"/>
        <v>1.64435946462715</v>
      </c>
      <c r="AG886" s="4">
        <f t="shared" si="309"/>
        <v>1.30019120458891</v>
      </c>
      <c r="AH886" s="4">
        <f t="shared" si="310"/>
        <v>0.344168260038241</v>
      </c>
    </row>
    <row r="887" ht="15.75" spans="1:34">
      <c r="A887" s="2">
        <v>20260326</v>
      </c>
      <c r="B887" s="8" t="s">
        <v>1815</v>
      </c>
      <c r="C887" s="2" t="s">
        <v>1816</v>
      </c>
      <c r="D887" s="2">
        <v>3</v>
      </c>
      <c r="E887" s="2">
        <v>19</v>
      </c>
      <c r="F887" s="2">
        <v>8</v>
      </c>
      <c r="G887" s="2">
        <v>2</v>
      </c>
      <c r="H887" s="2">
        <v>11</v>
      </c>
      <c r="I887" s="3">
        <v>16</v>
      </c>
      <c r="J887" s="2">
        <v>13</v>
      </c>
      <c r="K887" s="2">
        <v>4</v>
      </c>
      <c r="L887" s="2">
        <v>1</v>
      </c>
      <c r="M887" s="2">
        <v>11</v>
      </c>
      <c r="N887" s="2">
        <v>6</v>
      </c>
      <c r="O887" s="2">
        <v>21</v>
      </c>
      <c r="P887" s="3">
        <v>14</v>
      </c>
      <c r="Q887" s="2">
        <v>3</v>
      </c>
      <c r="R887" s="2">
        <v>25</v>
      </c>
      <c r="S887" s="2">
        <v>3</v>
      </c>
      <c r="T887" s="2">
        <v>0</v>
      </c>
      <c r="U887" s="2">
        <v>0</v>
      </c>
      <c r="V887" s="2">
        <f t="shared" si="304"/>
        <v>57</v>
      </c>
      <c r="W887" s="2">
        <v>8</v>
      </c>
      <c r="X887" s="2">
        <v>7</v>
      </c>
      <c r="Y887" s="2">
        <v>0</v>
      </c>
      <c r="Z887" s="2">
        <f t="shared" si="305"/>
        <v>15</v>
      </c>
      <c r="AA887" s="2">
        <f t="shared" si="306"/>
        <v>72</v>
      </c>
      <c r="AB887" s="2">
        <v>2884</v>
      </c>
      <c r="AC887" s="20">
        <f t="shared" si="307"/>
        <v>2.49653259361997</v>
      </c>
      <c r="AD887" s="32" t="s">
        <v>934</v>
      </c>
      <c r="AE887" s="2">
        <v>188</v>
      </c>
      <c r="AF887" s="21">
        <f t="shared" si="308"/>
        <v>2.49653259361997</v>
      </c>
      <c r="AG887" s="4">
        <f t="shared" si="309"/>
        <v>1.97642163661581</v>
      </c>
      <c r="AH887" s="4">
        <f t="shared" si="310"/>
        <v>0.520110957004161</v>
      </c>
    </row>
    <row r="888" ht="15.75" spans="1:34">
      <c r="A888" s="2">
        <v>20260326</v>
      </c>
      <c r="B888" s="8" t="s">
        <v>1817</v>
      </c>
      <c r="C888" s="2" t="s">
        <v>1818</v>
      </c>
      <c r="D888" s="2">
        <v>2</v>
      </c>
      <c r="E888" s="2">
        <v>16</v>
      </c>
      <c r="F888" s="2">
        <v>17</v>
      </c>
      <c r="G888" s="2">
        <v>9</v>
      </c>
      <c r="H888" s="2">
        <v>4</v>
      </c>
      <c r="I888" s="3">
        <v>5</v>
      </c>
      <c r="J888" s="2">
        <v>25</v>
      </c>
      <c r="K888" s="2">
        <v>1</v>
      </c>
      <c r="L888" s="2">
        <v>1</v>
      </c>
      <c r="M888" s="2">
        <v>10</v>
      </c>
      <c r="N888" s="2">
        <v>9</v>
      </c>
      <c r="O888" s="2">
        <v>5</v>
      </c>
      <c r="P888" s="3">
        <v>5</v>
      </c>
      <c r="Q888" s="2">
        <v>12</v>
      </c>
      <c r="R888" s="2">
        <v>17</v>
      </c>
      <c r="S888" s="2">
        <v>8</v>
      </c>
      <c r="T888" s="2">
        <v>5</v>
      </c>
      <c r="U888" s="2">
        <v>0</v>
      </c>
      <c r="V888" s="2">
        <f t="shared" si="304"/>
        <v>62</v>
      </c>
      <c r="W888" s="2">
        <v>3</v>
      </c>
      <c r="X888" s="2">
        <v>0</v>
      </c>
      <c r="Y888" s="2">
        <v>0</v>
      </c>
      <c r="Z888" s="2">
        <f t="shared" si="305"/>
        <v>3</v>
      </c>
      <c r="AA888" s="2">
        <f t="shared" si="306"/>
        <v>65</v>
      </c>
      <c r="AB888" s="2">
        <v>2326</v>
      </c>
      <c r="AC888" s="20">
        <f t="shared" si="307"/>
        <v>2.7944969905417</v>
      </c>
      <c r="AD888" s="32" t="s">
        <v>934</v>
      </c>
      <c r="AE888" s="2">
        <v>188</v>
      </c>
      <c r="AF888" s="21">
        <f t="shared" si="308"/>
        <v>2.7944969905417</v>
      </c>
      <c r="AG888" s="4">
        <f t="shared" si="309"/>
        <v>2.66552020636285</v>
      </c>
      <c r="AH888" s="4">
        <f t="shared" si="310"/>
        <v>0.128976784178848</v>
      </c>
    </row>
    <row r="889" ht="15.75" spans="1:34">
      <c r="A889" s="2">
        <v>20260326</v>
      </c>
      <c r="B889" s="8" t="s">
        <v>1819</v>
      </c>
      <c r="C889" s="2" t="s">
        <v>1820</v>
      </c>
      <c r="D889" s="2">
        <v>0</v>
      </c>
      <c r="E889" s="2">
        <v>52</v>
      </c>
      <c r="F889" s="2">
        <v>14</v>
      </c>
      <c r="G889" s="2">
        <v>7</v>
      </c>
      <c r="H889" s="2">
        <v>10</v>
      </c>
      <c r="I889" s="3">
        <v>11</v>
      </c>
      <c r="J889" s="2">
        <v>54</v>
      </c>
      <c r="K889" s="2">
        <v>5</v>
      </c>
      <c r="L889" s="2">
        <v>0</v>
      </c>
      <c r="M889" s="2">
        <v>9</v>
      </c>
      <c r="N889" s="2">
        <v>13</v>
      </c>
      <c r="O889" s="2">
        <v>3</v>
      </c>
      <c r="P889" s="3">
        <v>10</v>
      </c>
      <c r="Q889" s="2">
        <v>15</v>
      </c>
      <c r="R889" s="2">
        <v>81</v>
      </c>
      <c r="S889" s="2">
        <v>1</v>
      </c>
      <c r="T889" s="2">
        <v>1</v>
      </c>
      <c r="U889" s="2">
        <v>7</v>
      </c>
      <c r="V889" s="2">
        <f t="shared" si="304"/>
        <v>92</v>
      </c>
      <c r="W889" s="2">
        <v>8</v>
      </c>
      <c r="X889" s="2">
        <v>7</v>
      </c>
      <c r="Y889" s="2">
        <v>0</v>
      </c>
      <c r="Z889" s="2">
        <f t="shared" si="305"/>
        <v>22</v>
      </c>
      <c r="AA889" s="2">
        <f t="shared" si="306"/>
        <v>114</v>
      </c>
      <c r="AB889" s="2">
        <v>2246</v>
      </c>
      <c r="AC889" s="20">
        <f t="shared" si="307"/>
        <v>5.07569011576135</v>
      </c>
      <c r="AD889" s="32" t="s">
        <v>106</v>
      </c>
      <c r="AE889" s="2">
        <v>188</v>
      </c>
      <c r="AF889" s="21">
        <f t="shared" si="308"/>
        <v>5.07569011576135</v>
      </c>
      <c r="AG889" s="4">
        <f t="shared" si="309"/>
        <v>4.09617097061443</v>
      </c>
      <c r="AH889" s="4">
        <f t="shared" si="310"/>
        <v>0.979519145146928</v>
      </c>
    </row>
    <row r="890" ht="15.75" spans="1:34">
      <c r="A890" s="2">
        <v>20260326</v>
      </c>
      <c r="B890" s="8" t="s">
        <v>1821</v>
      </c>
      <c r="C890" s="2" t="s">
        <v>1822</v>
      </c>
      <c r="D890" s="2">
        <v>5</v>
      </c>
      <c r="E890" s="2">
        <v>68</v>
      </c>
      <c r="F890" s="2">
        <v>12</v>
      </c>
      <c r="G890" s="2">
        <v>19</v>
      </c>
      <c r="H890" s="2">
        <v>9</v>
      </c>
      <c r="I890" s="3">
        <v>12</v>
      </c>
      <c r="J890" s="2">
        <v>92</v>
      </c>
      <c r="K890" s="2">
        <v>1</v>
      </c>
      <c r="L890" s="2">
        <v>1</v>
      </c>
      <c r="M890" s="2">
        <v>10</v>
      </c>
      <c r="N890" s="2">
        <v>17</v>
      </c>
      <c r="O890" s="2">
        <v>21</v>
      </c>
      <c r="P890" s="3">
        <v>7</v>
      </c>
      <c r="Q890" s="2">
        <v>12</v>
      </c>
      <c r="R890" s="2">
        <v>64</v>
      </c>
      <c r="S890" s="2">
        <v>4</v>
      </c>
      <c r="T890" s="2">
        <v>8</v>
      </c>
      <c r="U890" s="2">
        <v>0</v>
      </c>
      <c r="V890" s="2">
        <f t="shared" si="304"/>
        <v>145</v>
      </c>
      <c r="W890" s="2">
        <v>11</v>
      </c>
      <c r="X890" s="2">
        <v>3</v>
      </c>
      <c r="Y890" s="2">
        <v>0</v>
      </c>
      <c r="Z890" s="2">
        <f t="shared" si="305"/>
        <v>14</v>
      </c>
      <c r="AA890" s="2">
        <f t="shared" si="306"/>
        <v>159</v>
      </c>
      <c r="AB890" s="2">
        <v>2225</v>
      </c>
      <c r="AC890" s="20">
        <f t="shared" si="307"/>
        <v>7.14606741573034</v>
      </c>
      <c r="AD890" s="32" t="s">
        <v>106</v>
      </c>
      <c r="AE890" s="2">
        <v>188</v>
      </c>
      <c r="AF890" s="21">
        <f t="shared" si="308"/>
        <v>7.14606741573034</v>
      </c>
      <c r="AG890" s="4">
        <f t="shared" si="309"/>
        <v>6.51685393258427</v>
      </c>
      <c r="AH890" s="4">
        <f t="shared" si="310"/>
        <v>0.629213483146067</v>
      </c>
    </row>
    <row r="891" ht="15.75" spans="1:34">
      <c r="A891" s="2">
        <v>20260326</v>
      </c>
      <c r="B891" s="8" t="s">
        <v>1823</v>
      </c>
      <c r="C891" s="2" t="s">
        <v>1824</v>
      </c>
      <c r="D891" s="2">
        <v>3</v>
      </c>
      <c r="E891" s="2">
        <v>55</v>
      </c>
      <c r="F891" s="2">
        <v>16</v>
      </c>
      <c r="G891" s="2">
        <v>8</v>
      </c>
      <c r="H891" s="2">
        <v>14</v>
      </c>
      <c r="I891" s="3">
        <v>14</v>
      </c>
      <c r="J891" s="2">
        <v>32</v>
      </c>
      <c r="K891" s="2">
        <v>2</v>
      </c>
      <c r="L891" s="2">
        <v>0</v>
      </c>
      <c r="M891" s="2">
        <v>26</v>
      </c>
      <c r="N891" s="2">
        <v>17</v>
      </c>
      <c r="O891" s="2">
        <v>23</v>
      </c>
      <c r="P891" s="3">
        <v>9</v>
      </c>
      <c r="Q891" s="2">
        <v>13</v>
      </c>
      <c r="R891" s="2">
        <v>110</v>
      </c>
      <c r="S891" s="2">
        <v>12</v>
      </c>
      <c r="T891" s="2">
        <v>6</v>
      </c>
      <c r="U891" s="2">
        <v>0</v>
      </c>
      <c r="V891" s="2">
        <f t="shared" si="304"/>
        <v>98</v>
      </c>
      <c r="W891" s="2">
        <v>10</v>
      </c>
      <c r="X891" s="2">
        <v>3</v>
      </c>
      <c r="Y891" s="2">
        <v>0</v>
      </c>
      <c r="Z891" s="2">
        <f t="shared" si="305"/>
        <v>13</v>
      </c>
      <c r="AA891" s="2">
        <f t="shared" si="306"/>
        <v>111</v>
      </c>
      <c r="AB891" s="2">
        <v>2375</v>
      </c>
      <c r="AC891" s="20">
        <f t="shared" si="307"/>
        <v>4.67368421052632</v>
      </c>
      <c r="AD891" s="32" t="s">
        <v>106</v>
      </c>
      <c r="AE891" s="2">
        <v>188</v>
      </c>
      <c r="AF891" s="21">
        <f t="shared" si="308"/>
        <v>4.67368421052632</v>
      </c>
      <c r="AG891" s="4">
        <f t="shared" si="309"/>
        <v>4.12631578947368</v>
      </c>
      <c r="AH891" s="4">
        <f t="shared" si="310"/>
        <v>0.547368421052632</v>
      </c>
    </row>
    <row r="892" ht="15.75" spans="1:34">
      <c r="A892" s="2">
        <v>20260326</v>
      </c>
      <c r="B892" s="8" t="s">
        <v>1825</v>
      </c>
      <c r="C892" s="2" t="s">
        <v>1826</v>
      </c>
      <c r="D892" s="2">
        <v>2</v>
      </c>
      <c r="E892" s="2">
        <v>0</v>
      </c>
      <c r="F892" s="2">
        <v>14</v>
      </c>
      <c r="G892" s="2">
        <v>14</v>
      </c>
      <c r="H892" s="2">
        <v>7</v>
      </c>
      <c r="I892" s="3">
        <v>11</v>
      </c>
      <c r="J892" s="2">
        <v>17</v>
      </c>
      <c r="K892" s="2">
        <v>3</v>
      </c>
      <c r="L892" s="2">
        <v>1</v>
      </c>
      <c r="M892" s="2">
        <v>6</v>
      </c>
      <c r="N892" s="2">
        <v>4</v>
      </c>
      <c r="O892" s="2">
        <v>8</v>
      </c>
      <c r="P892" s="3">
        <v>12</v>
      </c>
      <c r="Q892" s="2">
        <v>6</v>
      </c>
      <c r="R892" s="2">
        <v>9</v>
      </c>
      <c r="S892" s="2">
        <v>9</v>
      </c>
      <c r="T892" s="2">
        <v>5</v>
      </c>
      <c r="U892" s="2">
        <v>0</v>
      </c>
      <c r="V892" s="2">
        <f t="shared" si="304"/>
        <v>55</v>
      </c>
      <c r="W892" s="2">
        <v>8</v>
      </c>
      <c r="X892" s="2">
        <v>13</v>
      </c>
      <c r="Y892" s="2">
        <v>0</v>
      </c>
      <c r="Z892" s="2">
        <f t="shared" si="305"/>
        <v>21</v>
      </c>
      <c r="AA892" s="2">
        <f t="shared" si="306"/>
        <v>76</v>
      </c>
      <c r="AB892" s="2">
        <v>2075</v>
      </c>
      <c r="AC892" s="20">
        <f t="shared" si="307"/>
        <v>3.66265060240964</v>
      </c>
      <c r="AD892" s="32" t="s">
        <v>106</v>
      </c>
      <c r="AE892" s="2">
        <v>188</v>
      </c>
      <c r="AF892" s="21">
        <f t="shared" si="308"/>
        <v>3.66265060240964</v>
      </c>
      <c r="AG892" s="4">
        <f t="shared" si="309"/>
        <v>2.65060240963855</v>
      </c>
      <c r="AH892" s="4">
        <f t="shared" si="310"/>
        <v>1.01204819277108</v>
      </c>
    </row>
    <row r="893" ht="15.75" spans="1:34">
      <c r="A893" s="2">
        <v>20260326</v>
      </c>
      <c r="B893" s="8" t="s">
        <v>1827</v>
      </c>
      <c r="C893" s="2" t="s">
        <v>1828</v>
      </c>
      <c r="D893" s="2">
        <v>7</v>
      </c>
      <c r="E893" s="2">
        <v>6</v>
      </c>
      <c r="F893" s="2">
        <v>19</v>
      </c>
      <c r="G893" s="2">
        <v>13</v>
      </c>
      <c r="H893" s="2">
        <v>5</v>
      </c>
      <c r="I893" s="3">
        <v>51</v>
      </c>
      <c r="J893" s="2">
        <v>22</v>
      </c>
      <c r="K893" s="2">
        <v>2</v>
      </c>
      <c r="L893" s="2">
        <v>2</v>
      </c>
      <c r="M893" s="2">
        <v>10</v>
      </c>
      <c r="N893" s="2">
        <v>7</v>
      </c>
      <c r="O893" s="2">
        <v>17</v>
      </c>
      <c r="P893" s="3">
        <v>18</v>
      </c>
      <c r="Q893" s="2">
        <v>13</v>
      </c>
      <c r="R893" s="2">
        <v>19</v>
      </c>
      <c r="S893" s="2">
        <v>13</v>
      </c>
      <c r="T893" s="2">
        <v>4</v>
      </c>
      <c r="U893" s="2">
        <v>0</v>
      </c>
      <c r="V893" s="2">
        <f t="shared" si="304"/>
        <v>115</v>
      </c>
      <c r="W893" s="2">
        <v>7</v>
      </c>
      <c r="X893" s="2">
        <v>5</v>
      </c>
      <c r="Y893" s="2">
        <v>0</v>
      </c>
      <c r="Z893" s="2">
        <f t="shared" si="305"/>
        <v>12</v>
      </c>
      <c r="AA893" s="2">
        <f t="shared" si="306"/>
        <v>127</v>
      </c>
      <c r="AB893" s="2">
        <v>2895</v>
      </c>
      <c r="AC893" s="20">
        <f t="shared" si="307"/>
        <v>4.38687392055268</v>
      </c>
      <c r="AD893" s="32" t="s">
        <v>106</v>
      </c>
      <c r="AE893" s="2">
        <v>188</v>
      </c>
      <c r="AF893" s="21">
        <f t="shared" si="308"/>
        <v>4.38687392055268</v>
      </c>
      <c r="AG893" s="4">
        <f t="shared" si="309"/>
        <v>3.97236614853195</v>
      </c>
      <c r="AH893" s="4">
        <f t="shared" si="310"/>
        <v>0.414507772020725</v>
      </c>
    </row>
    <row r="894" ht="15.75" spans="1:34">
      <c r="A894" s="2">
        <v>20260326</v>
      </c>
      <c r="B894" s="8" t="s">
        <v>1829</v>
      </c>
      <c r="C894" s="2" t="s">
        <v>1830</v>
      </c>
      <c r="D894" s="2">
        <v>5</v>
      </c>
      <c r="E894" s="2">
        <v>11</v>
      </c>
      <c r="F894" s="2">
        <v>20</v>
      </c>
      <c r="G894" s="2">
        <v>9</v>
      </c>
      <c r="H894" s="2">
        <v>7</v>
      </c>
      <c r="I894" s="3">
        <v>18</v>
      </c>
      <c r="J894" s="2">
        <v>24</v>
      </c>
      <c r="K894" s="2">
        <v>1</v>
      </c>
      <c r="L894" s="2">
        <v>1</v>
      </c>
      <c r="M894" s="2">
        <v>6</v>
      </c>
      <c r="N894" s="2">
        <v>8</v>
      </c>
      <c r="O894" s="2">
        <v>28</v>
      </c>
      <c r="P894" s="3">
        <v>7</v>
      </c>
      <c r="Q894" s="2">
        <v>11</v>
      </c>
      <c r="R894" s="2">
        <v>25</v>
      </c>
      <c r="S894" s="2">
        <v>7</v>
      </c>
      <c r="T894" s="2">
        <v>8</v>
      </c>
      <c r="U894" s="2">
        <v>0</v>
      </c>
      <c r="V894" s="2">
        <f t="shared" si="304"/>
        <v>60</v>
      </c>
      <c r="W894" s="2">
        <v>13</v>
      </c>
      <c r="X894" s="2">
        <v>8</v>
      </c>
      <c r="Y894" s="2">
        <v>0</v>
      </c>
      <c r="Z894" s="2">
        <f t="shared" si="305"/>
        <v>21</v>
      </c>
      <c r="AA894" s="2">
        <f t="shared" si="306"/>
        <v>81</v>
      </c>
      <c r="AB894" s="2">
        <v>2375</v>
      </c>
      <c r="AC894" s="20">
        <f t="shared" si="307"/>
        <v>3.41052631578947</v>
      </c>
      <c r="AD894" s="32" t="s">
        <v>106</v>
      </c>
      <c r="AE894" s="2">
        <v>188</v>
      </c>
      <c r="AF894" s="21">
        <f t="shared" ref="AF894:AF904" si="311">188/AE894*AC894</f>
        <v>3.41052631578947</v>
      </c>
      <c r="AG894" s="4">
        <f t="shared" ref="AG894:AG904" si="312">V894/AB894*100</f>
        <v>2.52631578947368</v>
      </c>
      <c r="AH894" s="4">
        <f t="shared" ref="AH894:AH904" si="313">Z894/AB894*100</f>
        <v>0.884210526315789</v>
      </c>
    </row>
    <row r="895" ht="15.75" spans="1:34">
      <c r="A895" s="2">
        <v>20260326</v>
      </c>
      <c r="B895" s="8" t="s">
        <v>1831</v>
      </c>
      <c r="C895" s="2" t="s">
        <v>1832</v>
      </c>
      <c r="D895" s="2">
        <v>2</v>
      </c>
      <c r="E895" s="2">
        <v>7</v>
      </c>
      <c r="F895" s="2">
        <v>21</v>
      </c>
      <c r="G895" s="2">
        <v>6</v>
      </c>
      <c r="H895" s="2">
        <v>3</v>
      </c>
      <c r="I895" s="3">
        <v>10</v>
      </c>
      <c r="J895" s="2">
        <v>25</v>
      </c>
      <c r="K895" s="2">
        <v>11</v>
      </c>
      <c r="L895" s="2">
        <v>10</v>
      </c>
      <c r="M895" s="2">
        <v>9</v>
      </c>
      <c r="N895" s="2">
        <v>34</v>
      </c>
      <c r="O895" s="2">
        <v>9</v>
      </c>
      <c r="P895" s="3">
        <v>9</v>
      </c>
      <c r="Q895" s="2">
        <v>18</v>
      </c>
      <c r="R895" s="2">
        <v>14</v>
      </c>
      <c r="S895" s="2">
        <v>4</v>
      </c>
      <c r="T895" s="2">
        <v>0</v>
      </c>
      <c r="U895" s="2">
        <v>0</v>
      </c>
      <c r="V895" s="2">
        <f t="shared" si="304"/>
        <v>71</v>
      </c>
      <c r="W895" s="2">
        <v>2</v>
      </c>
      <c r="X895" s="2">
        <v>10</v>
      </c>
      <c r="Y895" s="2">
        <v>0</v>
      </c>
      <c r="Z895" s="2">
        <f t="shared" si="305"/>
        <v>12</v>
      </c>
      <c r="AA895" s="2">
        <f t="shared" si="306"/>
        <v>83</v>
      </c>
      <c r="AB895" s="2">
        <v>2585</v>
      </c>
      <c r="AC895" s="20">
        <f t="shared" si="307"/>
        <v>3.21083172147002</v>
      </c>
      <c r="AD895" s="32" t="s">
        <v>106</v>
      </c>
      <c r="AE895" s="2">
        <v>188</v>
      </c>
      <c r="AF895" s="21">
        <f t="shared" si="311"/>
        <v>3.21083172147002</v>
      </c>
      <c r="AG895" s="4">
        <f t="shared" si="312"/>
        <v>2.74661508704062</v>
      </c>
      <c r="AH895" s="4">
        <f t="shared" si="313"/>
        <v>0.4642166344294</v>
      </c>
    </row>
    <row r="896" ht="15.75" spans="1:34">
      <c r="A896" s="2">
        <v>20260326</v>
      </c>
      <c r="B896" s="8" t="s">
        <v>1833</v>
      </c>
      <c r="C896" s="2" t="s">
        <v>1834</v>
      </c>
      <c r="D896" s="2">
        <v>2</v>
      </c>
      <c r="E896" s="2">
        <v>112</v>
      </c>
      <c r="F896" s="2">
        <v>3</v>
      </c>
      <c r="G896" s="2">
        <v>6</v>
      </c>
      <c r="H896" s="2">
        <v>20</v>
      </c>
      <c r="I896" s="3">
        <v>20</v>
      </c>
      <c r="J896" s="2">
        <v>0</v>
      </c>
      <c r="K896" s="2">
        <v>0</v>
      </c>
      <c r="L896" s="2">
        <v>4</v>
      </c>
      <c r="M896" s="2">
        <v>11</v>
      </c>
      <c r="N896" s="2">
        <v>35</v>
      </c>
      <c r="O896" s="2">
        <v>11</v>
      </c>
      <c r="P896" s="3">
        <v>1</v>
      </c>
      <c r="Q896" s="2">
        <v>11</v>
      </c>
      <c r="R896" s="2">
        <v>5</v>
      </c>
      <c r="S896" s="2">
        <v>6</v>
      </c>
      <c r="T896" s="2">
        <v>1</v>
      </c>
      <c r="U896" s="2">
        <v>0</v>
      </c>
      <c r="V896" s="2">
        <f t="shared" si="304"/>
        <v>53</v>
      </c>
      <c r="W896" s="2">
        <v>4</v>
      </c>
      <c r="X896" s="2">
        <v>6</v>
      </c>
      <c r="Y896" s="2">
        <v>0</v>
      </c>
      <c r="Z896" s="2">
        <f t="shared" si="305"/>
        <v>10</v>
      </c>
      <c r="AA896" s="2">
        <f t="shared" si="306"/>
        <v>63</v>
      </c>
      <c r="AB896" s="2">
        <v>2475</v>
      </c>
      <c r="AC896" s="20">
        <f t="shared" si="307"/>
        <v>2.54545454545455</v>
      </c>
      <c r="AD896" s="32" t="s">
        <v>106</v>
      </c>
      <c r="AE896" s="2">
        <v>188</v>
      </c>
      <c r="AF896" s="21">
        <f t="shared" si="311"/>
        <v>2.54545454545455</v>
      </c>
      <c r="AG896" s="4">
        <f t="shared" si="312"/>
        <v>2.14141414141414</v>
      </c>
      <c r="AH896" s="4">
        <f t="shared" si="313"/>
        <v>0.404040404040404</v>
      </c>
    </row>
    <row r="897" ht="15.75" spans="1:34">
      <c r="A897" s="2">
        <v>20260326</v>
      </c>
      <c r="B897" s="8" t="s">
        <v>1835</v>
      </c>
      <c r="C897" s="2" t="s">
        <v>1836</v>
      </c>
      <c r="D897" s="2">
        <v>2</v>
      </c>
      <c r="E897" s="2">
        <v>0</v>
      </c>
      <c r="F897" s="2">
        <v>14</v>
      </c>
      <c r="G897" s="2">
        <v>5</v>
      </c>
      <c r="H897" s="2">
        <v>2</v>
      </c>
      <c r="I897" s="3">
        <v>12</v>
      </c>
      <c r="J897" s="2">
        <v>14</v>
      </c>
      <c r="K897" s="2">
        <v>2</v>
      </c>
      <c r="L897" s="2">
        <v>0</v>
      </c>
      <c r="M897" s="2">
        <v>9</v>
      </c>
      <c r="N897" s="2">
        <v>5</v>
      </c>
      <c r="O897" s="2">
        <v>19</v>
      </c>
      <c r="P897" s="3">
        <v>15</v>
      </c>
      <c r="Q897" s="2">
        <v>7</v>
      </c>
      <c r="R897" s="2">
        <v>30</v>
      </c>
      <c r="S897" s="2">
        <v>2</v>
      </c>
      <c r="T897" s="2">
        <v>1</v>
      </c>
      <c r="U897" s="2">
        <v>0</v>
      </c>
      <c r="V897" s="2">
        <f t="shared" si="304"/>
        <v>45</v>
      </c>
      <c r="W897" s="2">
        <v>8</v>
      </c>
      <c r="X897" s="2">
        <v>7</v>
      </c>
      <c r="Y897" s="2">
        <v>0</v>
      </c>
      <c r="Z897" s="2">
        <f t="shared" si="305"/>
        <v>15</v>
      </c>
      <c r="AA897" s="2">
        <f t="shared" si="306"/>
        <v>60</v>
      </c>
      <c r="AB897" s="2">
        <v>2075</v>
      </c>
      <c r="AC897" s="20">
        <f t="shared" si="307"/>
        <v>2.89156626506024</v>
      </c>
      <c r="AD897" s="32" t="s">
        <v>106</v>
      </c>
      <c r="AE897" s="2">
        <v>188</v>
      </c>
      <c r="AF897" s="21">
        <f t="shared" si="311"/>
        <v>2.89156626506024</v>
      </c>
      <c r="AG897" s="4">
        <f t="shared" si="312"/>
        <v>2.16867469879518</v>
      </c>
      <c r="AH897" s="4">
        <f t="shared" si="313"/>
        <v>0.72289156626506</v>
      </c>
    </row>
    <row r="898" spans="1:34">
      <c r="A898" s="2">
        <v>20260326</v>
      </c>
      <c r="B898" s="8" t="s">
        <v>1837</v>
      </c>
      <c r="C898" s="2" t="s">
        <v>1838</v>
      </c>
      <c r="D898" s="2">
        <v>4</v>
      </c>
      <c r="E898" s="2">
        <v>111</v>
      </c>
      <c r="F898" s="2">
        <v>22</v>
      </c>
      <c r="G898" s="2">
        <v>14</v>
      </c>
      <c r="H898" s="2">
        <v>10</v>
      </c>
      <c r="I898" s="3">
        <v>22</v>
      </c>
      <c r="J898" s="2">
        <v>22</v>
      </c>
      <c r="K898" s="2">
        <v>2</v>
      </c>
      <c r="L898" s="2">
        <v>2</v>
      </c>
      <c r="M898" s="2">
        <v>5</v>
      </c>
      <c r="N898" s="2">
        <v>22</v>
      </c>
      <c r="O898" s="2">
        <v>4</v>
      </c>
      <c r="P898" s="3">
        <v>11</v>
      </c>
      <c r="Q898" s="2">
        <v>15</v>
      </c>
      <c r="R898" s="2">
        <v>111</v>
      </c>
      <c r="S898" s="2">
        <v>7</v>
      </c>
      <c r="T898" s="2">
        <v>9</v>
      </c>
      <c r="U898" s="2">
        <v>0</v>
      </c>
      <c r="V898" s="2">
        <f t="shared" si="304"/>
        <v>94</v>
      </c>
      <c r="W898" s="2">
        <v>0</v>
      </c>
      <c r="X898" s="2">
        <v>3</v>
      </c>
      <c r="Y898" s="2">
        <v>0</v>
      </c>
      <c r="Z898" s="2">
        <f t="shared" si="305"/>
        <v>3</v>
      </c>
      <c r="AA898" s="2">
        <f t="shared" si="306"/>
        <v>97</v>
      </c>
      <c r="AB898" s="2">
        <v>4562</v>
      </c>
      <c r="AC898" s="20">
        <f t="shared" si="307"/>
        <v>2.12626041209996</v>
      </c>
      <c r="AD898" s="2" t="s">
        <v>83</v>
      </c>
      <c r="AE898" s="2">
        <v>125</v>
      </c>
      <c r="AF898" s="21">
        <f t="shared" si="311"/>
        <v>3.19789565979833</v>
      </c>
      <c r="AG898" s="4">
        <f t="shared" si="312"/>
        <v>2.0604997807979</v>
      </c>
      <c r="AH898" s="4">
        <f t="shared" si="313"/>
        <v>0.0657606313020605</v>
      </c>
    </row>
    <row r="899" spans="1:34">
      <c r="A899" s="2">
        <v>20260326</v>
      </c>
      <c r="B899" s="8" t="s">
        <v>1839</v>
      </c>
      <c r="C899" s="2" t="s">
        <v>1840</v>
      </c>
      <c r="D899" s="2">
        <v>8</v>
      </c>
      <c r="E899" s="2">
        <v>39</v>
      </c>
      <c r="F899" s="2">
        <v>30</v>
      </c>
      <c r="G899" s="2">
        <v>17</v>
      </c>
      <c r="H899" s="2">
        <v>27</v>
      </c>
      <c r="I899" s="3">
        <v>24</v>
      </c>
      <c r="J899" s="2">
        <v>20</v>
      </c>
      <c r="K899" s="2">
        <v>12</v>
      </c>
      <c r="L899" s="2">
        <v>4</v>
      </c>
      <c r="M899" s="2">
        <v>6</v>
      </c>
      <c r="N899" s="2">
        <v>45</v>
      </c>
      <c r="O899" s="2">
        <v>79</v>
      </c>
      <c r="P899" s="3">
        <v>17</v>
      </c>
      <c r="Q899" s="2">
        <v>26</v>
      </c>
      <c r="R899" s="2">
        <v>158</v>
      </c>
      <c r="S899" s="2">
        <v>0</v>
      </c>
      <c r="T899" s="2">
        <v>13</v>
      </c>
      <c r="U899" s="2">
        <v>0</v>
      </c>
      <c r="V899" s="2">
        <f t="shared" si="304"/>
        <v>137</v>
      </c>
      <c r="W899" s="2">
        <v>0</v>
      </c>
      <c r="X899" s="2">
        <v>3</v>
      </c>
      <c r="Y899" s="2">
        <v>0</v>
      </c>
      <c r="Z899" s="2">
        <f t="shared" si="305"/>
        <v>3</v>
      </c>
      <c r="AA899" s="2">
        <f t="shared" si="306"/>
        <v>140</v>
      </c>
      <c r="AB899" s="2">
        <v>5094</v>
      </c>
      <c r="AC899" s="20">
        <f t="shared" ref="AC899:AC912" si="314">AA899/AB899*100</f>
        <v>2.7483313702395</v>
      </c>
      <c r="AD899" s="2" t="s">
        <v>83</v>
      </c>
      <c r="AE899" s="2">
        <v>125</v>
      </c>
      <c r="AF899" s="21">
        <f t="shared" ref="AF899:AF912" si="315">188/AE899*AC899</f>
        <v>4.1334903808402</v>
      </c>
      <c r="AG899" s="4">
        <f t="shared" ref="AG899:AG912" si="316">V899/AB899*100</f>
        <v>2.68943855516294</v>
      </c>
      <c r="AH899" s="4">
        <f t="shared" ref="AH899:AH912" si="317">Z899/AB899*100</f>
        <v>0.0588928150765607</v>
      </c>
    </row>
    <row r="900" spans="1:34">
      <c r="A900" s="2">
        <v>20260326</v>
      </c>
      <c r="B900" s="2" t="s">
        <v>1841</v>
      </c>
      <c r="C900" s="2" t="s">
        <v>1842</v>
      </c>
      <c r="D900" s="2">
        <v>4</v>
      </c>
      <c r="E900" s="2">
        <v>6</v>
      </c>
      <c r="F900" s="2">
        <v>18</v>
      </c>
      <c r="G900" s="2">
        <v>6</v>
      </c>
      <c r="H900" s="2">
        <v>15</v>
      </c>
      <c r="I900" s="3">
        <v>19</v>
      </c>
      <c r="J900" s="2">
        <v>22</v>
      </c>
      <c r="K900" s="2">
        <v>3</v>
      </c>
      <c r="L900" s="2">
        <v>2</v>
      </c>
      <c r="M900" s="2">
        <v>15</v>
      </c>
      <c r="N900" s="2">
        <v>35</v>
      </c>
      <c r="O900" s="2">
        <v>12</v>
      </c>
      <c r="P900" s="3">
        <v>10</v>
      </c>
      <c r="Q900" s="2">
        <v>25</v>
      </c>
      <c r="R900" s="2">
        <v>428</v>
      </c>
      <c r="S900" s="2">
        <v>3</v>
      </c>
      <c r="T900" s="2">
        <v>10</v>
      </c>
      <c r="U900" s="2">
        <v>0</v>
      </c>
      <c r="V900" s="2">
        <f t="shared" si="304"/>
        <v>95</v>
      </c>
      <c r="W900" s="2">
        <v>0</v>
      </c>
      <c r="X900" s="2">
        <v>7</v>
      </c>
      <c r="Y900" s="2">
        <v>0</v>
      </c>
      <c r="Z900" s="2">
        <f t="shared" si="305"/>
        <v>7</v>
      </c>
      <c r="AA900" s="2">
        <f t="shared" si="306"/>
        <v>102</v>
      </c>
      <c r="AB900" s="2">
        <v>4144</v>
      </c>
      <c r="AC900" s="20">
        <f t="shared" si="314"/>
        <v>2.46138996138996</v>
      </c>
      <c r="AD900" s="2" t="s">
        <v>83</v>
      </c>
      <c r="AE900" s="2">
        <v>125</v>
      </c>
      <c r="AF900" s="21">
        <f t="shared" si="315"/>
        <v>3.7019305019305</v>
      </c>
      <c r="AG900" s="4">
        <f t="shared" si="316"/>
        <v>2.29247104247104</v>
      </c>
      <c r="AH900" s="4">
        <f t="shared" si="317"/>
        <v>0.168918918918919</v>
      </c>
    </row>
    <row r="901" spans="1:34">
      <c r="A901" s="2">
        <v>20260327</v>
      </c>
      <c r="B901" s="2" t="s">
        <v>1843</v>
      </c>
      <c r="C901" s="2" t="s">
        <v>1844</v>
      </c>
      <c r="D901" s="2">
        <v>3</v>
      </c>
      <c r="E901" s="2">
        <v>7</v>
      </c>
      <c r="F901" s="2">
        <v>7</v>
      </c>
      <c r="G901" s="2">
        <v>9</v>
      </c>
      <c r="H901" s="2">
        <v>11</v>
      </c>
      <c r="I901" s="3">
        <v>18</v>
      </c>
      <c r="J901" s="2">
        <v>7</v>
      </c>
      <c r="K901" s="2">
        <v>9</v>
      </c>
      <c r="L901" s="2">
        <v>1</v>
      </c>
      <c r="M901" s="2">
        <v>5</v>
      </c>
      <c r="N901" s="2">
        <v>28</v>
      </c>
      <c r="O901" s="2">
        <v>10</v>
      </c>
      <c r="P901" s="3">
        <v>10</v>
      </c>
      <c r="Q901" s="2">
        <v>20</v>
      </c>
      <c r="R901" s="2">
        <v>158</v>
      </c>
      <c r="S901" s="2">
        <v>2</v>
      </c>
      <c r="T901" s="2">
        <v>4</v>
      </c>
      <c r="U901" s="2">
        <v>0</v>
      </c>
      <c r="V901" s="2">
        <f t="shared" si="304"/>
        <v>70</v>
      </c>
      <c r="W901" s="2">
        <v>0</v>
      </c>
      <c r="X901" s="2">
        <v>4</v>
      </c>
      <c r="Y901" s="2">
        <v>0</v>
      </c>
      <c r="Z901" s="2">
        <f t="shared" si="305"/>
        <v>4</v>
      </c>
      <c r="AA901" s="2">
        <f t="shared" si="306"/>
        <v>74</v>
      </c>
      <c r="AB901" s="2">
        <v>7767</v>
      </c>
      <c r="AC901" s="20">
        <f t="shared" si="314"/>
        <v>0.952748809063989</v>
      </c>
      <c r="AD901" s="2" t="s">
        <v>83</v>
      </c>
      <c r="AE901" s="2">
        <v>125</v>
      </c>
      <c r="AF901" s="21">
        <f t="shared" si="315"/>
        <v>1.43293420883224</v>
      </c>
      <c r="AG901" s="4">
        <f t="shared" si="316"/>
        <v>0.901248873438908</v>
      </c>
      <c r="AH901" s="4">
        <f t="shared" si="317"/>
        <v>0.0514999356250805</v>
      </c>
    </row>
    <row r="902" spans="1:34">
      <c r="A902" s="2">
        <v>20260327</v>
      </c>
      <c r="B902" s="2" t="s">
        <v>1845</v>
      </c>
      <c r="C902" s="2" t="s">
        <v>1846</v>
      </c>
      <c r="D902" s="2">
        <v>1</v>
      </c>
      <c r="E902" s="2">
        <v>3</v>
      </c>
      <c r="F902" s="2">
        <v>9</v>
      </c>
      <c r="G902" s="2">
        <v>5</v>
      </c>
      <c r="H902" s="2">
        <v>11</v>
      </c>
      <c r="I902" s="3">
        <v>10</v>
      </c>
      <c r="J902" s="2">
        <v>15</v>
      </c>
      <c r="K902" s="2">
        <v>4</v>
      </c>
      <c r="L902" s="2">
        <v>1</v>
      </c>
      <c r="M902" s="2">
        <v>6</v>
      </c>
      <c r="N902" s="2">
        <v>31</v>
      </c>
      <c r="O902" s="2">
        <v>8</v>
      </c>
      <c r="P902" s="3">
        <v>6</v>
      </c>
      <c r="Q902" s="2">
        <v>5</v>
      </c>
      <c r="R902" s="2">
        <v>203</v>
      </c>
      <c r="S902" s="2">
        <v>4</v>
      </c>
      <c r="T902" s="2">
        <v>6</v>
      </c>
      <c r="U902" s="2">
        <v>0</v>
      </c>
      <c r="V902" s="2">
        <f t="shared" si="304"/>
        <v>64</v>
      </c>
      <c r="W902" s="2">
        <v>0</v>
      </c>
      <c r="X902" s="2">
        <v>0</v>
      </c>
      <c r="Y902" s="2">
        <v>0</v>
      </c>
      <c r="Z902" s="2">
        <f t="shared" si="305"/>
        <v>0</v>
      </c>
      <c r="AA902" s="2">
        <f t="shared" si="306"/>
        <v>64</v>
      </c>
      <c r="AB902" s="2">
        <v>4195</v>
      </c>
      <c r="AC902" s="20">
        <f t="shared" si="314"/>
        <v>1.52562574493445</v>
      </c>
      <c r="AD902" s="2" t="s">
        <v>83</v>
      </c>
      <c r="AE902" s="2">
        <v>125</v>
      </c>
      <c r="AF902" s="21">
        <f t="shared" si="315"/>
        <v>2.29454112038141</v>
      </c>
      <c r="AG902" s="4">
        <f t="shared" si="316"/>
        <v>1.52562574493445</v>
      </c>
      <c r="AH902" s="4">
        <f t="shared" si="317"/>
        <v>0</v>
      </c>
    </row>
    <row r="903" spans="1:34">
      <c r="A903" s="2">
        <v>20260327</v>
      </c>
      <c r="B903" s="2" t="s">
        <v>1847</v>
      </c>
      <c r="C903" s="2" t="s">
        <v>1848</v>
      </c>
      <c r="D903" s="2">
        <v>3</v>
      </c>
      <c r="E903" s="2">
        <v>5</v>
      </c>
      <c r="F903" s="2">
        <v>5</v>
      </c>
      <c r="G903" s="2">
        <v>5</v>
      </c>
      <c r="H903" s="2">
        <v>17</v>
      </c>
      <c r="I903" s="3">
        <v>11</v>
      </c>
      <c r="J903" s="2">
        <v>8</v>
      </c>
      <c r="K903" s="2">
        <v>4</v>
      </c>
      <c r="L903" s="2">
        <v>1</v>
      </c>
      <c r="M903" s="2">
        <v>1</v>
      </c>
      <c r="N903" s="2">
        <v>33</v>
      </c>
      <c r="O903" s="2">
        <v>10</v>
      </c>
      <c r="P903" s="3">
        <v>11</v>
      </c>
      <c r="Q903" s="2">
        <v>25</v>
      </c>
      <c r="R903" s="2">
        <v>291</v>
      </c>
      <c r="S903" s="2">
        <v>3</v>
      </c>
      <c r="T903" s="2">
        <v>6</v>
      </c>
      <c r="U903" s="2">
        <v>1</v>
      </c>
      <c r="V903" s="2">
        <f t="shared" si="304"/>
        <v>63</v>
      </c>
      <c r="W903" s="2">
        <v>0</v>
      </c>
      <c r="X903" s="2">
        <v>1</v>
      </c>
      <c r="Y903" s="2">
        <v>0</v>
      </c>
      <c r="Z903" s="2">
        <f t="shared" si="305"/>
        <v>2</v>
      </c>
      <c r="AA903" s="2">
        <f t="shared" si="306"/>
        <v>65</v>
      </c>
      <c r="AB903" s="2">
        <v>4195</v>
      </c>
      <c r="AC903" s="20">
        <f t="shared" si="314"/>
        <v>1.54946364719905</v>
      </c>
      <c r="AD903" s="2" t="s">
        <v>83</v>
      </c>
      <c r="AE903" s="2">
        <v>125</v>
      </c>
      <c r="AF903" s="21">
        <f t="shared" si="315"/>
        <v>2.33039332538737</v>
      </c>
      <c r="AG903" s="4">
        <f t="shared" si="316"/>
        <v>1.50178784266984</v>
      </c>
      <c r="AH903" s="4">
        <f t="shared" si="317"/>
        <v>0.0476758045292014</v>
      </c>
    </row>
    <row r="904" spans="1:34">
      <c r="A904" s="2">
        <v>20260327</v>
      </c>
      <c r="B904" s="2" t="s">
        <v>1849</v>
      </c>
      <c r="C904" s="2" t="s">
        <v>1850</v>
      </c>
      <c r="D904" s="2">
        <v>3</v>
      </c>
      <c r="E904" s="2">
        <v>43</v>
      </c>
      <c r="F904" s="2">
        <v>8</v>
      </c>
      <c r="G904" s="2">
        <v>17</v>
      </c>
      <c r="H904" s="2">
        <v>38</v>
      </c>
      <c r="I904" s="3">
        <v>30</v>
      </c>
      <c r="J904" s="2">
        <v>25</v>
      </c>
      <c r="K904" s="2">
        <v>2</v>
      </c>
      <c r="L904" s="2">
        <v>0</v>
      </c>
      <c r="M904" s="2">
        <v>11</v>
      </c>
      <c r="N904" s="2">
        <v>36</v>
      </c>
      <c r="O904" s="2">
        <v>4</v>
      </c>
      <c r="P904" s="3">
        <v>9</v>
      </c>
      <c r="Q904" s="2">
        <v>6</v>
      </c>
      <c r="R904" s="2">
        <v>1501</v>
      </c>
      <c r="S904" s="2">
        <v>7</v>
      </c>
      <c r="T904" s="2">
        <v>41</v>
      </c>
      <c r="U904" s="2">
        <v>3</v>
      </c>
      <c r="V904" s="2">
        <f t="shared" si="304"/>
        <v>173</v>
      </c>
      <c r="W904" s="2">
        <v>0</v>
      </c>
      <c r="X904" s="2">
        <v>0</v>
      </c>
      <c r="Y904" s="2">
        <v>0</v>
      </c>
      <c r="Z904" s="2">
        <f t="shared" si="305"/>
        <v>3</v>
      </c>
      <c r="AA904" s="2">
        <f t="shared" si="306"/>
        <v>176</v>
      </c>
      <c r="AB904" s="2">
        <v>3979</v>
      </c>
      <c r="AC904" s="20">
        <f t="shared" si="314"/>
        <v>4.42322191505403</v>
      </c>
      <c r="AD904" s="2" t="s">
        <v>229</v>
      </c>
      <c r="AE904" s="2">
        <v>100</v>
      </c>
      <c r="AF904" s="21">
        <f t="shared" si="315"/>
        <v>8.31565720030158</v>
      </c>
      <c r="AG904" s="4">
        <f t="shared" si="316"/>
        <v>4.34782608695652</v>
      </c>
      <c r="AH904" s="4">
        <f t="shared" si="317"/>
        <v>0.0753958280975119</v>
      </c>
    </row>
    <row r="905" spans="1:34">
      <c r="A905" s="2">
        <v>20260327</v>
      </c>
      <c r="B905" s="2" t="s">
        <v>1851</v>
      </c>
      <c r="C905" s="2" t="s">
        <v>1852</v>
      </c>
      <c r="D905" s="2">
        <v>5</v>
      </c>
      <c r="E905" s="2">
        <v>38</v>
      </c>
      <c r="F905" s="2">
        <v>7</v>
      </c>
      <c r="G905" s="2">
        <v>26</v>
      </c>
      <c r="H905" s="2">
        <v>80</v>
      </c>
      <c r="I905" s="3">
        <v>22</v>
      </c>
      <c r="J905" s="2">
        <v>49</v>
      </c>
      <c r="K905" s="2">
        <v>15</v>
      </c>
      <c r="L905" s="2">
        <v>1</v>
      </c>
      <c r="M905" s="2">
        <v>17</v>
      </c>
      <c r="N905" s="2">
        <v>68</v>
      </c>
      <c r="O905" s="2">
        <v>6</v>
      </c>
      <c r="P905" s="3">
        <v>18</v>
      </c>
      <c r="Q905" s="2">
        <v>15</v>
      </c>
      <c r="R905" s="2">
        <v>2409</v>
      </c>
      <c r="S905" s="2">
        <v>5</v>
      </c>
      <c r="T905" s="2">
        <v>25</v>
      </c>
      <c r="U905" s="2">
        <v>0</v>
      </c>
      <c r="V905" s="2">
        <f t="shared" si="304"/>
        <v>250</v>
      </c>
      <c r="W905" s="2">
        <v>3</v>
      </c>
      <c r="X905" s="2">
        <v>0</v>
      </c>
      <c r="Y905" s="2">
        <v>0</v>
      </c>
      <c r="Z905" s="2">
        <f t="shared" si="305"/>
        <v>3</v>
      </c>
      <c r="AA905" s="2">
        <f t="shared" si="306"/>
        <v>253</v>
      </c>
      <c r="AB905" s="2">
        <v>6215</v>
      </c>
      <c r="AC905" s="20">
        <f t="shared" si="314"/>
        <v>4.07079646017699</v>
      </c>
      <c r="AD905" s="2" t="s">
        <v>229</v>
      </c>
      <c r="AE905" s="2">
        <v>100</v>
      </c>
      <c r="AF905" s="21">
        <f t="shared" si="315"/>
        <v>7.65309734513274</v>
      </c>
      <c r="AG905" s="4">
        <f t="shared" si="316"/>
        <v>4.02252614641995</v>
      </c>
      <c r="AH905" s="4">
        <f t="shared" si="317"/>
        <v>0.0482703137570394</v>
      </c>
    </row>
    <row r="906" spans="1:34">
      <c r="A906" s="2">
        <v>20260327</v>
      </c>
      <c r="B906" s="2" t="s">
        <v>1853</v>
      </c>
      <c r="C906" s="2" t="s">
        <v>1854</v>
      </c>
      <c r="D906" s="2">
        <v>3</v>
      </c>
      <c r="E906" s="2">
        <v>26</v>
      </c>
      <c r="F906" s="2">
        <v>3</v>
      </c>
      <c r="G906" s="2">
        <v>6</v>
      </c>
      <c r="H906" s="2">
        <v>150</v>
      </c>
      <c r="I906" s="3">
        <v>11</v>
      </c>
      <c r="J906" s="2">
        <v>24</v>
      </c>
      <c r="K906" s="2">
        <v>4</v>
      </c>
      <c r="L906" s="2">
        <v>1</v>
      </c>
      <c r="M906" s="2">
        <v>9</v>
      </c>
      <c r="N906" s="2">
        <v>39</v>
      </c>
      <c r="O906" s="2">
        <v>3</v>
      </c>
      <c r="P906" s="3">
        <v>14</v>
      </c>
      <c r="Q906" s="2">
        <v>6</v>
      </c>
      <c r="R906" s="2">
        <v>1251</v>
      </c>
      <c r="S906" s="2">
        <v>4</v>
      </c>
      <c r="T906" s="2">
        <v>22</v>
      </c>
      <c r="U906" s="2">
        <v>0</v>
      </c>
      <c r="V906" s="2">
        <f t="shared" si="304"/>
        <v>239</v>
      </c>
      <c r="W906" s="2">
        <v>2</v>
      </c>
      <c r="X906" s="2">
        <v>0</v>
      </c>
      <c r="Y906" s="2">
        <v>0</v>
      </c>
      <c r="Z906" s="2">
        <f t="shared" si="305"/>
        <v>2</v>
      </c>
      <c r="AA906" s="2">
        <f t="shared" si="306"/>
        <v>241</v>
      </c>
      <c r="AB906" s="2">
        <v>3169</v>
      </c>
      <c r="AC906" s="20">
        <f t="shared" si="314"/>
        <v>7.60492268854528</v>
      </c>
      <c r="AD906" s="2" t="s">
        <v>229</v>
      </c>
      <c r="AE906" s="2">
        <v>100</v>
      </c>
      <c r="AF906" s="21">
        <f t="shared" si="315"/>
        <v>14.2972546544651</v>
      </c>
      <c r="AG906" s="4">
        <f t="shared" si="316"/>
        <v>7.5418112969391</v>
      </c>
      <c r="AH906" s="4">
        <f t="shared" si="317"/>
        <v>0.0631113916061849</v>
      </c>
    </row>
    <row r="907" spans="1:34">
      <c r="A907" s="2">
        <v>20260327</v>
      </c>
      <c r="B907" s="2" t="s">
        <v>1855</v>
      </c>
      <c r="C907" s="2" t="s">
        <v>1856</v>
      </c>
      <c r="D907" s="2">
        <v>3</v>
      </c>
      <c r="E907" s="2">
        <v>48</v>
      </c>
      <c r="F907" s="2">
        <v>6</v>
      </c>
      <c r="G907" s="2">
        <v>48</v>
      </c>
      <c r="H907" s="2">
        <v>147</v>
      </c>
      <c r="I907" s="3">
        <v>19</v>
      </c>
      <c r="J907" s="2">
        <v>58</v>
      </c>
      <c r="K907" s="2">
        <v>8</v>
      </c>
      <c r="L907" s="2">
        <v>1</v>
      </c>
      <c r="M907" s="2">
        <v>15</v>
      </c>
      <c r="N907" s="2">
        <v>67</v>
      </c>
      <c r="O907" s="2">
        <v>7</v>
      </c>
      <c r="P907" s="3">
        <v>17</v>
      </c>
      <c r="Q907" s="2">
        <v>14</v>
      </c>
      <c r="R907" s="2">
        <v>3931</v>
      </c>
      <c r="S907" s="2">
        <v>4</v>
      </c>
      <c r="T907" s="2">
        <v>43</v>
      </c>
      <c r="U907" s="2">
        <v>2</v>
      </c>
      <c r="V907" s="2">
        <f t="shared" si="304"/>
        <v>356</v>
      </c>
      <c r="W907" s="2">
        <v>0</v>
      </c>
      <c r="X907" s="2">
        <v>0</v>
      </c>
      <c r="Y907" s="2">
        <v>0</v>
      </c>
      <c r="Z907" s="2">
        <f t="shared" si="305"/>
        <v>2</v>
      </c>
      <c r="AA907" s="2">
        <f t="shared" si="306"/>
        <v>358</v>
      </c>
      <c r="AB907" s="2">
        <v>6215</v>
      </c>
      <c r="AC907" s="20">
        <f t="shared" si="314"/>
        <v>5.76025744167337</v>
      </c>
      <c r="AD907" s="2" t="s">
        <v>229</v>
      </c>
      <c r="AE907" s="2">
        <v>100</v>
      </c>
      <c r="AF907" s="21">
        <f t="shared" si="315"/>
        <v>10.8292839903459</v>
      </c>
      <c r="AG907" s="4">
        <f t="shared" si="316"/>
        <v>5.72807723250201</v>
      </c>
      <c r="AH907" s="4">
        <f t="shared" si="317"/>
        <v>0.0321802091713596</v>
      </c>
    </row>
    <row r="908" spans="1:34">
      <c r="A908" s="2">
        <v>20260327</v>
      </c>
      <c r="B908" s="2" t="s">
        <v>1857</v>
      </c>
      <c r="C908" s="2" t="s">
        <v>1858</v>
      </c>
      <c r="D908" s="2">
        <v>5</v>
      </c>
      <c r="E908" s="2">
        <v>21</v>
      </c>
      <c r="F908" s="2">
        <v>6</v>
      </c>
      <c r="G908" s="2">
        <v>20</v>
      </c>
      <c r="H908" s="2">
        <v>52</v>
      </c>
      <c r="I908" s="3">
        <v>8</v>
      </c>
      <c r="J908" s="2">
        <v>39</v>
      </c>
      <c r="K908" s="2">
        <v>6</v>
      </c>
      <c r="L908" s="2">
        <v>1</v>
      </c>
      <c r="M908" s="2">
        <v>6</v>
      </c>
      <c r="N908" s="2">
        <v>25</v>
      </c>
      <c r="O908" s="2">
        <v>4</v>
      </c>
      <c r="P908" s="3">
        <v>22</v>
      </c>
      <c r="Q908" s="2">
        <v>7</v>
      </c>
      <c r="R908" s="2">
        <v>1275</v>
      </c>
      <c r="S908" s="2">
        <v>12</v>
      </c>
      <c r="T908" s="2">
        <v>35</v>
      </c>
      <c r="U908" s="2">
        <v>0</v>
      </c>
      <c r="V908" s="2">
        <f t="shared" si="304"/>
        <v>186</v>
      </c>
      <c r="W908" s="2">
        <v>0</v>
      </c>
      <c r="X908" s="2">
        <v>3</v>
      </c>
      <c r="Y908" s="2">
        <v>0</v>
      </c>
      <c r="Z908" s="2">
        <f t="shared" si="305"/>
        <v>3</v>
      </c>
      <c r="AA908" s="2">
        <f t="shared" si="306"/>
        <v>189</v>
      </c>
      <c r="AB908" s="2">
        <v>3111</v>
      </c>
      <c r="AC908" s="20">
        <f t="shared" si="314"/>
        <v>6.07521697203472</v>
      </c>
      <c r="AD908" s="2" t="s">
        <v>229</v>
      </c>
      <c r="AE908" s="2">
        <v>100</v>
      </c>
      <c r="AF908" s="21">
        <f t="shared" si="315"/>
        <v>11.4214079074253</v>
      </c>
      <c r="AG908" s="4">
        <f t="shared" si="316"/>
        <v>5.97878495660559</v>
      </c>
      <c r="AH908" s="4">
        <f t="shared" si="317"/>
        <v>0.0964320154291225</v>
      </c>
    </row>
    <row r="909" spans="1:34">
      <c r="A909" s="2">
        <v>20260327</v>
      </c>
      <c r="B909" s="2" t="s">
        <v>1859</v>
      </c>
      <c r="C909" s="2" t="s">
        <v>1860</v>
      </c>
      <c r="D909" s="2">
        <v>7</v>
      </c>
      <c r="E909" s="2">
        <v>9</v>
      </c>
      <c r="F909" s="2">
        <v>75</v>
      </c>
      <c r="G909" s="2">
        <v>41</v>
      </c>
      <c r="H909" s="2">
        <v>19</v>
      </c>
      <c r="I909" s="3">
        <v>21</v>
      </c>
      <c r="J909" s="2">
        <v>13</v>
      </c>
      <c r="K909" s="2">
        <v>4</v>
      </c>
      <c r="L909" s="2">
        <v>4</v>
      </c>
      <c r="M909" s="2">
        <v>30</v>
      </c>
      <c r="N909" s="2">
        <v>29</v>
      </c>
      <c r="O909" s="2">
        <v>41</v>
      </c>
      <c r="P909" s="3">
        <v>18</v>
      </c>
      <c r="Q909" s="2">
        <v>42</v>
      </c>
      <c r="R909" s="2">
        <v>22</v>
      </c>
      <c r="S909" s="2">
        <v>5</v>
      </c>
      <c r="T909" s="2">
        <v>6</v>
      </c>
      <c r="U909" s="2">
        <v>0</v>
      </c>
      <c r="V909" s="2">
        <f t="shared" si="304"/>
        <v>148</v>
      </c>
      <c r="W909" s="2">
        <v>2</v>
      </c>
      <c r="X909" s="2">
        <v>6</v>
      </c>
      <c r="Y909" s="2">
        <v>0</v>
      </c>
      <c r="Z909" s="2">
        <f t="shared" si="305"/>
        <v>8</v>
      </c>
      <c r="AA909" s="2">
        <f t="shared" si="306"/>
        <v>156</v>
      </c>
      <c r="AB909" s="2">
        <v>712</v>
      </c>
      <c r="AC909" s="20">
        <f t="shared" si="314"/>
        <v>21.9101123595506</v>
      </c>
      <c r="AD909" s="2" t="s">
        <v>1861</v>
      </c>
      <c r="AE909" s="2">
        <v>250</v>
      </c>
      <c r="AF909" s="21">
        <f t="shared" si="315"/>
        <v>16.476404494382</v>
      </c>
      <c r="AG909" s="4">
        <f t="shared" si="316"/>
        <v>20.7865168539326</v>
      </c>
      <c r="AH909" s="4">
        <f t="shared" si="317"/>
        <v>1.12359550561798</v>
      </c>
    </row>
    <row r="910" spans="1:34">
      <c r="A910" s="2">
        <v>20260327</v>
      </c>
      <c r="B910" s="2" t="s">
        <v>1862</v>
      </c>
      <c r="C910" s="2" t="s">
        <v>1863</v>
      </c>
      <c r="D910" s="2">
        <v>0</v>
      </c>
      <c r="E910" s="2">
        <v>8</v>
      </c>
      <c r="F910" s="2">
        <v>12</v>
      </c>
      <c r="G910" s="2">
        <v>1</v>
      </c>
      <c r="H910" s="2">
        <v>4</v>
      </c>
      <c r="I910" s="3">
        <v>20</v>
      </c>
      <c r="J910" s="2">
        <v>4</v>
      </c>
      <c r="K910" s="2">
        <v>0</v>
      </c>
      <c r="L910" s="2">
        <v>0</v>
      </c>
      <c r="M910" s="2">
        <v>5</v>
      </c>
      <c r="N910" s="2">
        <v>4</v>
      </c>
      <c r="O910" s="2">
        <v>2</v>
      </c>
      <c r="P910" s="3">
        <v>9</v>
      </c>
      <c r="Q910" s="2">
        <v>4</v>
      </c>
      <c r="R910" s="2">
        <v>8</v>
      </c>
      <c r="S910" s="2">
        <v>0</v>
      </c>
      <c r="T910" s="2">
        <v>1</v>
      </c>
      <c r="U910" s="2">
        <v>0</v>
      </c>
      <c r="V910" s="2">
        <f t="shared" si="304"/>
        <v>33</v>
      </c>
      <c r="W910" s="2">
        <v>0</v>
      </c>
      <c r="X910" s="2">
        <v>11</v>
      </c>
      <c r="Y910" s="2">
        <v>0</v>
      </c>
      <c r="Z910" s="2">
        <f t="shared" si="305"/>
        <v>11</v>
      </c>
      <c r="AA910" s="2">
        <f t="shared" si="306"/>
        <v>44</v>
      </c>
      <c r="AB910" s="2">
        <v>668</v>
      </c>
      <c r="AC910" s="20">
        <f t="shared" si="314"/>
        <v>6.58682634730539</v>
      </c>
      <c r="AD910" s="2" t="s">
        <v>1861</v>
      </c>
      <c r="AE910" s="2">
        <v>250</v>
      </c>
      <c r="AF910" s="21">
        <f t="shared" si="315"/>
        <v>4.95329341317365</v>
      </c>
      <c r="AG910" s="4">
        <f t="shared" si="316"/>
        <v>4.94011976047904</v>
      </c>
      <c r="AH910" s="4">
        <f t="shared" si="317"/>
        <v>1.64670658682635</v>
      </c>
    </row>
    <row r="911" spans="1:34">
      <c r="A911" s="2">
        <v>20260327</v>
      </c>
      <c r="B911" s="2" t="s">
        <v>1864</v>
      </c>
      <c r="C911" s="2" t="s">
        <v>1865</v>
      </c>
      <c r="D911" s="2">
        <v>0</v>
      </c>
      <c r="E911" s="2">
        <v>5</v>
      </c>
      <c r="F911" s="2">
        <v>1</v>
      </c>
      <c r="G911" s="2">
        <v>2</v>
      </c>
      <c r="H911" s="2">
        <v>5</v>
      </c>
      <c r="I911" s="3">
        <v>68</v>
      </c>
      <c r="J911" s="2">
        <v>1</v>
      </c>
      <c r="K911" s="2">
        <v>2</v>
      </c>
      <c r="L911" s="2">
        <v>1</v>
      </c>
      <c r="M911" s="2">
        <v>16</v>
      </c>
      <c r="N911" s="2">
        <v>2</v>
      </c>
      <c r="O911" s="2">
        <v>6</v>
      </c>
      <c r="P911" s="3">
        <v>18</v>
      </c>
      <c r="Q911" s="2">
        <v>1</v>
      </c>
      <c r="R911" s="2">
        <v>7</v>
      </c>
      <c r="S911" s="2">
        <v>2</v>
      </c>
      <c r="T911" s="2">
        <v>2</v>
      </c>
      <c r="U911" s="2">
        <v>0</v>
      </c>
      <c r="V911" s="2">
        <f t="shared" si="304"/>
        <v>71</v>
      </c>
      <c r="W911" s="2">
        <v>31</v>
      </c>
      <c r="X911" s="2">
        <v>13</v>
      </c>
      <c r="Y911" s="2">
        <v>0</v>
      </c>
      <c r="Z911" s="2">
        <f t="shared" si="305"/>
        <v>44</v>
      </c>
      <c r="AA911" s="2">
        <f t="shared" si="306"/>
        <v>115</v>
      </c>
      <c r="AB911" s="2">
        <v>1151</v>
      </c>
      <c r="AC911" s="20">
        <f t="shared" si="314"/>
        <v>9.99131190269331</v>
      </c>
      <c r="AD911" s="2" t="s">
        <v>1861</v>
      </c>
      <c r="AE911" s="2">
        <v>250</v>
      </c>
      <c r="AF911" s="21">
        <f t="shared" si="315"/>
        <v>7.51346655082537</v>
      </c>
      <c r="AG911" s="4">
        <f t="shared" si="316"/>
        <v>6.16854908774978</v>
      </c>
      <c r="AH911" s="4">
        <f t="shared" si="317"/>
        <v>3.82276281494353</v>
      </c>
    </row>
    <row r="912" spans="1:34">
      <c r="A912" s="2">
        <v>20260327</v>
      </c>
      <c r="B912" s="2" t="s">
        <v>1866</v>
      </c>
      <c r="C912" s="2" t="s">
        <v>1867</v>
      </c>
      <c r="D912" s="2">
        <v>0</v>
      </c>
      <c r="E912" s="2">
        <v>1087</v>
      </c>
      <c r="F912" s="2">
        <v>397</v>
      </c>
      <c r="G912" s="2">
        <v>70</v>
      </c>
      <c r="H912" s="2">
        <v>102</v>
      </c>
      <c r="I912" s="3">
        <v>27</v>
      </c>
      <c r="J912" s="2">
        <v>248</v>
      </c>
      <c r="K912" s="2">
        <v>34</v>
      </c>
      <c r="L912" s="2">
        <v>8</v>
      </c>
      <c r="M912" s="2">
        <v>26</v>
      </c>
      <c r="N912" s="2">
        <v>214</v>
      </c>
      <c r="O912" s="2">
        <v>141</v>
      </c>
      <c r="P912" s="3">
        <v>39</v>
      </c>
      <c r="Q912" s="2">
        <v>106</v>
      </c>
      <c r="R912" s="2">
        <v>49</v>
      </c>
      <c r="S912" s="2">
        <v>4</v>
      </c>
      <c r="T912" s="2">
        <v>174</v>
      </c>
      <c r="U912" s="2">
        <v>13</v>
      </c>
      <c r="V912" s="2">
        <f t="shared" si="304"/>
        <v>700</v>
      </c>
      <c r="W912" s="2">
        <v>7</v>
      </c>
      <c r="X912" s="2">
        <v>21</v>
      </c>
      <c r="Y912" s="2">
        <v>0</v>
      </c>
      <c r="Z912" s="2">
        <f t="shared" si="305"/>
        <v>41</v>
      </c>
      <c r="AA912" s="2">
        <f t="shared" si="306"/>
        <v>741</v>
      </c>
      <c r="AB912" s="2">
        <v>1706</v>
      </c>
      <c r="AC912" s="20">
        <f t="shared" ref="AC912:AC919" si="318">AA912/AB912*100</f>
        <v>43.4349355216882</v>
      </c>
      <c r="AD912" s="2" t="s">
        <v>1868</v>
      </c>
      <c r="AE912" s="2">
        <v>250</v>
      </c>
      <c r="AF912" s="21">
        <f t="shared" si="315"/>
        <v>32.6630715123095</v>
      </c>
      <c r="AG912" s="4">
        <f t="shared" si="316"/>
        <v>41.031652989449</v>
      </c>
      <c r="AH912" s="4">
        <f t="shared" si="317"/>
        <v>2.40328253223916</v>
      </c>
    </row>
    <row r="913" spans="1:34">
      <c r="A913" s="2">
        <v>20260327</v>
      </c>
      <c r="B913" s="2" t="s">
        <v>1869</v>
      </c>
      <c r="C913" s="2" t="s">
        <v>1870</v>
      </c>
      <c r="D913" s="2">
        <v>5</v>
      </c>
      <c r="E913" s="2">
        <v>9</v>
      </c>
      <c r="F913" s="2">
        <v>8</v>
      </c>
      <c r="G913" s="2">
        <v>1</v>
      </c>
      <c r="H913" s="2">
        <v>12</v>
      </c>
      <c r="I913" s="3">
        <v>6</v>
      </c>
      <c r="J913" s="2">
        <v>5</v>
      </c>
      <c r="K913" s="2">
        <v>6</v>
      </c>
      <c r="L913" s="2">
        <v>1</v>
      </c>
      <c r="M913" s="2">
        <v>19</v>
      </c>
      <c r="N913" s="2">
        <v>3</v>
      </c>
      <c r="O913" s="2">
        <v>21</v>
      </c>
      <c r="P913" s="3">
        <v>20</v>
      </c>
      <c r="Q913" s="2">
        <v>5</v>
      </c>
      <c r="R913" s="2">
        <v>2</v>
      </c>
      <c r="S913" s="2">
        <v>2</v>
      </c>
      <c r="T913" s="2">
        <v>2</v>
      </c>
      <c r="U913" s="2">
        <v>0</v>
      </c>
      <c r="V913" s="2">
        <f t="shared" si="304"/>
        <v>61</v>
      </c>
      <c r="W913" s="2">
        <v>8</v>
      </c>
      <c r="X913" s="2">
        <v>3</v>
      </c>
      <c r="Y913" s="2">
        <v>0</v>
      </c>
      <c r="Z913" s="2">
        <f t="shared" si="305"/>
        <v>11</v>
      </c>
      <c r="AA913" s="2">
        <f t="shared" si="306"/>
        <v>72</v>
      </c>
      <c r="AB913" s="2">
        <v>1063</v>
      </c>
      <c r="AC913" s="20">
        <f t="shared" si="318"/>
        <v>6.77328316086547</v>
      </c>
      <c r="AD913" s="2" t="s">
        <v>229</v>
      </c>
      <c r="AE913" s="2">
        <v>250</v>
      </c>
      <c r="AF913" s="21">
        <f t="shared" ref="AF913:AF925" si="319">188/AE913*AC913</f>
        <v>5.09350893697084</v>
      </c>
      <c r="AG913" s="4">
        <f t="shared" ref="AG913:AG925" si="320">V913/AB913*100</f>
        <v>5.7384760112888</v>
      </c>
      <c r="AH913" s="4">
        <f t="shared" ref="AH913:AH925" si="321">Z913/AB913*100</f>
        <v>1.03480714957667</v>
      </c>
    </row>
    <row r="914" spans="1:34">
      <c r="A914" s="2">
        <v>20260328</v>
      </c>
      <c r="B914" s="2" t="s">
        <v>1871</v>
      </c>
      <c r="C914" s="2" t="s">
        <v>1872</v>
      </c>
      <c r="D914" s="2">
        <v>1</v>
      </c>
      <c r="E914" s="2">
        <v>22</v>
      </c>
      <c r="F914" s="2">
        <v>6</v>
      </c>
      <c r="G914" s="2">
        <v>2</v>
      </c>
      <c r="H914" s="2">
        <v>9</v>
      </c>
      <c r="I914" s="3">
        <v>24</v>
      </c>
      <c r="J914" s="2">
        <v>9</v>
      </c>
      <c r="K914" s="2">
        <v>7</v>
      </c>
      <c r="L914" s="2">
        <v>1</v>
      </c>
      <c r="M914" s="2">
        <v>29</v>
      </c>
      <c r="N914" s="2">
        <v>2</v>
      </c>
      <c r="O914" s="2">
        <v>12</v>
      </c>
      <c r="P914" s="3">
        <v>34</v>
      </c>
      <c r="Q914" s="2">
        <v>6</v>
      </c>
      <c r="R914" s="2">
        <v>4</v>
      </c>
      <c r="S914" s="2">
        <v>4</v>
      </c>
      <c r="T914" s="2">
        <v>6</v>
      </c>
      <c r="U914" s="2">
        <v>0</v>
      </c>
      <c r="V914" s="2">
        <f t="shared" si="304"/>
        <v>105</v>
      </c>
      <c r="W914" s="2">
        <v>8</v>
      </c>
      <c r="X914" s="2">
        <v>8</v>
      </c>
      <c r="Y914" s="2">
        <v>0</v>
      </c>
      <c r="Z914" s="2">
        <f t="shared" si="305"/>
        <v>16</v>
      </c>
      <c r="AA914" s="2">
        <f t="shared" si="306"/>
        <v>121</v>
      </c>
      <c r="AB914" s="2">
        <v>1486</v>
      </c>
      <c r="AC914" s="20">
        <f t="shared" si="318"/>
        <v>8.14266487213997</v>
      </c>
      <c r="AD914" s="2" t="s">
        <v>229</v>
      </c>
      <c r="AE914" s="2">
        <v>250</v>
      </c>
      <c r="AF914" s="21">
        <f t="shared" si="319"/>
        <v>6.12328398384926</v>
      </c>
      <c r="AG914" s="4">
        <f t="shared" si="320"/>
        <v>7.06594885598923</v>
      </c>
      <c r="AH914" s="4">
        <f t="shared" si="321"/>
        <v>1.07671601615074</v>
      </c>
    </row>
    <row r="915" spans="1:34">
      <c r="A915" s="2">
        <v>20260328</v>
      </c>
      <c r="B915" s="2" t="s">
        <v>1873</v>
      </c>
      <c r="C915" s="2" t="s">
        <v>1874</v>
      </c>
      <c r="D915" s="2">
        <v>0</v>
      </c>
      <c r="E915" s="2">
        <v>6</v>
      </c>
      <c r="F915" s="2">
        <v>4</v>
      </c>
      <c r="G915" s="2">
        <v>0</v>
      </c>
      <c r="H915" s="2">
        <v>2</v>
      </c>
      <c r="I915" s="3">
        <v>12</v>
      </c>
      <c r="J915" s="2">
        <v>5</v>
      </c>
      <c r="K915" s="2">
        <v>2</v>
      </c>
      <c r="L915" s="2">
        <v>0</v>
      </c>
      <c r="M915" s="2">
        <v>17</v>
      </c>
      <c r="N915" s="2">
        <v>1</v>
      </c>
      <c r="O915" s="2">
        <v>12</v>
      </c>
      <c r="P915" s="3">
        <v>13</v>
      </c>
      <c r="Q915" s="2">
        <v>3</v>
      </c>
      <c r="R915" s="2">
        <v>7</v>
      </c>
      <c r="S915" s="2">
        <v>1</v>
      </c>
      <c r="T915" s="2">
        <v>0</v>
      </c>
      <c r="U915" s="2">
        <v>1</v>
      </c>
      <c r="V915" s="2">
        <f t="shared" si="304"/>
        <v>46</v>
      </c>
      <c r="W915" s="2">
        <v>1</v>
      </c>
      <c r="X915" s="2">
        <v>4</v>
      </c>
      <c r="Y915" s="2">
        <v>0</v>
      </c>
      <c r="Z915" s="2">
        <f t="shared" si="305"/>
        <v>6</v>
      </c>
      <c r="AA915" s="2">
        <f t="shared" si="306"/>
        <v>52</v>
      </c>
      <c r="AB915" s="2">
        <v>1366</v>
      </c>
      <c r="AC915" s="20">
        <f t="shared" si="318"/>
        <v>3.80673499267936</v>
      </c>
      <c r="AD915" s="2" t="s">
        <v>229</v>
      </c>
      <c r="AE915" s="2">
        <v>250</v>
      </c>
      <c r="AF915" s="21">
        <f t="shared" si="319"/>
        <v>2.86266471449488</v>
      </c>
      <c r="AG915" s="4">
        <f t="shared" si="320"/>
        <v>3.36749633967789</v>
      </c>
      <c r="AH915" s="4">
        <f t="shared" si="321"/>
        <v>0.439238653001464</v>
      </c>
    </row>
    <row r="916" spans="1:34">
      <c r="A916" s="2">
        <v>20260328</v>
      </c>
      <c r="B916" s="2" t="s">
        <v>1875</v>
      </c>
      <c r="C916" s="2" t="s">
        <v>1876</v>
      </c>
      <c r="D916" s="2">
        <v>0</v>
      </c>
      <c r="E916" s="2">
        <v>26</v>
      </c>
      <c r="F916" s="2">
        <v>0</v>
      </c>
      <c r="G916" s="2">
        <v>3</v>
      </c>
      <c r="H916" s="2">
        <v>6</v>
      </c>
      <c r="I916" s="3">
        <v>13</v>
      </c>
      <c r="J916" s="2">
        <v>10</v>
      </c>
      <c r="K916" s="2">
        <v>1</v>
      </c>
      <c r="L916" s="2">
        <v>0</v>
      </c>
      <c r="M916" s="2">
        <v>11</v>
      </c>
      <c r="N916" s="2">
        <v>0</v>
      </c>
      <c r="O916" s="2">
        <v>5</v>
      </c>
      <c r="P916" s="3">
        <v>20</v>
      </c>
      <c r="Q916" s="2">
        <v>1</v>
      </c>
      <c r="R916" s="2">
        <v>12</v>
      </c>
      <c r="S916" s="2">
        <v>1</v>
      </c>
      <c r="T916" s="2">
        <v>3</v>
      </c>
      <c r="U916" s="2">
        <v>1</v>
      </c>
      <c r="V916" s="2">
        <f t="shared" si="304"/>
        <v>56</v>
      </c>
      <c r="W916" s="2">
        <v>3</v>
      </c>
      <c r="X916" s="2">
        <v>8</v>
      </c>
      <c r="Y916" s="2">
        <v>0</v>
      </c>
      <c r="Z916" s="2">
        <f t="shared" si="305"/>
        <v>12</v>
      </c>
      <c r="AA916" s="2">
        <f t="shared" si="306"/>
        <v>68</v>
      </c>
      <c r="AB916" s="2">
        <v>1334</v>
      </c>
      <c r="AC916" s="20">
        <f t="shared" si="318"/>
        <v>5.09745127436282</v>
      </c>
      <c r="AD916" s="2" t="s">
        <v>229</v>
      </c>
      <c r="AE916" s="2">
        <v>250</v>
      </c>
      <c r="AF916" s="21">
        <f t="shared" si="319"/>
        <v>3.83328335832084</v>
      </c>
      <c r="AG916" s="4">
        <f t="shared" si="320"/>
        <v>4.19790104947526</v>
      </c>
      <c r="AH916" s="4">
        <f t="shared" si="321"/>
        <v>0.899550224887556</v>
      </c>
    </row>
    <row r="917" spans="1:34">
      <c r="A917" s="2">
        <v>20260328</v>
      </c>
      <c r="B917" s="2" t="s">
        <v>1877</v>
      </c>
      <c r="C917" s="2" t="s">
        <v>1878</v>
      </c>
      <c r="D917" s="2">
        <v>0</v>
      </c>
      <c r="E917" s="2">
        <v>0</v>
      </c>
      <c r="F917" s="2">
        <v>4</v>
      </c>
      <c r="G917" s="2">
        <v>1</v>
      </c>
      <c r="H917" s="2">
        <v>1</v>
      </c>
      <c r="I917" s="3">
        <v>16</v>
      </c>
      <c r="J917" s="2">
        <v>10</v>
      </c>
      <c r="K917" s="2">
        <v>0</v>
      </c>
      <c r="L917" s="2">
        <v>1</v>
      </c>
      <c r="M917" s="2">
        <v>5</v>
      </c>
      <c r="N917" s="2">
        <v>7</v>
      </c>
      <c r="O917" s="2">
        <v>4</v>
      </c>
      <c r="P917" s="3">
        <v>14</v>
      </c>
      <c r="Q917" s="2">
        <v>0</v>
      </c>
      <c r="R917" s="2">
        <v>3</v>
      </c>
      <c r="S917" s="2">
        <v>0</v>
      </c>
      <c r="T917" s="2">
        <v>4</v>
      </c>
      <c r="U917" s="2">
        <v>1</v>
      </c>
      <c r="V917" s="2">
        <f t="shared" si="304"/>
        <v>32</v>
      </c>
      <c r="W917" s="2">
        <v>5</v>
      </c>
      <c r="X917" s="2">
        <v>15</v>
      </c>
      <c r="Y917" s="2">
        <v>0</v>
      </c>
      <c r="Z917" s="2">
        <f t="shared" si="305"/>
        <v>21</v>
      </c>
      <c r="AA917" s="2">
        <f t="shared" si="306"/>
        <v>53</v>
      </c>
      <c r="AB917" s="2">
        <v>1676</v>
      </c>
      <c r="AC917" s="20">
        <f t="shared" si="318"/>
        <v>3.16229116945107</v>
      </c>
      <c r="AD917" s="2" t="s">
        <v>1879</v>
      </c>
      <c r="AE917" s="2">
        <v>188</v>
      </c>
      <c r="AF917" s="21">
        <f t="shared" si="319"/>
        <v>3.16229116945107</v>
      </c>
      <c r="AG917" s="4">
        <f t="shared" si="320"/>
        <v>1.90930787589499</v>
      </c>
      <c r="AH917" s="4">
        <f t="shared" si="321"/>
        <v>1.25298329355609</v>
      </c>
    </row>
    <row r="918" spans="1:34">
      <c r="A918" s="2">
        <v>20260328</v>
      </c>
      <c r="B918" s="2" t="s">
        <v>1880</v>
      </c>
      <c r="C918" s="2" t="s">
        <v>1881</v>
      </c>
      <c r="D918" s="2">
        <v>1</v>
      </c>
      <c r="E918" s="2">
        <v>1466</v>
      </c>
      <c r="F918" s="2">
        <v>10</v>
      </c>
      <c r="G918" s="2">
        <v>5</v>
      </c>
      <c r="H918" s="2">
        <v>0</v>
      </c>
      <c r="I918" s="3">
        <v>20</v>
      </c>
      <c r="J918" s="2">
        <v>4</v>
      </c>
      <c r="K918" s="2">
        <v>1</v>
      </c>
      <c r="L918" s="2">
        <v>1</v>
      </c>
      <c r="M918" s="2">
        <v>18</v>
      </c>
      <c r="N918" s="2">
        <v>7</v>
      </c>
      <c r="O918" s="2">
        <v>16</v>
      </c>
      <c r="P918" s="3">
        <v>24</v>
      </c>
      <c r="Q918" s="2">
        <v>8</v>
      </c>
      <c r="R918" s="2">
        <v>7</v>
      </c>
      <c r="S918" s="2">
        <v>6</v>
      </c>
      <c r="T918" s="2">
        <v>1</v>
      </c>
      <c r="U918" s="2">
        <v>0</v>
      </c>
      <c r="V918" s="2">
        <f t="shared" si="304"/>
        <v>56</v>
      </c>
      <c r="W918" s="2">
        <v>5</v>
      </c>
      <c r="X918" s="2">
        <v>13</v>
      </c>
      <c r="Y918" s="2">
        <v>0</v>
      </c>
      <c r="Z918" s="2">
        <f t="shared" si="305"/>
        <v>18</v>
      </c>
      <c r="AA918" s="2">
        <f t="shared" ref="AA918:AA928" si="322">G918+H918+I918+J918+K918+L918+M918+P918+T918+U918</f>
        <v>74</v>
      </c>
      <c r="AB918" s="2">
        <v>2525</v>
      </c>
      <c r="AC918" s="20">
        <f t="shared" si="318"/>
        <v>2.93069306930693</v>
      </c>
      <c r="AD918" s="2" t="s">
        <v>1879</v>
      </c>
      <c r="AE918" s="2">
        <v>188</v>
      </c>
      <c r="AF918" s="21">
        <f t="shared" si="319"/>
        <v>2.93069306930693</v>
      </c>
      <c r="AG918" s="4">
        <f t="shared" si="320"/>
        <v>2.21782178217822</v>
      </c>
      <c r="AH918" s="4">
        <f t="shared" si="321"/>
        <v>0.712871287128713</v>
      </c>
    </row>
    <row r="919" spans="1:34">
      <c r="A919" s="2">
        <v>20260328</v>
      </c>
      <c r="B919" s="2" t="s">
        <v>1882</v>
      </c>
      <c r="C919" s="2" t="s">
        <v>1883</v>
      </c>
      <c r="D919" s="2">
        <v>1</v>
      </c>
      <c r="E919" s="2">
        <v>1</v>
      </c>
      <c r="F919" s="2">
        <v>5</v>
      </c>
      <c r="G919" s="2">
        <v>3</v>
      </c>
      <c r="H919" s="2">
        <v>1</v>
      </c>
      <c r="I919" s="3">
        <v>22</v>
      </c>
      <c r="J919" s="2">
        <v>6</v>
      </c>
      <c r="K919" s="2">
        <v>0</v>
      </c>
      <c r="L919" s="2">
        <v>0</v>
      </c>
      <c r="M919" s="2">
        <v>9</v>
      </c>
      <c r="N919" s="2">
        <v>6</v>
      </c>
      <c r="O919" s="2">
        <v>8</v>
      </c>
      <c r="P919" s="3">
        <v>13</v>
      </c>
      <c r="Q919" s="2">
        <v>3</v>
      </c>
      <c r="R919" s="2">
        <v>4</v>
      </c>
      <c r="S919" s="2">
        <v>4</v>
      </c>
      <c r="T919" s="2">
        <v>0</v>
      </c>
      <c r="U919" s="2">
        <v>0</v>
      </c>
      <c r="V919" s="2">
        <f t="shared" ref="V919:V928" si="323">AA919-Y919-X919-W919-U919</f>
        <v>41</v>
      </c>
      <c r="W919" s="2">
        <v>3</v>
      </c>
      <c r="X919" s="2">
        <v>10</v>
      </c>
      <c r="Y919" s="2">
        <v>0</v>
      </c>
      <c r="Z919" s="2">
        <f t="shared" si="305"/>
        <v>13</v>
      </c>
      <c r="AA919" s="2">
        <f t="shared" si="322"/>
        <v>54</v>
      </c>
      <c r="AB919" s="2">
        <v>1278</v>
      </c>
      <c r="AC919" s="20">
        <f t="shared" ref="AC919:AC925" si="324">AA919/AB919*100</f>
        <v>4.22535211267606</v>
      </c>
      <c r="AD919" s="2" t="s">
        <v>1879</v>
      </c>
      <c r="AE919" s="2">
        <v>188</v>
      </c>
      <c r="AF919" s="21">
        <f t="shared" si="319"/>
        <v>4.22535211267606</v>
      </c>
      <c r="AG919" s="4">
        <f t="shared" si="320"/>
        <v>3.20813771517997</v>
      </c>
      <c r="AH919" s="4">
        <f t="shared" si="321"/>
        <v>1.01721439749609</v>
      </c>
    </row>
    <row r="920" spans="1:34">
      <c r="A920" s="2">
        <v>20260328</v>
      </c>
      <c r="B920" s="2" t="s">
        <v>1884</v>
      </c>
      <c r="C920" s="2" t="s">
        <v>1885</v>
      </c>
      <c r="D920" s="2">
        <v>13</v>
      </c>
      <c r="E920" s="2">
        <v>61</v>
      </c>
      <c r="F920" s="2">
        <v>22</v>
      </c>
      <c r="G920" s="2">
        <v>9</v>
      </c>
      <c r="H920" s="2">
        <v>30</v>
      </c>
      <c r="I920" s="3">
        <v>31</v>
      </c>
      <c r="J920" s="2">
        <v>24</v>
      </c>
      <c r="K920" s="2">
        <v>29</v>
      </c>
      <c r="L920" s="2">
        <v>1</v>
      </c>
      <c r="M920" s="2">
        <v>22</v>
      </c>
      <c r="N920" s="2">
        <v>47</v>
      </c>
      <c r="O920" s="2">
        <v>74</v>
      </c>
      <c r="P920" s="3">
        <v>38</v>
      </c>
      <c r="Q920" s="2">
        <v>15</v>
      </c>
      <c r="R920" s="2">
        <v>15</v>
      </c>
      <c r="S920" s="2">
        <v>10</v>
      </c>
      <c r="T920" s="2">
        <v>19</v>
      </c>
      <c r="U920" s="2">
        <v>1</v>
      </c>
      <c r="V920" s="2">
        <f t="shared" si="323"/>
        <v>200</v>
      </c>
      <c r="W920" s="2">
        <v>3</v>
      </c>
      <c r="X920" s="2">
        <v>0</v>
      </c>
      <c r="Y920" s="2">
        <v>0</v>
      </c>
      <c r="Z920" s="2">
        <f t="shared" si="305"/>
        <v>4</v>
      </c>
      <c r="AA920" s="2">
        <f t="shared" si="322"/>
        <v>204</v>
      </c>
      <c r="AB920" s="2">
        <v>1856</v>
      </c>
      <c r="AC920" s="20">
        <f t="shared" si="324"/>
        <v>10.9913793103448</v>
      </c>
      <c r="AD920" s="2" t="s">
        <v>1879</v>
      </c>
      <c r="AE920" s="2">
        <v>188</v>
      </c>
      <c r="AF920" s="21">
        <f t="shared" si="319"/>
        <v>10.9913793103448</v>
      </c>
      <c r="AG920" s="4">
        <f t="shared" si="320"/>
        <v>10.7758620689655</v>
      </c>
      <c r="AH920" s="4">
        <f t="shared" si="321"/>
        <v>0.21551724137931</v>
      </c>
    </row>
    <row r="921" spans="1:34">
      <c r="A921" s="2">
        <v>20260328</v>
      </c>
      <c r="B921" s="2" t="s">
        <v>1886</v>
      </c>
      <c r="C921" s="2" t="s">
        <v>1887</v>
      </c>
      <c r="D921" s="2">
        <v>0</v>
      </c>
      <c r="E921" s="2">
        <v>3</v>
      </c>
      <c r="F921" s="2">
        <v>12</v>
      </c>
      <c r="G921" s="2">
        <v>6</v>
      </c>
      <c r="H921" s="2">
        <v>5</v>
      </c>
      <c r="I921" s="3">
        <v>7</v>
      </c>
      <c r="J921" s="2">
        <v>18</v>
      </c>
      <c r="K921" s="2">
        <v>3</v>
      </c>
      <c r="L921" s="2">
        <v>0</v>
      </c>
      <c r="M921" s="2">
        <v>7</v>
      </c>
      <c r="N921" s="2">
        <v>10</v>
      </c>
      <c r="O921" s="2">
        <v>9</v>
      </c>
      <c r="P921" s="3">
        <v>3</v>
      </c>
      <c r="Q921" s="2">
        <v>3</v>
      </c>
      <c r="R921" s="2">
        <v>7</v>
      </c>
      <c r="S921" s="2">
        <v>2</v>
      </c>
      <c r="T921" s="2">
        <v>3</v>
      </c>
      <c r="U921" s="2">
        <v>0</v>
      </c>
      <c r="V921" s="2">
        <f t="shared" si="323"/>
        <v>44</v>
      </c>
      <c r="W921" s="2">
        <v>6</v>
      </c>
      <c r="X921" s="2">
        <v>2</v>
      </c>
      <c r="Y921" s="2">
        <v>0</v>
      </c>
      <c r="Z921" s="2">
        <f t="shared" si="305"/>
        <v>8</v>
      </c>
      <c r="AA921" s="2">
        <f t="shared" si="322"/>
        <v>52</v>
      </c>
      <c r="AB921" s="2">
        <v>1278</v>
      </c>
      <c r="AC921" s="20">
        <f t="shared" si="324"/>
        <v>4.06885758998435</v>
      </c>
      <c r="AD921" s="2" t="s">
        <v>1879</v>
      </c>
      <c r="AE921" s="2">
        <v>188</v>
      </c>
      <c r="AF921" s="21">
        <f t="shared" si="319"/>
        <v>4.06885758998435</v>
      </c>
      <c r="AG921" s="4">
        <f t="shared" si="320"/>
        <v>3.44287949921753</v>
      </c>
      <c r="AH921" s="4">
        <f t="shared" si="321"/>
        <v>0.625978090766823</v>
      </c>
    </row>
    <row r="922" spans="1:34">
      <c r="A922" s="2">
        <v>20260328</v>
      </c>
      <c r="B922" s="2" t="s">
        <v>1888</v>
      </c>
      <c r="C922" s="2" t="s">
        <v>1889</v>
      </c>
      <c r="D922" s="2">
        <v>3</v>
      </c>
      <c r="E922" s="2">
        <v>4</v>
      </c>
      <c r="F922" s="2">
        <v>5</v>
      </c>
      <c r="G922" s="2">
        <v>7</v>
      </c>
      <c r="H922" s="2">
        <v>4</v>
      </c>
      <c r="I922" s="3">
        <v>20</v>
      </c>
      <c r="J922" s="2">
        <v>21</v>
      </c>
      <c r="K922" s="2">
        <v>4</v>
      </c>
      <c r="L922" s="2">
        <v>0</v>
      </c>
      <c r="M922" s="2">
        <v>9</v>
      </c>
      <c r="N922" s="2">
        <v>4</v>
      </c>
      <c r="O922" s="2">
        <v>8</v>
      </c>
      <c r="P922" s="3">
        <v>6</v>
      </c>
      <c r="Q922" s="2">
        <v>4</v>
      </c>
      <c r="R922" s="2">
        <v>18</v>
      </c>
      <c r="S922" s="2">
        <v>2</v>
      </c>
      <c r="T922" s="2">
        <v>3</v>
      </c>
      <c r="U922" s="2">
        <v>0</v>
      </c>
      <c r="V922" s="2">
        <f t="shared" si="323"/>
        <v>61</v>
      </c>
      <c r="W922" s="2">
        <v>5</v>
      </c>
      <c r="X922" s="2">
        <v>7</v>
      </c>
      <c r="Y922" s="2">
        <v>1</v>
      </c>
      <c r="Z922" s="2">
        <f t="shared" si="305"/>
        <v>13</v>
      </c>
      <c r="AA922" s="2">
        <f t="shared" si="322"/>
        <v>74</v>
      </c>
      <c r="AB922" s="2">
        <v>1278</v>
      </c>
      <c r="AC922" s="20">
        <f t="shared" si="324"/>
        <v>5.79029733959311</v>
      </c>
      <c r="AD922" s="2" t="s">
        <v>1879</v>
      </c>
      <c r="AE922" s="2">
        <v>188</v>
      </c>
      <c r="AF922" s="21">
        <f t="shared" si="319"/>
        <v>5.79029733959311</v>
      </c>
      <c r="AG922" s="4">
        <f t="shared" si="320"/>
        <v>4.77308294209703</v>
      </c>
      <c r="AH922" s="4">
        <f t="shared" si="321"/>
        <v>1.01721439749609</v>
      </c>
    </row>
    <row r="923" spans="1:34">
      <c r="A923" s="2">
        <v>20260328</v>
      </c>
      <c r="B923" s="2" t="s">
        <v>1890</v>
      </c>
      <c r="C923" s="2" t="s">
        <v>1891</v>
      </c>
      <c r="D923" s="2">
        <v>4</v>
      </c>
      <c r="E923" s="2">
        <v>2</v>
      </c>
      <c r="F923" s="2">
        <v>5</v>
      </c>
      <c r="G923" s="2">
        <v>2</v>
      </c>
      <c r="H923" s="2">
        <v>4</v>
      </c>
      <c r="I923" s="3">
        <v>8</v>
      </c>
      <c r="J923" s="2">
        <v>10</v>
      </c>
      <c r="K923" s="2">
        <v>1</v>
      </c>
      <c r="L923" s="2">
        <v>1</v>
      </c>
      <c r="M923" s="2">
        <v>4</v>
      </c>
      <c r="N923" s="2">
        <v>3</v>
      </c>
      <c r="O923" s="2">
        <v>7</v>
      </c>
      <c r="P923" s="3">
        <v>8</v>
      </c>
      <c r="Q923" s="2">
        <v>10</v>
      </c>
      <c r="R923" s="2">
        <v>89</v>
      </c>
      <c r="S923" s="2">
        <v>4</v>
      </c>
      <c r="T923" s="2">
        <v>2</v>
      </c>
      <c r="U923" s="2">
        <v>1</v>
      </c>
      <c r="V923" s="2">
        <f t="shared" si="323"/>
        <v>35</v>
      </c>
      <c r="W923" s="2">
        <v>3</v>
      </c>
      <c r="X923" s="2">
        <v>2</v>
      </c>
      <c r="Y923" s="2">
        <v>0</v>
      </c>
      <c r="Z923" s="2">
        <f t="shared" si="305"/>
        <v>6</v>
      </c>
      <c r="AA923" s="2">
        <f t="shared" si="322"/>
        <v>41</v>
      </c>
      <c r="AB923" s="2">
        <v>1333</v>
      </c>
      <c r="AC923" s="20">
        <f t="shared" si="324"/>
        <v>3.07576894223556</v>
      </c>
      <c r="AD923" s="2" t="s">
        <v>1879</v>
      </c>
      <c r="AE923" s="2">
        <v>188</v>
      </c>
      <c r="AF923" s="21">
        <f t="shared" si="319"/>
        <v>3.07576894223556</v>
      </c>
      <c r="AG923" s="4">
        <f t="shared" si="320"/>
        <v>2.62565641410353</v>
      </c>
      <c r="AH923" s="4">
        <f t="shared" si="321"/>
        <v>0.450112528132033</v>
      </c>
    </row>
    <row r="924" spans="1:34">
      <c r="A924" s="2">
        <v>20260328</v>
      </c>
      <c r="B924" s="2" t="s">
        <v>1892</v>
      </c>
      <c r="C924" s="2" t="s">
        <v>1893</v>
      </c>
      <c r="D924" s="2">
        <v>2</v>
      </c>
      <c r="E924" s="2">
        <v>26</v>
      </c>
      <c r="F924" s="2">
        <v>14</v>
      </c>
      <c r="G924" s="2">
        <v>11</v>
      </c>
      <c r="H924" s="2">
        <v>11</v>
      </c>
      <c r="I924" s="3">
        <v>9</v>
      </c>
      <c r="J924" s="2">
        <v>11</v>
      </c>
      <c r="K924" s="2">
        <v>2</v>
      </c>
      <c r="L924" s="2">
        <v>0</v>
      </c>
      <c r="M924" s="2">
        <v>3</v>
      </c>
      <c r="N924" s="2">
        <v>18</v>
      </c>
      <c r="O924" s="2">
        <v>17</v>
      </c>
      <c r="P924" s="3">
        <v>8</v>
      </c>
      <c r="Q924" s="2">
        <v>11</v>
      </c>
      <c r="R924" s="2">
        <v>100</v>
      </c>
      <c r="S924" s="2">
        <v>1</v>
      </c>
      <c r="T924" s="2">
        <v>1</v>
      </c>
      <c r="U924" s="2">
        <v>0</v>
      </c>
      <c r="V924" s="2">
        <f t="shared" si="323"/>
        <v>50</v>
      </c>
      <c r="W924" s="2">
        <v>1</v>
      </c>
      <c r="X924" s="2">
        <v>5</v>
      </c>
      <c r="Y924" s="2">
        <v>0</v>
      </c>
      <c r="Z924" s="2">
        <f t="shared" si="305"/>
        <v>6</v>
      </c>
      <c r="AA924" s="2">
        <f t="shared" si="322"/>
        <v>56</v>
      </c>
      <c r="AB924" s="2">
        <v>1068</v>
      </c>
      <c r="AC924" s="20">
        <f t="shared" si="324"/>
        <v>5.2434456928839</v>
      </c>
      <c r="AD924" s="2" t="s">
        <v>229</v>
      </c>
      <c r="AE924" s="2">
        <v>250</v>
      </c>
      <c r="AF924" s="21">
        <f t="shared" si="319"/>
        <v>3.94307116104869</v>
      </c>
      <c r="AG924" s="4">
        <f t="shared" si="320"/>
        <v>4.68164794007491</v>
      </c>
      <c r="AH924" s="4">
        <f t="shared" si="321"/>
        <v>0.561797752808989</v>
      </c>
    </row>
    <row r="925" spans="1:34">
      <c r="A925" s="2">
        <v>20260328</v>
      </c>
      <c r="B925" s="2" t="s">
        <v>1894</v>
      </c>
      <c r="C925" s="2" t="s">
        <v>1895</v>
      </c>
      <c r="D925" s="2">
        <v>0</v>
      </c>
      <c r="E925" s="2">
        <v>40</v>
      </c>
      <c r="F925" s="2">
        <v>11</v>
      </c>
      <c r="G925" s="2">
        <v>2</v>
      </c>
      <c r="H925" s="2">
        <v>3</v>
      </c>
      <c r="I925" s="3">
        <v>42</v>
      </c>
      <c r="J925" s="2">
        <v>27</v>
      </c>
      <c r="K925" s="2">
        <v>2</v>
      </c>
      <c r="L925" s="2">
        <v>0</v>
      </c>
      <c r="M925" s="2">
        <v>4</v>
      </c>
      <c r="N925" s="2">
        <v>58</v>
      </c>
      <c r="O925" s="2">
        <v>11</v>
      </c>
      <c r="P925" s="3">
        <v>5</v>
      </c>
      <c r="Q925" s="2">
        <v>10</v>
      </c>
      <c r="R925" s="2">
        <v>90</v>
      </c>
      <c r="S925" s="2">
        <v>2</v>
      </c>
      <c r="T925" s="2">
        <v>1</v>
      </c>
      <c r="U925" s="2">
        <v>0</v>
      </c>
      <c r="V925" s="2">
        <f t="shared" si="323"/>
        <v>82</v>
      </c>
      <c r="W925" s="2">
        <v>1</v>
      </c>
      <c r="X925" s="2">
        <v>3</v>
      </c>
      <c r="Y925" s="2">
        <v>0</v>
      </c>
      <c r="Z925" s="2">
        <f t="shared" si="305"/>
        <v>4</v>
      </c>
      <c r="AA925" s="2">
        <f t="shared" si="322"/>
        <v>86</v>
      </c>
      <c r="AB925" s="2">
        <v>1068</v>
      </c>
      <c r="AC925" s="20">
        <f t="shared" si="324"/>
        <v>8.05243445692884</v>
      </c>
      <c r="AD925" s="2" t="s">
        <v>229</v>
      </c>
      <c r="AE925" s="2">
        <v>250</v>
      </c>
      <c r="AF925" s="21">
        <f t="shared" si="319"/>
        <v>6.05543071161049</v>
      </c>
      <c r="AG925" s="4">
        <f t="shared" si="320"/>
        <v>7.67790262172285</v>
      </c>
      <c r="AH925" s="4">
        <f t="shared" si="321"/>
        <v>0.374531835205993</v>
      </c>
    </row>
    <row r="926" spans="1:34">
      <c r="A926" s="2">
        <v>20260328</v>
      </c>
      <c r="B926" s="2" t="s">
        <v>1896</v>
      </c>
      <c r="C926" s="2" t="s">
        <v>1897</v>
      </c>
      <c r="D926" s="2">
        <v>0</v>
      </c>
      <c r="E926" s="2">
        <v>3</v>
      </c>
      <c r="F926" s="2">
        <v>1</v>
      </c>
      <c r="G926" s="2">
        <v>0</v>
      </c>
      <c r="H926" s="2">
        <v>2</v>
      </c>
      <c r="I926" s="3">
        <v>0</v>
      </c>
      <c r="J926" s="2">
        <v>1</v>
      </c>
      <c r="K926" s="2">
        <v>0</v>
      </c>
      <c r="L926" s="2">
        <v>0</v>
      </c>
      <c r="M926" s="2">
        <v>0</v>
      </c>
      <c r="N926" s="2">
        <v>2</v>
      </c>
      <c r="O926" s="2">
        <v>3</v>
      </c>
      <c r="P926" s="3">
        <v>0</v>
      </c>
      <c r="Q926" s="2">
        <v>2</v>
      </c>
      <c r="R926" s="2">
        <v>16</v>
      </c>
      <c r="S926" s="2">
        <v>0</v>
      </c>
      <c r="T926" s="2">
        <v>0</v>
      </c>
      <c r="U926" s="2">
        <v>2</v>
      </c>
      <c r="V926" s="2">
        <f t="shared" ref="V926:V934" si="325">AA926-Y926-X926-W926-U926</f>
        <v>3</v>
      </c>
      <c r="W926" s="2">
        <v>0</v>
      </c>
      <c r="X926" s="2">
        <v>0</v>
      </c>
      <c r="Y926" s="2">
        <v>0</v>
      </c>
      <c r="Z926" s="2">
        <f t="shared" ref="Z926:Z934" si="326">Y926+X926+W926+U926</f>
        <v>2</v>
      </c>
      <c r="AA926" s="2">
        <f t="shared" ref="AA926:AA934" si="327">G926+H926+I926+J926+K926+L926+M926+P926+T926+U926</f>
        <v>5</v>
      </c>
      <c r="AB926" s="2">
        <v>1068</v>
      </c>
      <c r="AC926" s="20">
        <f t="shared" ref="AC926:AC934" si="328">AA926/AB926*100</f>
        <v>0.468164794007491</v>
      </c>
      <c r="AD926" s="2" t="s">
        <v>229</v>
      </c>
      <c r="AE926" s="2">
        <v>250</v>
      </c>
      <c r="AF926" s="21">
        <f t="shared" ref="AF926:AF934" si="329">188/AE926*AC926</f>
        <v>0.352059925093633</v>
      </c>
      <c r="AG926" s="4">
        <f t="shared" ref="AG926:AG934" si="330">V926/AB926*100</f>
        <v>0.280898876404494</v>
      </c>
      <c r="AH926" s="4">
        <f t="shared" ref="AH926:AH934" si="331">Z926/AB926*100</f>
        <v>0.187265917602996</v>
      </c>
    </row>
    <row r="927" spans="1:34">
      <c r="A927" s="2">
        <v>20260328</v>
      </c>
      <c r="B927" s="2" t="s">
        <v>1898</v>
      </c>
      <c r="C927" s="2" t="s">
        <v>1899</v>
      </c>
      <c r="D927" s="2">
        <v>3</v>
      </c>
      <c r="E927" s="2">
        <v>48</v>
      </c>
      <c r="F927" s="2">
        <v>12</v>
      </c>
      <c r="G927" s="2">
        <v>2</v>
      </c>
      <c r="H927" s="2">
        <v>5</v>
      </c>
      <c r="I927" s="3">
        <v>10</v>
      </c>
      <c r="J927" s="2">
        <v>18</v>
      </c>
      <c r="K927" s="2">
        <v>4</v>
      </c>
      <c r="L927" s="2">
        <v>1</v>
      </c>
      <c r="M927" s="2">
        <v>3</v>
      </c>
      <c r="N927" s="2">
        <v>6</v>
      </c>
      <c r="O927" s="2">
        <v>17</v>
      </c>
      <c r="P927" s="3">
        <v>5</v>
      </c>
      <c r="Q927" s="2">
        <v>3</v>
      </c>
      <c r="R927" s="2">
        <v>130</v>
      </c>
      <c r="S927" s="2">
        <v>1</v>
      </c>
      <c r="T927" s="2">
        <v>1</v>
      </c>
      <c r="U927" s="2">
        <v>1</v>
      </c>
      <c r="V927" s="2">
        <f t="shared" si="325"/>
        <v>41</v>
      </c>
      <c r="W927" s="2">
        <v>6</v>
      </c>
      <c r="X927" s="2">
        <v>1</v>
      </c>
      <c r="Y927" s="2">
        <v>1</v>
      </c>
      <c r="Z927" s="2">
        <f t="shared" si="326"/>
        <v>9</v>
      </c>
      <c r="AA927" s="2">
        <f t="shared" si="327"/>
        <v>50</v>
      </c>
      <c r="AB927" s="2">
        <v>2106</v>
      </c>
      <c r="AC927" s="20">
        <f t="shared" si="328"/>
        <v>2.37416904083571</v>
      </c>
      <c r="AD927" s="2" t="s">
        <v>229</v>
      </c>
      <c r="AE927" s="2">
        <v>250</v>
      </c>
      <c r="AF927" s="21">
        <f t="shared" si="329"/>
        <v>1.78537511870845</v>
      </c>
      <c r="AG927" s="4">
        <f t="shared" si="330"/>
        <v>1.94681861348528</v>
      </c>
      <c r="AH927" s="4">
        <f t="shared" si="331"/>
        <v>0.427350427350427</v>
      </c>
    </row>
    <row r="928" spans="1:34">
      <c r="A928" s="2">
        <v>20260328</v>
      </c>
      <c r="B928" s="2" t="s">
        <v>1900</v>
      </c>
      <c r="C928" s="2" t="s">
        <v>1901</v>
      </c>
      <c r="D928" s="2">
        <v>0</v>
      </c>
      <c r="E928" s="2">
        <v>35</v>
      </c>
      <c r="F928" s="2">
        <v>6</v>
      </c>
      <c r="G928" s="2">
        <v>1</v>
      </c>
      <c r="H928" s="2">
        <v>0</v>
      </c>
      <c r="I928" s="3">
        <v>6</v>
      </c>
      <c r="J928" s="2">
        <v>8</v>
      </c>
      <c r="K928" s="2">
        <v>1</v>
      </c>
      <c r="L928" s="2">
        <v>0</v>
      </c>
      <c r="M928" s="2">
        <v>1</v>
      </c>
      <c r="N928" s="2">
        <v>6</v>
      </c>
      <c r="O928" s="2">
        <v>4</v>
      </c>
      <c r="P928" s="3">
        <v>6</v>
      </c>
      <c r="Q928" s="2">
        <v>4</v>
      </c>
      <c r="R928" s="2">
        <v>113</v>
      </c>
      <c r="S928" s="2">
        <v>1</v>
      </c>
      <c r="T928" s="2">
        <v>0</v>
      </c>
      <c r="U928" s="2">
        <v>0</v>
      </c>
      <c r="V928" s="2">
        <f t="shared" si="325"/>
        <v>22</v>
      </c>
      <c r="W928" s="2">
        <v>0</v>
      </c>
      <c r="X928" s="2">
        <v>1</v>
      </c>
      <c r="Y928" s="2">
        <v>0</v>
      </c>
      <c r="Z928" s="2">
        <f t="shared" si="326"/>
        <v>1</v>
      </c>
      <c r="AA928" s="2">
        <f t="shared" si="327"/>
        <v>23</v>
      </c>
      <c r="AB928" s="2">
        <v>1268</v>
      </c>
      <c r="AC928" s="20">
        <f t="shared" si="328"/>
        <v>1.81388012618297</v>
      </c>
      <c r="AD928" s="2" t="s">
        <v>229</v>
      </c>
      <c r="AE928" s="2">
        <v>250</v>
      </c>
      <c r="AF928" s="21">
        <f t="shared" si="329"/>
        <v>1.36403785488959</v>
      </c>
      <c r="AG928" s="4">
        <f t="shared" si="330"/>
        <v>1.73501577287066</v>
      </c>
      <c r="AH928" s="4">
        <f t="shared" si="331"/>
        <v>0.0788643533123028</v>
      </c>
    </row>
    <row r="929" spans="1:34">
      <c r="A929" s="2">
        <v>20260328</v>
      </c>
      <c r="B929" s="2" t="s">
        <v>1902</v>
      </c>
      <c r="C929" s="2" t="s">
        <v>1903</v>
      </c>
      <c r="D929" s="2">
        <v>5</v>
      </c>
      <c r="E929" s="2">
        <v>61</v>
      </c>
      <c r="F929" s="2">
        <v>72</v>
      </c>
      <c r="G929" s="2">
        <v>1</v>
      </c>
      <c r="H929" s="2">
        <v>11</v>
      </c>
      <c r="I929" s="3">
        <v>25</v>
      </c>
      <c r="J929" s="2">
        <v>17</v>
      </c>
      <c r="K929" s="2">
        <v>1</v>
      </c>
      <c r="L929" s="2">
        <v>1</v>
      </c>
      <c r="M929" s="2">
        <v>7</v>
      </c>
      <c r="N929" s="2">
        <v>7</v>
      </c>
      <c r="O929" s="2">
        <v>51</v>
      </c>
      <c r="P929" s="3">
        <v>14</v>
      </c>
      <c r="Q929" s="2">
        <v>29</v>
      </c>
      <c r="R929" s="2">
        <v>277</v>
      </c>
      <c r="S929" s="2">
        <v>3</v>
      </c>
      <c r="T929" s="2">
        <v>11</v>
      </c>
      <c r="U929" s="2">
        <v>0</v>
      </c>
      <c r="V929" s="2">
        <f t="shared" si="325"/>
        <v>80</v>
      </c>
      <c r="W929" s="2">
        <v>3</v>
      </c>
      <c r="X929" s="2">
        <v>5</v>
      </c>
      <c r="Y929" s="2">
        <v>0</v>
      </c>
      <c r="Z929" s="2">
        <f t="shared" si="326"/>
        <v>8</v>
      </c>
      <c r="AA929" s="2">
        <f t="shared" si="327"/>
        <v>88</v>
      </c>
      <c r="AB929" s="2">
        <v>3038</v>
      </c>
      <c r="AC929" s="20">
        <f t="shared" si="328"/>
        <v>2.89664252797893</v>
      </c>
      <c r="AD929" s="2" t="s">
        <v>229</v>
      </c>
      <c r="AE929" s="2">
        <v>250</v>
      </c>
      <c r="AF929" s="21">
        <f t="shared" si="329"/>
        <v>2.17827518104016</v>
      </c>
      <c r="AG929" s="4">
        <f t="shared" si="330"/>
        <v>2.63331138907176</v>
      </c>
      <c r="AH929" s="4">
        <f t="shared" si="331"/>
        <v>0.263331138907176</v>
      </c>
    </row>
    <row r="930" spans="1:34">
      <c r="A930" s="2">
        <v>20260328</v>
      </c>
      <c r="B930" s="2" t="s">
        <v>1904</v>
      </c>
      <c r="C930" s="2" t="s">
        <v>1905</v>
      </c>
      <c r="D930" s="2">
        <v>1939</v>
      </c>
      <c r="E930" s="2">
        <v>19158</v>
      </c>
      <c r="F930" s="2">
        <v>4</v>
      </c>
      <c r="G930" s="2">
        <v>92</v>
      </c>
      <c r="H930" s="2">
        <v>194</v>
      </c>
      <c r="I930" s="3">
        <v>3384</v>
      </c>
      <c r="J930" s="2">
        <v>96</v>
      </c>
      <c r="K930" s="2">
        <v>14</v>
      </c>
      <c r="L930" s="2">
        <v>0</v>
      </c>
      <c r="M930" s="2">
        <v>5</v>
      </c>
      <c r="N930" s="2">
        <v>580</v>
      </c>
      <c r="O930" s="2">
        <v>1019</v>
      </c>
      <c r="P930" s="3">
        <v>5</v>
      </c>
      <c r="Q930" s="2">
        <v>2</v>
      </c>
      <c r="R930" s="2">
        <v>509</v>
      </c>
      <c r="S930" s="2">
        <v>33</v>
      </c>
      <c r="T930" s="2">
        <v>1155</v>
      </c>
      <c r="U930" s="2">
        <v>0</v>
      </c>
      <c r="V930" s="2">
        <f t="shared" si="325"/>
        <v>4941</v>
      </c>
      <c r="W930" s="2">
        <v>1</v>
      </c>
      <c r="X930" s="2">
        <v>3</v>
      </c>
      <c r="Y930" s="2">
        <v>0</v>
      </c>
      <c r="Z930" s="2">
        <f t="shared" si="326"/>
        <v>4</v>
      </c>
      <c r="AA930" s="2">
        <f t="shared" si="327"/>
        <v>4945</v>
      </c>
      <c r="AB930" s="2">
        <v>1530</v>
      </c>
      <c r="AC930" s="20">
        <f t="shared" si="328"/>
        <v>323.202614379085</v>
      </c>
      <c r="AD930" s="2" t="s">
        <v>229</v>
      </c>
      <c r="AE930" s="2">
        <v>250</v>
      </c>
      <c r="AF930" s="21">
        <f t="shared" si="329"/>
        <v>243.048366013072</v>
      </c>
      <c r="AG930" s="4">
        <f t="shared" si="330"/>
        <v>322.941176470588</v>
      </c>
      <c r="AH930" s="4">
        <f t="shared" si="331"/>
        <v>0.261437908496732</v>
      </c>
    </row>
    <row r="931" spans="1:34">
      <c r="A931" s="2">
        <v>20260329</v>
      </c>
      <c r="B931" s="2" t="s">
        <v>1906</v>
      </c>
      <c r="C931" s="2" t="s">
        <v>1907</v>
      </c>
      <c r="D931" s="2">
        <v>0</v>
      </c>
      <c r="E931" s="2">
        <v>400</v>
      </c>
      <c r="F931" s="2">
        <v>6</v>
      </c>
      <c r="G931" s="2">
        <v>4</v>
      </c>
      <c r="H931" s="2">
        <v>34</v>
      </c>
      <c r="I931" s="3">
        <v>35</v>
      </c>
      <c r="J931" s="2">
        <v>92</v>
      </c>
      <c r="K931" s="2">
        <v>0</v>
      </c>
      <c r="L931" s="2">
        <v>0</v>
      </c>
      <c r="M931" s="2">
        <v>4</v>
      </c>
      <c r="N931" s="2">
        <v>8</v>
      </c>
      <c r="O931" s="2">
        <v>5</v>
      </c>
      <c r="P931" s="3">
        <v>10</v>
      </c>
      <c r="Q931" s="2">
        <v>4</v>
      </c>
      <c r="R931" s="2">
        <v>1120</v>
      </c>
      <c r="S931" s="2">
        <v>2</v>
      </c>
      <c r="T931" s="2">
        <v>7</v>
      </c>
      <c r="U931" s="2">
        <v>1</v>
      </c>
      <c r="V931" s="2">
        <f t="shared" si="325"/>
        <v>158</v>
      </c>
      <c r="W931" s="2">
        <v>2</v>
      </c>
      <c r="X931" s="2">
        <v>26</v>
      </c>
      <c r="Y931" s="2">
        <v>0</v>
      </c>
      <c r="Z931" s="2">
        <f t="shared" si="326"/>
        <v>29</v>
      </c>
      <c r="AA931" s="2">
        <f t="shared" si="327"/>
        <v>187</v>
      </c>
      <c r="AB931" s="2">
        <v>2990</v>
      </c>
      <c r="AC931" s="20">
        <f t="shared" si="328"/>
        <v>6.25418060200669</v>
      </c>
      <c r="AD931" s="2" t="s">
        <v>676</v>
      </c>
      <c r="AE931" s="2">
        <v>165</v>
      </c>
      <c r="AF931" s="21">
        <f t="shared" si="329"/>
        <v>7.12597547380156</v>
      </c>
      <c r="AG931" s="4">
        <f t="shared" si="330"/>
        <v>5.28428093645485</v>
      </c>
      <c r="AH931" s="4">
        <f t="shared" si="331"/>
        <v>0.969899665551839</v>
      </c>
    </row>
    <row r="932" spans="1:34">
      <c r="A932" s="2">
        <v>20260329</v>
      </c>
      <c r="B932" s="2" t="s">
        <v>1908</v>
      </c>
      <c r="C932" s="2" t="s">
        <v>1909</v>
      </c>
      <c r="D932" s="2">
        <v>0</v>
      </c>
      <c r="E932" s="2">
        <v>324</v>
      </c>
      <c r="F932" s="2">
        <v>6</v>
      </c>
      <c r="G932" s="2">
        <v>6</v>
      </c>
      <c r="H932" s="2">
        <v>38</v>
      </c>
      <c r="I932" s="3">
        <v>38</v>
      </c>
      <c r="J932" s="2">
        <v>90</v>
      </c>
      <c r="K932" s="2">
        <v>2</v>
      </c>
      <c r="L932" s="2">
        <v>0</v>
      </c>
      <c r="M932" s="2">
        <v>0</v>
      </c>
      <c r="N932" s="2">
        <v>221</v>
      </c>
      <c r="O932" s="2">
        <v>2</v>
      </c>
      <c r="P932" s="3">
        <v>5</v>
      </c>
      <c r="Q932" s="2">
        <v>6</v>
      </c>
      <c r="R932" s="2">
        <v>953</v>
      </c>
      <c r="S932" s="2">
        <v>3</v>
      </c>
      <c r="T932" s="2">
        <v>12</v>
      </c>
      <c r="U932" s="2">
        <v>0</v>
      </c>
      <c r="V932" s="2">
        <f t="shared" si="325"/>
        <v>172</v>
      </c>
      <c r="W932" s="2">
        <v>2</v>
      </c>
      <c r="X932" s="2">
        <v>16</v>
      </c>
      <c r="Y932" s="2">
        <v>1</v>
      </c>
      <c r="Z932" s="2">
        <f t="shared" si="326"/>
        <v>19</v>
      </c>
      <c r="AA932" s="2">
        <f t="shared" si="327"/>
        <v>191</v>
      </c>
      <c r="AB932" s="2">
        <v>2990</v>
      </c>
      <c r="AC932" s="20">
        <f t="shared" si="328"/>
        <v>6.38795986622074</v>
      </c>
      <c r="AD932" s="2" t="s">
        <v>676</v>
      </c>
      <c r="AE932" s="2">
        <v>165</v>
      </c>
      <c r="AF932" s="21">
        <f t="shared" si="329"/>
        <v>7.27840275666363</v>
      </c>
      <c r="AG932" s="4">
        <f t="shared" si="330"/>
        <v>5.75250836120401</v>
      </c>
      <c r="AH932" s="4">
        <f t="shared" si="331"/>
        <v>0.635451505016722</v>
      </c>
    </row>
    <row r="933" spans="1:34">
      <c r="A933" s="2">
        <v>20260329</v>
      </c>
      <c r="B933" s="2" t="s">
        <v>1910</v>
      </c>
      <c r="C933" s="2" t="s">
        <v>1911</v>
      </c>
      <c r="D933" s="2">
        <v>0</v>
      </c>
      <c r="E933" s="2">
        <v>527</v>
      </c>
      <c r="F933" s="2">
        <v>5</v>
      </c>
      <c r="G933" s="2">
        <v>10</v>
      </c>
      <c r="H933" s="2">
        <v>47</v>
      </c>
      <c r="I933" s="3">
        <v>20</v>
      </c>
      <c r="J933" s="2">
        <v>100</v>
      </c>
      <c r="K933" s="2">
        <v>1</v>
      </c>
      <c r="L933" s="2">
        <v>0</v>
      </c>
      <c r="M933" s="2">
        <v>0</v>
      </c>
      <c r="N933" s="2">
        <v>63</v>
      </c>
      <c r="O933" s="2">
        <v>9</v>
      </c>
      <c r="P933" s="3">
        <v>7</v>
      </c>
      <c r="Q933" s="2">
        <v>12</v>
      </c>
      <c r="R933" s="2">
        <v>1902</v>
      </c>
      <c r="S933" s="2">
        <v>2</v>
      </c>
      <c r="T933" s="2">
        <v>9</v>
      </c>
      <c r="U933" s="2">
        <v>0</v>
      </c>
      <c r="V933" s="2">
        <f t="shared" si="325"/>
        <v>178</v>
      </c>
      <c r="W933" s="2">
        <v>4</v>
      </c>
      <c r="X933" s="2">
        <v>12</v>
      </c>
      <c r="Y933" s="2">
        <v>0</v>
      </c>
      <c r="Z933" s="2">
        <f t="shared" si="326"/>
        <v>16</v>
      </c>
      <c r="AA933" s="2">
        <f t="shared" si="327"/>
        <v>194</v>
      </c>
      <c r="AB933" s="2">
        <v>2990</v>
      </c>
      <c r="AC933" s="20">
        <f t="shared" si="328"/>
        <v>6.48829431438127</v>
      </c>
      <c r="AD933" s="2" t="s">
        <v>676</v>
      </c>
      <c r="AE933" s="2">
        <v>165</v>
      </c>
      <c r="AF933" s="21">
        <f t="shared" si="329"/>
        <v>7.39272321881018</v>
      </c>
      <c r="AG933" s="4">
        <f t="shared" si="330"/>
        <v>5.95317725752508</v>
      </c>
      <c r="AH933" s="4">
        <f t="shared" si="331"/>
        <v>0.535117056856187</v>
      </c>
    </row>
    <row r="934" spans="1:34">
      <c r="A934" s="2">
        <v>20260329</v>
      </c>
      <c r="B934" s="2" t="s">
        <v>1912</v>
      </c>
      <c r="C934" s="2" t="s">
        <v>1913</v>
      </c>
      <c r="D934" s="2">
        <v>1</v>
      </c>
      <c r="E934" s="2">
        <v>638</v>
      </c>
      <c r="F934" s="2">
        <v>8</v>
      </c>
      <c r="G934" s="2">
        <v>8</v>
      </c>
      <c r="H934" s="2">
        <v>51</v>
      </c>
      <c r="I934" s="3">
        <v>24</v>
      </c>
      <c r="J934" s="2">
        <v>105</v>
      </c>
      <c r="K934" s="2">
        <v>2</v>
      </c>
      <c r="L934" s="2">
        <v>0</v>
      </c>
      <c r="M934" s="2">
        <v>4</v>
      </c>
      <c r="N934" s="2">
        <v>26</v>
      </c>
      <c r="O934" s="2">
        <v>6</v>
      </c>
      <c r="P934" s="3">
        <v>10</v>
      </c>
      <c r="Q934" s="2">
        <v>5</v>
      </c>
      <c r="R934" s="2">
        <v>2538</v>
      </c>
      <c r="S934" s="2">
        <v>0</v>
      </c>
      <c r="T934" s="2">
        <v>10</v>
      </c>
      <c r="U934" s="2">
        <v>0</v>
      </c>
      <c r="V934" s="2">
        <f t="shared" si="325"/>
        <v>204</v>
      </c>
      <c r="W934" s="2">
        <v>1</v>
      </c>
      <c r="X934" s="2">
        <v>9</v>
      </c>
      <c r="Y934" s="2">
        <v>0</v>
      </c>
      <c r="Z934" s="2">
        <f t="shared" si="326"/>
        <v>10</v>
      </c>
      <c r="AA934" s="2">
        <f t="shared" si="327"/>
        <v>214</v>
      </c>
      <c r="AB934" s="2">
        <v>3390</v>
      </c>
      <c r="AC934" s="20">
        <f t="shared" si="328"/>
        <v>6.31268436578171</v>
      </c>
      <c r="AD934" s="2" t="s">
        <v>676</v>
      </c>
      <c r="AE934" s="2">
        <v>165</v>
      </c>
      <c r="AF934" s="21">
        <f t="shared" ref="AF934:AF946" si="332">188/AE934*AC934</f>
        <v>7.19263430767856</v>
      </c>
      <c r="AG934" s="4">
        <f t="shared" ref="AG934:AG946" si="333">V934/AB934*100</f>
        <v>6.01769911504425</v>
      </c>
      <c r="AH934" s="4">
        <f t="shared" ref="AH934:AH946" si="334">Z934/AB934*100</f>
        <v>0.294985250737463</v>
      </c>
    </row>
    <row r="935" spans="1:34">
      <c r="A935" s="2">
        <v>20260329</v>
      </c>
      <c r="B935" s="2" t="s">
        <v>1914</v>
      </c>
      <c r="C935" s="2" t="s">
        <v>1915</v>
      </c>
      <c r="D935" s="2">
        <v>2</v>
      </c>
      <c r="E935" s="2">
        <v>535</v>
      </c>
      <c r="F935" s="2">
        <v>2</v>
      </c>
      <c r="G935" s="2">
        <v>1</v>
      </c>
      <c r="H935" s="2">
        <v>14</v>
      </c>
      <c r="I935" s="3">
        <v>15</v>
      </c>
      <c r="J935" s="2">
        <v>38</v>
      </c>
      <c r="K935" s="2">
        <v>0</v>
      </c>
      <c r="L935" s="2">
        <v>0</v>
      </c>
      <c r="M935" s="2">
        <v>2</v>
      </c>
      <c r="N935" s="2">
        <v>6</v>
      </c>
      <c r="O935" s="2">
        <v>0</v>
      </c>
      <c r="P935" s="3">
        <v>3</v>
      </c>
      <c r="Q935" s="2">
        <v>6</v>
      </c>
      <c r="R935" s="2">
        <v>1916</v>
      </c>
      <c r="S935" s="2">
        <v>0</v>
      </c>
      <c r="T935" s="2">
        <v>2</v>
      </c>
      <c r="U935" s="2">
        <v>0</v>
      </c>
      <c r="V935" s="2">
        <f t="shared" ref="V935:V941" si="335">AA935-Y935-X935-W935-U935</f>
        <v>69</v>
      </c>
      <c r="W935" s="2">
        <v>1</v>
      </c>
      <c r="X935" s="2">
        <v>5</v>
      </c>
      <c r="Y935" s="2">
        <v>0</v>
      </c>
      <c r="Z935" s="2">
        <f t="shared" ref="Z935:Z940" si="336">Y935+X935+W935+U935</f>
        <v>6</v>
      </c>
      <c r="AA935" s="2">
        <f t="shared" ref="AA935:AA940" si="337">G935+H935+I935+J935+K935+L935+M935+P935+T935+U935</f>
        <v>75</v>
      </c>
      <c r="AB935" s="2">
        <v>2990</v>
      </c>
      <c r="AC935" s="20">
        <f t="shared" ref="AC935:AC941" si="338">AA935/AB935*100</f>
        <v>2.50836120401338</v>
      </c>
      <c r="AD935" s="2" t="s">
        <v>676</v>
      </c>
      <c r="AE935" s="2">
        <v>165</v>
      </c>
      <c r="AF935" s="21">
        <f t="shared" si="332"/>
        <v>2.85801155366373</v>
      </c>
      <c r="AG935" s="4">
        <f t="shared" si="333"/>
        <v>2.30769230769231</v>
      </c>
      <c r="AH935" s="4">
        <f t="shared" si="334"/>
        <v>0.20066889632107</v>
      </c>
    </row>
    <row r="936" spans="1:34">
      <c r="A936" s="2">
        <v>20260329</v>
      </c>
      <c r="B936" s="2" t="s">
        <v>1916</v>
      </c>
      <c r="C936" s="2" t="s">
        <v>1917</v>
      </c>
      <c r="D936" s="2">
        <v>0</v>
      </c>
      <c r="E936" s="2">
        <v>8497</v>
      </c>
      <c r="F936" s="2">
        <v>5</v>
      </c>
      <c r="G936" s="2">
        <v>5</v>
      </c>
      <c r="H936" s="2">
        <v>25</v>
      </c>
      <c r="I936" s="3">
        <v>17</v>
      </c>
      <c r="J936" s="2">
        <v>283</v>
      </c>
      <c r="K936" s="2">
        <v>1</v>
      </c>
      <c r="L936" s="2">
        <v>1</v>
      </c>
      <c r="M936" s="2">
        <v>5</v>
      </c>
      <c r="N936" s="2">
        <v>11</v>
      </c>
      <c r="O936" s="2">
        <v>35</v>
      </c>
      <c r="P936" s="3">
        <v>7</v>
      </c>
      <c r="Q936" s="2">
        <v>4</v>
      </c>
      <c r="R936" s="2">
        <v>3231</v>
      </c>
      <c r="S936" s="2">
        <v>5</v>
      </c>
      <c r="T936" s="2">
        <v>32</v>
      </c>
      <c r="U936" s="2">
        <v>0</v>
      </c>
      <c r="V936" s="2">
        <f t="shared" si="335"/>
        <v>374</v>
      </c>
      <c r="W936" s="2">
        <v>1</v>
      </c>
      <c r="X936" s="2">
        <v>1</v>
      </c>
      <c r="Y936" s="2">
        <v>0</v>
      </c>
      <c r="Z936" s="2">
        <f t="shared" si="336"/>
        <v>2</v>
      </c>
      <c r="AA936" s="2">
        <f t="shared" si="337"/>
        <v>376</v>
      </c>
      <c r="AB936" s="2">
        <v>3577</v>
      </c>
      <c r="AC936" s="20">
        <f t="shared" si="338"/>
        <v>10.5116019010344</v>
      </c>
      <c r="AD936" s="2" t="s">
        <v>676</v>
      </c>
      <c r="AE936" s="2">
        <v>175</v>
      </c>
      <c r="AF936" s="21">
        <f t="shared" si="332"/>
        <v>11.2924637565398</v>
      </c>
      <c r="AG936" s="4">
        <f t="shared" si="333"/>
        <v>10.4556891249651</v>
      </c>
      <c r="AH936" s="4">
        <f t="shared" si="334"/>
        <v>0.0559127760693318</v>
      </c>
    </row>
    <row r="937" spans="1:34">
      <c r="A937" s="2">
        <v>20260329</v>
      </c>
      <c r="B937" s="2" t="s">
        <v>1918</v>
      </c>
      <c r="C937" s="2" t="s">
        <v>1919</v>
      </c>
      <c r="D937" s="2">
        <v>1</v>
      </c>
      <c r="E937" s="2">
        <v>296</v>
      </c>
      <c r="F937" s="2">
        <v>0</v>
      </c>
      <c r="G937" s="2">
        <v>3</v>
      </c>
      <c r="H937" s="2">
        <v>4</v>
      </c>
      <c r="I937" s="3">
        <v>4</v>
      </c>
      <c r="J937" s="2">
        <v>16</v>
      </c>
      <c r="K937" s="2">
        <v>0</v>
      </c>
      <c r="L937" s="2">
        <v>0</v>
      </c>
      <c r="M937" s="2">
        <v>1</v>
      </c>
      <c r="N937" s="2">
        <v>11</v>
      </c>
      <c r="O937" s="2">
        <v>6</v>
      </c>
      <c r="P937" s="3">
        <v>2</v>
      </c>
      <c r="Q937" s="2">
        <v>5</v>
      </c>
      <c r="R937" s="2">
        <v>1353</v>
      </c>
      <c r="S937" s="2">
        <v>0</v>
      </c>
      <c r="T937" s="2">
        <v>0</v>
      </c>
      <c r="U937" s="2">
        <v>0</v>
      </c>
      <c r="V937" s="2">
        <f t="shared" si="335"/>
        <v>26</v>
      </c>
      <c r="W937" s="2">
        <v>0</v>
      </c>
      <c r="X937" s="2">
        <v>4</v>
      </c>
      <c r="Y937" s="2">
        <v>0</v>
      </c>
      <c r="Z937" s="2">
        <f t="shared" si="336"/>
        <v>4</v>
      </c>
      <c r="AA937" s="2">
        <f t="shared" si="337"/>
        <v>30</v>
      </c>
      <c r="AB937" s="2">
        <v>1410</v>
      </c>
      <c r="AC937" s="20">
        <f t="shared" si="338"/>
        <v>2.12765957446808</v>
      </c>
      <c r="AD937" s="2" t="s">
        <v>676</v>
      </c>
      <c r="AE937" s="2">
        <v>175</v>
      </c>
      <c r="AF937" s="21">
        <f t="shared" si="332"/>
        <v>2.28571428571429</v>
      </c>
      <c r="AG937" s="4">
        <f t="shared" si="333"/>
        <v>1.84397163120567</v>
      </c>
      <c r="AH937" s="4">
        <f t="shared" si="334"/>
        <v>0.283687943262411</v>
      </c>
    </row>
    <row r="938" spans="1:34">
      <c r="A938" s="2">
        <v>20260329</v>
      </c>
      <c r="B938" s="2" t="s">
        <v>1920</v>
      </c>
      <c r="C938" s="2" t="s">
        <v>1921</v>
      </c>
      <c r="D938" s="2">
        <v>5</v>
      </c>
      <c r="E938" s="2">
        <v>1722</v>
      </c>
      <c r="F938" s="2">
        <v>7</v>
      </c>
      <c r="G938" s="2">
        <v>7</v>
      </c>
      <c r="H938" s="2">
        <v>70</v>
      </c>
      <c r="I938" s="3">
        <v>27</v>
      </c>
      <c r="J938" s="2">
        <v>88</v>
      </c>
      <c r="K938" s="2">
        <v>4</v>
      </c>
      <c r="L938" s="2">
        <v>0</v>
      </c>
      <c r="M938" s="2">
        <v>3</v>
      </c>
      <c r="N938" s="2">
        <v>25</v>
      </c>
      <c r="O938" s="2">
        <v>17</v>
      </c>
      <c r="P938" s="3">
        <v>11</v>
      </c>
      <c r="Q938" s="2">
        <v>6</v>
      </c>
      <c r="R938" s="2">
        <v>3600</v>
      </c>
      <c r="S938" s="2">
        <v>1</v>
      </c>
      <c r="T938" s="2">
        <v>283</v>
      </c>
      <c r="U938" s="2">
        <v>0</v>
      </c>
      <c r="V938" s="2">
        <f t="shared" si="335"/>
        <v>490</v>
      </c>
      <c r="W938" s="2">
        <v>0</v>
      </c>
      <c r="X938" s="2">
        <v>3</v>
      </c>
      <c r="Y938" s="2">
        <v>0</v>
      </c>
      <c r="Z938" s="2">
        <f t="shared" si="336"/>
        <v>3</v>
      </c>
      <c r="AA938" s="2">
        <f t="shared" si="337"/>
        <v>493</v>
      </c>
      <c r="AB938" s="2">
        <v>3267</v>
      </c>
      <c r="AC938" s="20">
        <f t="shared" si="338"/>
        <v>15.0902969084787</v>
      </c>
      <c r="AD938" s="2" t="s">
        <v>676</v>
      </c>
      <c r="AE938" s="2">
        <v>175</v>
      </c>
      <c r="AF938" s="21">
        <f t="shared" si="332"/>
        <v>16.2112903931086</v>
      </c>
      <c r="AG938" s="4">
        <f t="shared" si="333"/>
        <v>14.9984695439241</v>
      </c>
      <c r="AH938" s="4">
        <f t="shared" si="334"/>
        <v>0.0918273645546373</v>
      </c>
    </row>
    <row r="939" spans="1:34">
      <c r="A939" s="2">
        <v>20260329</v>
      </c>
      <c r="B939" s="2" t="s">
        <v>1922</v>
      </c>
      <c r="C939" s="2" t="s">
        <v>1923</v>
      </c>
      <c r="D939" s="2">
        <v>4</v>
      </c>
      <c r="E939" s="2">
        <v>290</v>
      </c>
      <c r="F939" s="2">
        <v>8</v>
      </c>
      <c r="G939" s="2">
        <v>2</v>
      </c>
      <c r="H939" s="2">
        <v>525</v>
      </c>
      <c r="I939" s="3">
        <v>23</v>
      </c>
      <c r="J939" s="2">
        <v>276</v>
      </c>
      <c r="K939" s="2">
        <v>2</v>
      </c>
      <c r="L939" s="2">
        <v>1</v>
      </c>
      <c r="M939" s="2">
        <v>8</v>
      </c>
      <c r="N939" s="2">
        <v>8</v>
      </c>
      <c r="O939" s="2">
        <v>8</v>
      </c>
      <c r="P939" s="3">
        <v>9</v>
      </c>
      <c r="Q939" s="2">
        <v>6</v>
      </c>
      <c r="R939" s="2">
        <v>1298</v>
      </c>
      <c r="S939" s="2">
        <v>1</v>
      </c>
      <c r="T939" s="2">
        <v>7</v>
      </c>
      <c r="U939" s="2">
        <v>1</v>
      </c>
      <c r="V939" s="2">
        <f t="shared" si="335"/>
        <v>836</v>
      </c>
      <c r="W939" s="2">
        <v>1</v>
      </c>
      <c r="X939" s="2">
        <v>16</v>
      </c>
      <c r="Y939" s="2">
        <v>0</v>
      </c>
      <c r="Z939" s="2">
        <f t="shared" si="336"/>
        <v>18</v>
      </c>
      <c r="AA939" s="2">
        <f t="shared" si="337"/>
        <v>854</v>
      </c>
      <c r="AB939" s="2">
        <v>2991</v>
      </c>
      <c r="AC939" s="20">
        <f t="shared" si="338"/>
        <v>28.5523236375794</v>
      </c>
      <c r="AD939" s="2" t="s">
        <v>676</v>
      </c>
      <c r="AE939" s="2">
        <v>165</v>
      </c>
      <c r="AF939" s="21">
        <f t="shared" si="332"/>
        <v>32.5323445082723</v>
      </c>
      <c r="AG939" s="4">
        <f t="shared" si="333"/>
        <v>27.9505182213307</v>
      </c>
      <c r="AH939" s="4">
        <f t="shared" si="334"/>
        <v>0.601805416248746</v>
      </c>
    </row>
    <row r="940" spans="1:34">
      <c r="A940" s="2">
        <v>20260329</v>
      </c>
      <c r="B940" s="2" t="s">
        <v>1924</v>
      </c>
      <c r="C940" s="2" t="s">
        <v>1925</v>
      </c>
      <c r="D940" s="2">
        <v>0</v>
      </c>
      <c r="E940" s="2">
        <v>195</v>
      </c>
      <c r="F940" s="2">
        <v>9</v>
      </c>
      <c r="G940" s="2">
        <v>1</v>
      </c>
      <c r="H940" s="2">
        <v>22</v>
      </c>
      <c r="I940" s="3">
        <v>7</v>
      </c>
      <c r="J940" s="2">
        <v>80</v>
      </c>
      <c r="K940" s="2">
        <v>3</v>
      </c>
      <c r="L940" s="2">
        <v>3</v>
      </c>
      <c r="M940" s="2">
        <v>5</v>
      </c>
      <c r="N940" s="2">
        <v>60</v>
      </c>
      <c r="O940" s="2">
        <v>9</v>
      </c>
      <c r="P940" s="3">
        <v>11</v>
      </c>
      <c r="Q940" s="2">
        <v>6</v>
      </c>
      <c r="R940" s="2">
        <v>504</v>
      </c>
      <c r="S940" s="2">
        <v>1</v>
      </c>
      <c r="T940" s="2">
        <v>17</v>
      </c>
      <c r="U940" s="2">
        <v>0</v>
      </c>
      <c r="V940" s="2">
        <f t="shared" si="335"/>
        <v>146</v>
      </c>
      <c r="W940" s="2">
        <v>0</v>
      </c>
      <c r="X940" s="2">
        <v>3</v>
      </c>
      <c r="Y940" s="2">
        <v>0</v>
      </c>
      <c r="Z940" s="2">
        <f t="shared" si="336"/>
        <v>3</v>
      </c>
      <c r="AA940" s="2">
        <f t="shared" si="337"/>
        <v>149</v>
      </c>
      <c r="AB940" s="2">
        <v>1915</v>
      </c>
      <c r="AC940" s="20">
        <f t="shared" si="338"/>
        <v>7.78067885117493</v>
      </c>
      <c r="AD940" s="2" t="s">
        <v>676</v>
      </c>
      <c r="AE940" s="2">
        <v>165</v>
      </c>
      <c r="AF940" s="21">
        <f t="shared" si="332"/>
        <v>8.86525832739932</v>
      </c>
      <c r="AG940" s="4">
        <f t="shared" si="333"/>
        <v>7.62402088772846</v>
      </c>
      <c r="AH940" s="4">
        <f t="shared" si="334"/>
        <v>0.156657963446475</v>
      </c>
    </row>
    <row r="941" spans="1:34">
      <c r="A941" s="2">
        <v>20260329</v>
      </c>
      <c r="B941" s="2" t="s">
        <v>1926</v>
      </c>
      <c r="C941" s="2" t="s">
        <v>1927</v>
      </c>
      <c r="D941" s="2">
        <v>27</v>
      </c>
      <c r="E941" s="2">
        <v>1279</v>
      </c>
      <c r="F941" s="2">
        <v>85</v>
      </c>
      <c r="G941" s="2">
        <v>10</v>
      </c>
      <c r="H941" s="2">
        <v>71</v>
      </c>
      <c r="I941" s="3">
        <v>87</v>
      </c>
      <c r="J941" s="2">
        <v>113</v>
      </c>
      <c r="K941" s="2">
        <v>4</v>
      </c>
      <c r="L941" s="2">
        <v>2</v>
      </c>
      <c r="M941" s="2">
        <v>4</v>
      </c>
      <c r="N941" s="2">
        <v>71</v>
      </c>
      <c r="O941" s="2">
        <v>40</v>
      </c>
      <c r="P941" s="3">
        <v>20</v>
      </c>
      <c r="Q941" s="2">
        <v>11</v>
      </c>
      <c r="R941" s="2">
        <v>1437</v>
      </c>
      <c r="S941" s="2">
        <v>3</v>
      </c>
      <c r="T941" s="2">
        <v>40</v>
      </c>
      <c r="U941" s="2">
        <v>0</v>
      </c>
      <c r="V941" s="2">
        <f t="shared" ref="V941:V950" si="339">AA941-Y941-X941-W941-U941</f>
        <v>343</v>
      </c>
      <c r="W941" s="2">
        <v>0</v>
      </c>
      <c r="X941" s="2">
        <v>8</v>
      </c>
      <c r="Y941" s="2">
        <v>0</v>
      </c>
      <c r="Z941" s="2">
        <f t="shared" ref="Z941:Z950" si="340">Y941+X941+W941+U941</f>
        <v>8</v>
      </c>
      <c r="AA941" s="2">
        <f t="shared" ref="AA941:AA950" si="341">G941+H941+I941+J941+K941+L941+M941+P941+T941+U941</f>
        <v>351</v>
      </c>
      <c r="AB941" s="2">
        <v>3666</v>
      </c>
      <c r="AC941" s="20">
        <f t="shared" ref="AC941:AC950" si="342">AA941/AB941*100</f>
        <v>9.57446808510638</v>
      </c>
      <c r="AD941" s="2" t="s">
        <v>676</v>
      </c>
      <c r="AE941" s="2">
        <v>165</v>
      </c>
      <c r="AF941" s="21">
        <f t="shared" si="332"/>
        <v>10.9090909090909</v>
      </c>
      <c r="AG941" s="4">
        <f t="shared" si="333"/>
        <v>9.35624659028914</v>
      </c>
      <c r="AH941" s="4">
        <f t="shared" si="334"/>
        <v>0.218221494817239</v>
      </c>
    </row>
    <row r="942" spans="1:34">
      <c r="A942" s="2">
        <v>20260329</v>
      </c>
      <c r="B942" s="2" t="s">
        <v>1928</v>
      </c>
      <c r="C942" s="2" t="s">
        <v>1929</v>
      </c>
      <c r="D942" s="2">
        <v>5</v>
      </c>
      <c r="E942" s="2">
        <v>6</v>
      </c>
      <c r="F942" s="2">
        <v>7</v>
      </c>
      <c r="G942" s="2">
        <v>10</v>
      </c>
      <c r="H942" s="2">
        <v>5</v>
      </c>
      <c r="I942" s="3">
        <v>11</v>
      </c>
      <c r="J942" s="2">
        <v>13</v>
      </c>
      <c r="K942" s="2">
        <v>2</v>
      </c>
      <c r="L942" s="2">
        <v>1</v>
      </c>
      <c r="M942" s="2">
        <v>9</v>
      </c>
      <c r="N942" s="2">
        <v>4</v>
      </c>
      <c r="O942" s="2">
        <v>20</v>
      </c>
      <c r="P942" s="3">
        <v>16</v>
      </c>
      <c r="Q942" s="2">
        <v>10</v>
      </c>
      <c r="R942" s="2">
        <v>240</v>
      </c>
      <c r="S942" s="2">
        <v>4</v>
      </c>
      <c r="T942" s="2">
        <v>4</v>
      </c>
      <c r="U942" s="2">
        <v>1</v>
      </c>
      <c r="V942" s="2">
        <f t="shared" si="339"/>
        <v>55</v>
      </c>
      <c r="W942" s="2">
        <v>9</v>
      </c>
      <c r="X942" s="2">
        <v>7</v>
      </c>
      <c r="Y942" s="2">
        <v>0</v>
      </c>
      <c r="Z942" s="2">
        <f t="shared" si="340"/>
        <v>17</v>
      </c>
      <c r="AA942" s="2">
        <f t="shared" si="341"/>
        <v>72</v>
      </c>
      <c r="AB942" s="2">
        <v>2990</v>
      </c>
      <c r="AC942" s="20">
        <f t="shared" si="342"/>
        <v>2.40802675585284</v>
      </c>
      <c r="AD942" s="2" t="s">
        <v>676</v>
      </c>
      <c r="AE942" s="2">
        <v>165</v>
      </c>
      <c r="AF942" s="21">
        <f t="shared" si="332"/>
        <v>2.74369109151718</v>
      </c>
      <c r="AG942" s="4">
        <f t="shared" si="333"/>
        <v>1.83946488294314</v>
      </c>
      <c r="AH942" s="4">
        <f t="shared" si="334"/>
        <v>0.568561872909699</v>
      </c>
    </row>
    <row r="943" spans="1:34">
      <c r="A943" s="2">
        <v>20260329</v>
      </c>
      <c r="B943" s="2" t="s">
        <v>1930</v>
      </c>
      <c r="C943" s="2" t="s">
        <v>1931</v>
      </c>
      <c r="D943" s="2">
        <v>2</v>
      </c>
      <c r="E943" s="2">
        <v>33</v>
      </c>
      <c r="F943" s="2">
        <v>9</v>
      </c>
      <c r="G943" s="2">
        <v>4</v>
      </c>
      <c r="H943" s="2">
        <v>5</v>
      </c>
      <c r="I943" s="3">
        <v>15</v>
      </c>
      <c r="J943" s="2">
        <v>21</v>
      </c>
      <c r="K943" s="2">
        <v>1</v>
      </c>
      <c r="L943" s="2">
        <v>0</v>
      </c>
      <c r="M943" s="2">
        <v>5</v>
      </c>
      <c r="N943" s="2">
        <v>3</v>
      </c>
      <c r="O943" s="2">
        <v>10</v>
      </c>
      <c r="P943" s="3">
        <v>12</v>
      </c>
      <c r="Q943" s="2">
        <v>13</v>
      </c>
      <c r="R943" s="2">
        <v>108</v>
      </c>
      <c r="S943" s="2">
        <v>5</v>
      </c>
      <c r="T943" s="2">
        <v>2</v>
      </c>
      <c r="U943" s="2">
        <v>0</v>
      </c>
      <c r="V943" s="2">
        <f t="shared" si="339"/>
        <v>56</v>
      </c>
      <c r="W943" s="2">
        <v>1</v>
      </c>
      <c r="X943" s="2">
        <v>8</v>
      </c>
      <c r="Y943" s="2">
        <v>0</v>
      </c>
      <c r="Z943" s="2">
        <f t="shared" si="340"/>
        <v>9</v>
      </c>
      <c r="AA943" s="2">
        <f t="shared" si="341"/>
        <v>65</v>
      </c>
      <c r="AB943" s="2">
        <v>3190</v>
      </c>
      <c r="AC943" s="20">
        <f t="shared" si="342"/>
        <v>2.03761755485893</v>
      </c>
      <c r="AD943" s="2" t="s">
        <v>676</v>
      </c>
      <c r="AE943" s="2">
        <v>165</v>
      </c>
      <c r="AF943" s="21">
        <f t="shared" si="332"/>
        <v>2.32164909280897</v>
      </c>
      <c r="AG943" s="4">
        <f t="shared" si="333"/>
        <v>1.75548589341693</v>
      </c>
      <c r="AH943" s="4">
        <f t="shared" si="334"/>
        <v>0.282131661442006</v>
      </c>
    </row>
    <row r="944" spans="1:34">
      <c r="A944" s="2">
        <v>20260329</v>
      </c>
      <c r="B944" s="2" t="s">
        <v>1932</v>
      </c>
      <c r="C944" s="2" t="s">
        <v>1933</v>
      </c>
      <c r="D944" s="2">
        <v>1</v>
      </c>
      <c r="E944" s="2">
        <v>5</v>
      </c>
      <c r="F944" s="2">
        <v>4</v>
      </c>
      <c r="G944" s="2">
        <v>7</v>
      </c>
      <c r="H944" s="2">
        <v>4</v>
      </c>
      <c r="I944" s="3">
        <v>5</v>
      </c>
      <c r="J944" s="2">
        <v>5</v>
      </c>
      <c r="K944" s="2">
        <v>0</v>
      </c>
      <c r="L944" s="2">
        <v>0</v>
      </c>
      <c r="M944" s="2">
        <v>5</v>
      </c>
      <c r="N944" s="2">
        <v>4</v>
      </c>
      <c r="O944" s="2">
        <v>17</v>
      </c>
      <c r="P944" s="3">
        <v>11</v>
      </c>
      <c r="Q944" s="2">
        <v>8</v>
      </c>
      <c r="R944" s="2">
        <v>44</v>
      </c>
      <c r="S944" s="2">
        <v>1</v>
      </c>
      <c r="T944" s="2">
        <v>4</v>
      </c>
      <c r="U944" s="2">
        <v>0</v>
      </c>
      <c r="V944" s="2">
        <f t="shared" si="339"/>
        <v>38</v>
      </c>
      <c r="W944" s="2">
        <v>3</v>
      </c>
      <c r="X944" s="2">
        <v>0</v>
      </c>
      <c r="Y944" s="2">
        <v>0</v>
      </c>
      <c r="Z944" s="2">
        <f t="shared" si="340"/>
        <v>3</v>
      </c>
      <c r="AA944" s="2">
        <f t="shared" si="341"/>
        <v>41</v>
      </c>
      <c r="AB944" s="2">
        <v>2990</v>
      </c>
      <c r="AC944" s="20">
        <f t="shared" si="342"/>
        <v>1.37123745819398</v>
      </c>
      <c r="AD944" s="2" t="s">
        <v>676</v>
      </c>
      <c r="AE944" s="2">
        <v>165</v>
      </c>
      <c r="AF944" s="21">
        <f t="shared" si="332"/>
        <v>1.56237964933617</v>
      </c>
      <c r="AG944" s="4">
        <f t="shared" si="333"/>
        <v>1.27090301003344</v>
      </c>
      <c r="AH944" s="4">
        <f t="shared" si="334"/>
        <v>0.100334448160535</v>
      </c>
    </row>
    <row r="945" spans="1:34">
      <c r="A945" s="2">
        <v>20260329</v>
      </c>
      <c r="B945" s="2" t="s">
        <v>1934</v>
      </c>
      <c r="C945" s="2" t="s">
        <v>1935</v>
      </c>
      <c r="D945" s="2">
        <v>4</v>
      </c>
      <c r="E945" s="2">
        <v>1</v>
      </c>
      <c r="F945" s="2">
        <v>9</v>
      </c>
      <c r="G945" s="2">
        <v>2</v>
      </c>
      <c r="H945" s="2">
        <v>5</v>
      </c>
      <c r="I945" s="3">
        <v>7</v>
      </c>
      <c r="J945" s="2">
        <v>7</v>
      </c>
      <c r="K945" s="2">
        <v>2</v>
      </c>
      <c r="L945" s="2">
        <v>0</v>
      </c>
      <c r="M945" s="2">
        <v>3</v>
      </c>
      <c r="N945" s="2">
        <v>10</v>
      </c>
      <c r="O945" s="2">
        <v>7</v>
      </c>
      <c r="P945" s="3">
        <v>8</v>
      </c>
      <c r="Q945" s="2">
        <v>4</v>
      </c>
      <c r="R945" s="2">
        <v>37</v>
      </c>
      <c r="S945" s="2">
        <v>5</v>
      </c>
      <c r="T945" s="2">
        <v>0</v>
      </c>
      <c r="U945" s="2">
        <v>0</v>
      </c>
      <c r="V945" s="2">
        <f t="shared" si="339"/>
        <v>34</v>
      </c>
      <c r="W945" s="2">
        <v>0</v>
      </c>
      <c r="X945" s="2">
        <v>0</v>
      </c>
      <c r="Y945" s="2">
        <v>0</v>
      </c>
      <c r="Z945" s="2">
        <f t="shared" si="340"/>
        <v>0</v>
      </c>
      <c r="AA945" s="2">
        <f t="shared" si="341"/>
        <v>34</v>
      </c>
      <c r="AB945" s="2">
        <v>2990</v>
      </c>
      <c r="AC945" s="20">
        <f t="shared" si="342"/>
        <v>1.1371237458194</v>
      </c>
      <c r="AD945" s="2" t="s">
        <v>676</v>
      </c>
      <c r="AE945" s="2">
        <v>165</v>
      </c>
      <c r="AF945" s="21">
        <f t="shared" si="332"/>
        <v>1.29563190432756</v>
      </c>
      <c r="AG945" s="4">
        <f t="shared" si="333"/>
        <v>1.1371237458194</v>
      </c>
      <c r="AH945" s="4">
        <f t="shared" si="334"/>
        <v>0</v>
      </c>
    </row>
    <row r="946" spans="1:34">
      <c r="A946" s="2">
        <v>20260329</v>
      </c>
      <c r="B946" s="2" t="s">
        <v>1936</v>
      </c>
      <c r="C946" s="2" t="s">
        <v>1937</v>
      </c>
      <c r="D946" s="2">
        <v>3</v>
      </c>
      <c r="E946" s="2">
        <v>2</v>
      </c>
      <c r="F946" s="2">
        <v>19</v>
      </c>
      <c r="G946" s="2">
        <v>6</v>
      </c>
      <c r="H946" s="2">
        <v>2</v>
      </c>
      <c r="I946" s="3">
        <v>10</v>
      </c>
      <c r="J946" s="2">
        <v>12</v>
      </c>
      <c r="K946" s="2">
        <v>4</v>
      </c>
      <c r="L946" s="2">
        <v>1</v>
      </c>
      <c r="M946" s="2">
        <v>4</v>
      </c>
      <c r="N946" s="2">
        <v>9</v>
      </c>
      <c r="O946" s="2">
        <v>13</v>
      </c>
      <c r="P946" s="3">
        <v>10</v>
      </c>
      <c r="Q946" s="2">
        <v>6</v>
      </c>
      <c r="R946" s="2">
        <v>36</v>
      </c>
      <c r="S946" s="2">
        <v>3</v>
      </c>
      <c r="T946" s="2">
        <v>5</v>
      </c>
      <c r="U946" s="2">
        <v>0</v>
      </c>
      <c r="V946" s="2">
        <f t="shared" si="339"/>
        <v>49</v>
      </c>
      <c r="W946" s="2">
        <v>2</v>
      </c>
      <c r="X946" s="2">
        <v>0</v>
      </c>
      <c r="Y946" s="2">
        <v>3</v>
      </c>
      <c r="Z946" s="2">
        <f t="shared" si="340"/>
        <v>5</v>
      </c>
      <c r="AA946" s="2">
        <f t="shared" si="341"/>
        <v>54</v>
      </c>
      <c r="AB946" s="2">
        <v>2990</v>
      </c>
      <c r="AC946" s="20">
        <f t="shared" si="342"/>
        <v>1.80602006688963</v>
      </c>
      <c r="AD946" s="2" t="s">
        <v>676</v>
      </c>
      <c r="AE946" s="2">
        <v>165</v>
      </c>
      <c r="AF946" s="21">
        <f t="shared" si="332"/>
        <v>2.05776831863788</v>
      </c>
      <c r="AG946" s="4">
        <f t="shared" si="333"/>
        <v>1.63879598662207</v>
      </c>
      <c r="AH946" s="4">
        <f t="shared" si="334"/>
        <v>0.167224080267559</v>
      </c>
    </row>
    <row r="947" spans="1:34">
      <c r="A947" s="2">
        <v>20260329</v>
      </c>
      <c r="B947" s="2" t="s">
        <v>1938</v>
      </c>
      <c r="C947" s="2" t="s">
        <v>1939</v>
      </c>
      <c r="D947" s="2">
        <v>4</v>
      </c>
      <c r="E947" s="2">
        <v>3</v>
      </c>
      <c r="F947" s="2">
        <v>17</v>
      </c>
      <c r="G947" s="2">
        <v>8</v>
      </c>
      <c r="H947" s="2">
        <v>5</v>
      </c>
      <c r="I947" s="3">
        <v>9</v>
      </c>
      <c r="J947" s="2">
        <v>11</v>
      </c>
      <c r="K947" s="2">
        <v>1</v>
      </c>
      <c r="L947" s="2">
        <v>1</v>
      </c>
      <c r="M947" s="2">
        <v>7</v>
      </c>
      <c r="N947" s="2">
        <v>7</v>
      </c>
      <c r="O947" s="2">
        <v>10</v>
      </c>
      <c r="P947" s="3">
        <v>14</v>
      </c>
      <c r="Q947" s="2">
        <v>11</v>
      </c>
      <c r="R947" s="2">
        <v>54</v>
      </c>
      <c r="S947" s="2">
        <v>6</v>
      </c>
      <c r="T947" s="2">
        <v>1</v>
      </c>
      <c r="U947" s="2">
        <v>0</v>
      </c>
      <c r="V947" s="2">
        <f t="shared" si="339"/>
        <v>51</v>
      </c>
      <c r="W947" s="2">
        <v>2</v>
      </c>
      <c r="X947" s="2">
        <v>3</v>
      </c>
      <c r="Y947" s="2">
        <v>1</v>
      </c>
      <c r="Z947" s="2">
        <f t="shared" si="340"/>
        <v>6</v>
      </c>
      <c r="AA947" s="2">
        <f t="shared" si="341"/>
        <v>57</v>
      </c>
      <c r="AB947" s="2">
        <v>3110</v>
      </c>
      <c r="AC947" s="20">
        <f t="shared" ref="AC947:AC953" si="343">AA947/AB947*100</f>
        <v>1.83279742765273</v>
      </c>
      <c r="AD947" s="2" t="s">
        <v>676</v>
      </c>
      <c r="AE947" s="2">
        <v>165</v>
      </c>
      <c r="AF947" s="21">
        <f t="shared" ref="AF947:AF953" si="344">188/AE947*AC947</f>
        <v>2.08827828120433</v>
      </c>
      <c r="AG947" s="4">
        <f t="shared" ref="AG947:AG953" si="345">V947/AB947*100</f>
        <v>1.63987138263666</v>
      </c>
      <c r="AH947" s="4">
        <f t="shared" ref="AH947:AH953" si="346">Z947/AB947*100</f>
        <v>0.192926045016077</v>
      </c>
    </row>
    <row r="948" spans="1:34">
      <c r="A948" s="2">
        <v>20260330</v>
      </c>
      <c r="B948" s="2" t="s">
        <v>1940</v>
      </c>
      <c r="C948" s="2" t="s">
        <v>1941</v>
      </c>
      <c r="D948" s="2">
        <v>3</v>
      </c>
      <c r="E948" s="2">
        <v>8</v>
      </c>
      <c r="F948" s="2">
        <v>12</v>
      </c>
      <c r="G948" s="2">
        <v>3</v>
      </c>
      <c r="H948" s="2">
        <v>4</v>
      </c>
      <c r="I948" s="3">
        <v>13</v>
      </c>
      <c r="J948" s="2">
        <v>10</v>
      </c>
      <c r="K948" s="2">
        <v>2</v>
      </c>
      <c r="L948" s="2">
        <v>0</v>
      </c>
      <c r="M948" s="2">
        <v>6</v>
      </c>
      <c r="N948" s="2">
        <v>8</v>
      </c>
      <c r="O948" s="2">
        <v>21</v>
      </c>
      <c r="P948" s="3">
        <v>7</v>
      </c>
      <c r="Q948" s="2">
        <v>17</v>
      </c>
      <c r="R948" s="2">
        <v>35</v>
      </c>
      <c r="S948" s="2">
        <v>1</v>
      </c>
      <c r="T948" s="2">
        <v>5</v>
      </c>
      <c r="U948" s="2">
        <v>1</v>
      </c>
      <c r="V948" s="2">
        <f t="shared" si="339"/>
        <v>49</v>
      </c>
      <c r="W948" s="2">
        <v>0</v>
      </c>
      <c r="X948" s="2">
        <v>0</v>
      </c>
      <c r="Y948" s="2">
        <v>1</v>
      </c>
      <c r="Z948" s="2">
        <f t="shared" si="340"/>
        <v>2</v>
      </c>
      <c r="AA948" s="2">
        <f t="shared" si="341"/>
        <v>51</v>
      </c>
      <c r="AB948" s="2">
        <v>2990</v>
      </c>
      <c r="AC948" s="20">
        <f t="shared" si="343"/>
        <v>1.7056856187291</v>
      </c>
      <c r="AD948" s="2" t="s">
        <v>676</v>
      </c>
      <c r="AE948" s="2">
        <v>165</v>
      </c>
      <c r="AF948" s="21">
        <f t="shared" si="344"/>
        <v>1.94344785649133</v>
      </c>
      <c r="AG948" s="4">
        <f t="shared" si="345"/>
        <v>1.63879598662207</v>
      </c>
      <c r="AH948" s="4">
        <f t="shared" si="346"/>
        <v>0.0668896321070234</v>
      </c>
    </row>
    <row r="949" spans="1:34">
      <c r="A949" s="2">
        <v>20260330</v>
      </c>
      <c r="B949" s="2" t="s">
        <v>1942</v>
      </c>
      <c r="C949" s="2" t="s">
        <v>1943</v>
      </c>
      <c r="D949" s="2">
        <v>2</v>
      </c>
      <c r="E949" s="2">
        <v>3</v>
      </c>
      <c r="F949" s="2">
        <v>11</v>
      </c>
      <c r="G949" s="2">
        <v>4</v>
      </c>
      <c r="H949" s="2">
        <v>2</v>
      </c>
      <c r="I949" s="3">
        <v>15</v>
      </c>
      <c r="J949" s="2">
        <v>6</v>
      </c>
      <c r="K949" s="2">
        <v>6</v>
      </c>
      <c r="M949" s="2">
        <v>2</v>
      </c>
      <c r="N949" s="2">
        <v>17</v>
      </c>
      <c r="O949" s="2">
        <v>10</v>
      </c>
      <c r="P949" s="3">
        <v>11</v>
      </c>
      <c r="Q949" s="2">
        <v>16</v>
      </c>
      <c r="R949" s="2">
        <v>199</v>
      </c>
      <c r="S949" s="2">
        <v>0</v>
      </c>
      <c r="T949" s="2">
        <v>3</v>
      </c>
      <c r="U949" s="2">
        <v>1</v>
      </c>
      <c r="V949" s="2">
        <f t="shared" si="339"/>
        <v>41</v>
      </c>
      <c r="W949" s="2">
        <v>0</v>
      </c>
      <c r="X949" s="2">
        <v>8</v>
      </c>
      <c r="Y949" s="2">
        <v>0</v>
      </c>
      <c r="Z949" s="2">
        <f t="shared" si="340"/>
        <v>9</v>
      </c>
      <c r="AA949" s="2">
        <f t="shared" si="341"/>
        <v>50</v>
      </c>
      <c r="AB949" s="2">
        <v>2990</v>
      </c>
      <c r="AC949" s="20">
        <f t="shared" si="343"/>
        <v>1.67224080267559</v>
      </c>
      <c r="AD949" s="2" t="s">
        <v>676</v>
      </c>
      <c r="AE949" s="2">
        <v>165</v>
      </c>
      <c r="AF949" s="21">
        <f t="shared" si="344"/>
        <v>1.90534103577582</v>
      </c>
      <c r="AG949" s="4">
        <f t="shared" si="345"/>
        <v>1.37123745819398</v>
      </c>
      <c r="AH949" s="4">
        <f t="shared" si="346"/>
        <v>0.301003344481605</v>
      </c>
    </row>
    <row r="950" spans="1:34">
      <c r="A950" s="2">
        <v>20260330</v>
      </c>
      <c r="B950" s="2" t="s">
        <v>1944</v>
      </c>
      <c r="C950" s="2" t="s">
        <v>1945</v>
      </c>
      <c r="D950" s="2">
        <v>3</v>
      </c>
      <c r="E950" s="2">
        <v>389</v>
      </c>
      <c r="F950" s="2">
        <v>6</v>
      </c>
      <c r="G950" s="2">
        <v>10</v>
      </c>
      <c r="H950" s="2">
        <v>17</v>
      </c>
      <c r="I950" s="3">
        <v>29</v>
      </c>
      <c r="J950" s="2">
        <v>19</v>
      </c>
      <c r="K950" s="2">
        <v>0</v>
      </c>
      <c r="L950" s="2">
        <v>0</v>
      </c>
      <c r="M950" s="2">
        <v>4</v>
      </c>
      <c r="N950" s="2">
        <v>11</v>
      </c>
      <c r="O950" s="2">
        <v>34</v>
      </c>
      <c r="P950" s="3">
        <v>14</v>
      </c>
      <c r="Q950" s="2">
        <v>5</v>
      </c>
      <c r="R950" s="2">
        <v>688</v>
      </c>
      <c r="S950" s="2">
        <v>2</v>
      </c>
      <c r="T950" s="2">
        <v>5</v>
      </c>
      <c r="U950" s="2">
        <v>0</v>
      </c>
      <c r="V950" s="2">
        <f t="shared" ref="V950:V957" si="347">AA950-Y950-X950-W950-U950</f>
        <v>87</v>
      </c>
      <c r="W950" s="2">
        <v>1</v>
      </c>
      <c r="X950" s="2">
        <v>10</v>
      </c>
      <c r="Y950" s="2">
        <v>0</v>
      </c>
      <c r="Z950" s="2">
        <f t="shared" si="340"/>
        <v>11</v>
      </c>
      <c r="AA950" s="2">
        <f t="shared" si="341"/>
        <v>98</v>
      </c>
      <c r="AB950" s="2">
        <v>2990</v>
      </c>
      <c r="AC950" s="20">
        <f t="shared" si="343"/>
        <v>3.27759197324415</v>
      </c>
      <c r="AD950" s="2" t="s">
        <v>676</v>
      </c>
      <c r="AE950" s="2">
        <v>165</v>
      </c>
      <c r="AF950" s="21">
        <f t="shared" si="344"/>
        <v>3.7344684301206</v>
      </c>
      <c r="AG950" s="4">
        <f t="shared" si="345"/>
        <v>2.90969899665552</v>
      </c>
      <c r="AH950" s="4">
        <f t="shared" si="346"/>
        <v>0.367892976588629</v>
      </c>
    </row>
    <row r="951" spans="1:34">
      <c r="A951" s="2">
        <v>20260330</v>
      </c>
      <c r="B951" s="2" t="s">
        <v>1946</v>
      </c>
      <c r="C951" s="2" t="s">
        <v>1947</v>
      </c>
      <c r="D951" s="2">
        <v>3</v>
      </c>
      <c r="E951" s="2">
        <v>12</v>
      </c>
      <c r="F951" s="2">
        <v>8</v>
      </c>
      <c r="G951" s="2">
        <v>6</v>
      </c>
      <c r="H951" s="2">
        <v>6</v>
      </c>
      <c r="I951" s="3">
        <v>8</v>
      </c>
      <c r="J951" s="2">
        <v>8</v>
      </c>
      <c r="K951" s="2">
        <v>0</v>
      </c>
      <c r="L951" s="2">
        <v>0</v>
      </c>
      <c r="M951" s="2">
        <v>3</v>
      </c>
      <c r="N951" s="2">
        <v>23</v>
      </c>
      <c r="O951" s="2">
        <v>11</v>
      </c>
      <c r="P951" s="3">
        <v>10</v>
      </c>
      <c r="Q951" s="2">
        <v>12</v>
      </c>
      <c r="R951" s="2">
        <v>141</v>
      </c>
      <c r="S951" s="2">
        <v>3</v>
      </c>
      <c r="T951" s="2">
        <v>2</v>
      </c>
      <c r="U951" s="2">
        <v>0</v>
      </c>
      <c r="V951" s="2">
        <f t="shared" si="347"/>
        <v>42</v>
      </c>
      <c r="W951" s="2">
        <v>0</v>
      </c>
      <c r="X951" s="2">
        <v>1</v>
      </c>
      <c r="Y951" s="2">
        <v>0</v>
      </c>
      <c r="Z951" s="2">
        <f t="shared" ref="Z951:Z956" si="348">Y951+X951+W951+U951</f>
        <v>1</v>
      </c>
      <c r="AA951" s="2">
        <f t="shared" ref="AA951:AA956" si="349">G951+H951+I951+J951+K951+L951+M951+P951+T951+U951</f>
        <v>43</v>
      </c>
      <c r="AB951" s="2">
        <v>2990</v>
      </c>
      <c r="AC951" s="20">
        <f t="shared" si="343"/>
        <v>1.438127090301</v>
      </c>
      <c r="AD951" s="2" t="s">
        <v>676</v>
      </c>
      <c r="AE951" s="2">
        <v>165</v>
      </c>
      <c r="AF951" s="21">
        <f t="shared" si="344"/>
        <v>1.6385932907672</v>
      </c>
      <c r="AG951" s="4">
        <f t="shared" si="345"/>
        <v>1.40468227424749</v>
      </c>
      <c r="AH951" s="4">
        <f t="shared" si="346"/>
        <v>0.0334448160535117</v>
      </c>
    </row>
    <row r="952" spans="1:34">
      <c r="A952" s="2">
        <v>20260330</v>
      </c>
      <c r="B952" s="8" t="s">
        <v>1948</v>
      </c>
      <c r="C952" s="2" t="s">
        <v>1949</v>
      </c>
      <c r="D952" s="2">
        <v>6</v>
      </c>
      <c r="E952" s="2">
        <v>1</v>
      </c>
      <c r="F952" s="2">
        <v>10</v>
      </c>
      <c r="G952" s="2">
        <v>1</v>
      </c>
      <c r="H952" s="2">
        <v>5</v>
      </c>
      <c r="I952" s="3">
        <v>7</v>
      </c>
      <c r="J952" s="2">
        <v>14</v>
      </c>
      <c r="K952" s="2">
        <v>2</v>
      </c>
      <c r="L952" s="2">
        <v>0</v>
      </c>
      <c r="M952" s="2">
        <v>4</v>
      </c>
      <c r="N952" s="2">
        <v>26</v>
      </c>
      <c r="O952" s="2">
        <v>18</v>
      </c>
      <c r="P952" s="3">
        <v>8</v>
      </c>
      <c r="Q952" s="2">
        <v>18</v>
      </c>
      <c r="R952" s="2">
        <v>21</v>
      </c>
      <c r="S952" s="2">
        <v>3</v>
      </c>
      <c r="T952" s="2">
        <v>3</v>
      </c>
      <c r="U952" s="2">
        <v>1</v>
      </c>
      <c r="V952" s="2">
        <f t="shared" si="347"/>
        <v>44</v>
      </c>
      <c r="W952" s="2">
        <v>0</v>
      </c>
      <c r="X952" s="2">
        <v>0</v>
      </c>
      <c r="Y952" s="2">
        <v>0</v>
      </c>
      <c r="Z952" s="2">
        <f t="shared" si="348"/>
        <v>1</v>
      </c>
      <c r="AA952" s="2">
        <f t="shared" si="349"/>
        <v>45</v>
      </c>
      <c r="AB952" s="2">
        <v>2990</v>
      </c>
      <c r="AC952" s="20">
        <f t="shared" ref="AC952:AC959" si="350">AA952/AB952*100</f>
        <v>1.50501672240803</v>
      </c>
      <c r="AD952" s="2" t="s">
        <v>676</v>
      </c>
      <c r="AE952" s="2">
        <v>165</v>
      </c>
      <c r="AF952" s="21">
        <f t="shared" ref="AF952:AF959" si="351">188/AE952*AC952</f>
        <v>1.71480693219824</v>
      </c>
      <c r="AG952" s="4">
        <f t="shared" ref="AG952:AG959" si="352">V952/AB952*100</f>
        <v>1.47157190635451</v>
      </c>
      <c r="AH952" s="4">
        <f t="shared" ref="AH952:AH959" si="353">Z952/AB952*100</f>
        <v>0.0334448160535117</v>
      </c>
    </row>
    <row r="953" spans="1:34">
      <c r="A953" s="2">
        <v>20260330</v>
      </c>
      <c r="B953" s="8" t="s">
        <v>1950</v>
      </c>
      <c r="C953" s="2" t="s">
        <v>1951</v>
      </c>
      <c r="D953" s="2">
        <v>4</v>
      </c>
      <c r="E953" s="2">
        <v>31</v>
      </c>
      <c r="F953" s="2">
        <v>13</v>
      </c>
      <c r="G953" s="2">
        <v>4</v>
      </c>
      <c r="H953" s="2">
        <v>4</v>
      </c>
      <c r="I953" s="3">
        <v>7</v>
      </c>
      <c r="J953" s="2">
        <v>11</v>
      </c>
      <c r="K953" s="2">
        <v>3</v>
      </c>
      <c r="L953" s="2">
        <v>2</v>
      </c>
      <c r="M953" s="2">
        <v>7</v>
      </c>
      <c r="N953" s="2">
        <v>23</v>
      </c>
      <c r="O953" s="2">
        <v>13</v>
      </c>
      <c r="P953" s="3">
        <v>7</v>
      </c>
      <c r="Q953" s="2">
        <v>15</v>
      </c>
      <c r="R953" s="2">
        <v>129</v>
      </c>
      <c r="S953" s="2">
        <v>3</v>
      </c>
      <c r="T953" s="2">
        <v>4</v>
      </c>
      <c r="U953" s="2">
        <v>0</v>
      </c>
      <c r="V953" s="2">
        <f t="shared" si="347"/>
        <v>49</v>
      </c>
      <c r="W953" s="2">
        <v>0</v>
      </c>
      <c r="X953" s="2">
        <v>0</v>
      </c>
      <c r="Y953" s="2">
        <v>0</v>
      </c>
      <c r="Z953" s="2">
        <f t="shared" si="348"/>
        <v>0</v>
      </c>
      <c r="AA953" s="2">
        <f t="shared" si="349"/>
        <v>49</v>
      </c>
      <c r="AB953" s="2">
        <v>2990</v>
      </c>
      <c r="AC953" s="20">
        <f t="shared" si="350"/>
        <v>1.63879598662207</v>
      </c>
      <c r="AD953" s="2" t="s">
        <v>676</v>
      </c>
      <c r="AE953" s="2">
        <v>165</v>
      </c>
      <c r="AF953" s="21">
        <f t="shared" si="351"/>
        <v>1.8672342150603</v>
      </c>
      <c r="AG953" s="4">
        <f t="shared" si="352"/>
        <v>1.63879598662207</v>
      </c>
      <c r="AH953" s="4">
        <f t="shared" si="353"/>
        <v>0</v>
      </c>
    </row>
    <row r="954" spans="1:34">
      <c r="A954" s="2">
        <v>20260330</v>
      </c>
      <c r="B954" s="8" t="s">
        <v>1952</v>
      </c>
      <c r="C954" s="2" t="s">
        <v>1953</v>
      </c>
      <c r="D954" s="2">
        <v>0</v>
      </c>
      <c r="E954" s="2">
        <v>178</v>
      </c>
      <c r="F954" s="2">
        <v>10</v>
      </c>
      <c r="G954" s="2">
        <v>4</v>
      </c>
      <c r="H954" s="2">
        <v>4</v>
      </c>
      <c r="I954" s="2">
        <v>17</v>
      </c>
      <c r="J954" s="2">
        <v>9</v>
      </c>
      <c r="K954" s="2">
        <v>0</v>
      </c>
      <c r="L954" s="2">
        <v>1</v>
      </c>
      <c r="M954" s="2">
        <v>1</v>
      </c>
      <c r="N954" s="2">
        <v>7</v>
      </c>
      <c r="O954" s="3">
        <v>3</v>
      </c>
      <c r="P954" s="2">
        <v>10</v>
      </c>
      <c r="Q954" s="2">
        <v>8</v>
      </c>
      <c r="R954" s="2">
        <v>243</v>
      </c>
      <c r="S954" s="2">
        <v>1</v>
      </c>
      <c r="T954" s="2">
        <v>5</v>
      </c>
      <c r="U954" s="2">
        <v>0</v>
      </c>
      <c r="V954" s="2">
        <f t="shared" si="347"/>
        <v>45</v>
      </c>
      <c r="W954" s="2">
        <v>1</v>
      </c>
      <c r="X954" s="2">
        <v>5</v>
      </c>
      <c r="Y954" s="2">
        <v>0</v>
      </c>
      <c r="Z954" s="2">
        <f t="shared" si="348"/>
        <v>6</v>
      </c>
      <c r="AA954" s="2">
        <f t="shared" si="349"/>
        <v>51</v>
      </c>
      <c r="AB954" s="2">
        <v>2990</v>
      </c>
      <c r="AC954" s="20">
        <f t="shared" si="350"/>
        <v>1.7056856187291</v>
      </c>
      <c r="AD954" s="2" t="s">
        <v>676</v>
      </c>
      <c r="AE954" s="2">
        <v>165</v>
      </c>
      <c r="AF954" s="21">
        <f t="shared" si="351"/>
        <v>1.94344785649133</v>
      </c>
      <c r="AG954" s="4">
        <f t="shared" si="352"/>
        <v>1.50501672240803</v>
      </c>
      <c r="AH954" s="4">
        <f t="shared" si="353"/>
        <v>0.20066889632107</v>
      </c>
    </row>
    <row r="955" spans="1:34">
      <c r="A955" s="2">
        <v>20260330</v>
      </c>
      <c r="B955" s="8" t="s">
        <v>1954</v>
      </c>
      <c r="C955" s="2" t="s">
        <v>1955</v>
      </c>
      <c r="D955" s="2">
        <v>2</v>
      </c>
      <c r="E955" s="2">
        <v>9</v>
      </c>
      <c r="F955" s="2">
        <v>6</v>
      </c>
      <c r="G955" s="2">
        <v>3</v>
      </c>
      <c r="H955" s="2">
        <v>8</v>
      </c>
      <c r="I955" s="3">
        <v>10</v>
      </c>
      <c r="J955" s="2">
        <v>11</v>
      </c>
      <c r="K955" s="2">
        <v>1</v>
      </c>
      <c r="L955" s="2">
        <v>1</v>
      </c>
      <c r="M955" s="2">
        <v>5</v>
      </c>
      <c r="N955" s="2">
        <v>9</v>
      </c>
      <c r="O955" s="2">
        <v>11</v>
      </c>
      <c r="P955" s="3">
        <v>8</v>
      </c>
      <c r="Q955" s="2">
        <v>6</v>
      </c>
      <c r="R955" s="2">
        <v>31</v>
      </c>
      <c r="S955" s="2">
        <v>2</v>
      </c>
      <c r="T955" s="2">
        <v>2</v>
      </c>
      <c r="U955" s="2">
        <v>0</v>
      </c>
      <c r="V955" s="2">
        <f t="shared" si="347"/>
        <v>45</v>
      </c>
      <c r="W955" s="2">
        <v>0</v>
      </c>
      <c r="X955" s="2">
        <v>4</v>
      </c>
      <c r="Y955" s="2">
        <v>0</v>
      </c>
      <c r="Z955" s="2">
        <f t="shared" si="348"/>
        <v>4</v>
      </c>
      <c r="AA955" s="2">
        <f t="shared" si="349"/>
        <v>49</v>
      </c>
      <c r="AB955" s="2">
        <v>2990</v>
      </c>
      <c r="AC955" s="20">
        <f t="shared" si="350"/>
        <v>1.63879598662207</v>
      </c>
      <c r="AD955" s="2" t="s">
        <v>676</v>
      </c>
      <c r="AE955" s="2">
        <v>165</v>
      </c>
      <c r="AF955" s="21">
        <f t="shared" si="351"/>
        <v>1.8672342150603</v>
      </c>
      <c r="AG955" s="4">
        <f t="shared" si="352"/>
        <v>1.50501672240803</v>
      </c>
      <c r="AH955" s="4">
        <f t="shared" si="353"/>
        <v>0.133779264214047</v>
      </c>
    </row>
    <row r="956" spans="1:34">
      <c r="A956" s="2">
        <v>20260330</v>
      </c>
      <c r="B956" s="8" t="s">
        <v>1956</v>
      </c>
      <c r="C956" s="2" t="s">
        <v>1957</v>
      </c>
      <c r="D956" s="2">
        <v>2</v>
      </c>
      <c r="E956" s="2">
        <v>24</v>
      </c>
      <c r="F956" s="2">
        <v>3</v>
      </c>
      <c r="G956" s="2">
        <v>4</v>
      </c>
      <c r="H956" s="2">
        <v>2</v>
      </c>
      <c r="I956" s="3">
        <v>12</v>
      </c>
      <c r="J956" s="2">
        <v>8</v>
      </c>
      <c r="K956" s="2">
        <v>4</v>
      </c>
      <c r="L956" s="2">
        <v>0</v>
      </c>
      <c r="M956" s="2">
        <v>1</v>
      </c>
      <c r="N956" s="2">
        <v>21</v>
      </c>
      <c r="O956" s="2">
        <v>10</v>
      </c>
      <c r="P956" s="3">
        <v>10</v>
      </c>
      <c r="Q956" s="2">
        <v>9</v>
      </c>
      <c r="R956" s="2">
        <v>29</v>
      </c>
      <c r="S956" s="2">
        <v>4</v>
      </c>
      <c r="T956" s="2">
        <v>5</v>
      </c>
      <c r="U956" s="2">
        <v>0</v>
      </c>
      <c r="V956" s="2">
        <f t="shared" si="347"/>
        <v>42</v>
      </c>
      <c r="W956" s="2">
        <v>1</v>
      </c>
      <c r="X956" s="2">
        <v>3</v>
      </c>
      <c r="Y956" s="2">
        <v>0</v>
      </c>
      <c r="Z956" s="2">
        <f t="shared" si="348"/>
        <v>4</v>
      </c>
      <c r="AA956" s="2">
        <f t="shared" si="349"/>
        <v>46</v>
      </c>
      <c r="AB956" s="2">
        <v>3250</v>
      </c>
      <c r="AC956" s="20">
        <f t="shared" si="350"/>
        <v>1.41538461538462</v>
      </c>
      <c r="AD956" s="2" t="s">
        <v>676</v>
      </c>
      <c r="AE956" s="2">
        <v>165</v>
      </c>
      <c r="AF956" s="21">
        <f t="shared" si="351"/>
        <v>1.61268065268065</v>
      </c>
      <c r="AG956" s="4">
        <f t="shared" si="352"/>
        <v>1.29230769230769</v>
      </c>
      <c r="AH956" s="4">
        <f t="shared" si="353"/>
        <v>0.123076923076923</v>
      </c>
    </row>
    <row r="957" spans="1:34">
      <c r="A957" s="2">
        <v>20260330</v>
      </c>
      <c r="B957" s="2" t="s">
        <v>1958</v>
      </c>
      <c r="C957" s="2" t="s">
        <v>1959</v>
      </c>
      <c r="D957" s="2">
        <v>11</v>
      </c>
      <c r="E957" s="2">
        <v>20</v>
      </c>
      <c r="F957" s="2">
        <v>7</v>
      </c>
      <c r="G957" s="2">
        <v>5</v>
      </c>
      <c r="H957" s="2">
        <v>1</v>
      </c>
      <c r="I957" s="3">
        <v>23</v>
      </c>
      <c r="J957" s="2">
        <v>13</v>
      </c>
      <c r="K957" s="2">
        <v>1</v>
      </c>
      <c r="L957" s="2">
        <v>0</v>
      </c>
      <c r="M957" s="2">
        <v>6</v>
      </c>
      <c r="N957" s="2">
        <v>15</v>
      </c>
      <c r="O957" s="2">
        <v>20</v>
      </c>
      <c r="P957" s="3">
        <v>7</v>
      </c>
      <c r="Q957" s="2">
        <v>9</v>
      </c>
      <c r="R957" s="2">
        <v>35</v>
      </c>
      <c r="S957" s="2">
        <v>1</v>
      </c>
      <c r="T957" s="2">
        <v>7</v>
      </c>
      <c r="U957" s="2">
        <v>1</v>
      </c>
      <c r="V957" s="2">
        <f t="shared" ref="V957:V965" si="354">AA957-Y957-X957-W957-U957</f>
        <v>50</v>
      </c>
      <c r="W957" s="2">
        <v>9</v>
      </c>
      <c r="X957" s="2">
        <v>4</v>
      </c>
      <c r="Y957" s="2">
        <v>0</v>
      </c>
      <c r="Z957" s="2">
        <f t="shared" ref="Z957:Z965" si="355">Y957+X957+W957+U957</f>
        <v>14</v>
      </c>
      <c r="AA957" s="2">
        <f t="shared" ref="AA957:AA965" si="356">G957+H957+I957+J957+K957+L957+M957+P957+T957+U957</f>
        <v>64</v>
      </c>
      <c r="AB957" s="2">
        <v>3190</v>
      </c>
      <c r="AC957" s="20">
        <f t="shared" si="350"/>
        <v>2.00626959247649</v>
      </c>
      <c r="AD957" s="2" t="s">
        <v>676</v>
      </c>
      <c r="AE957" s="2">
        <v>165</v>
      </c>
      <c r="AF957" s="21">
        <f t="shared" si="351"/>
        <v>2.28593141445806</v>
      </c>
      <c r="AG957" s="4">
        <f t="shared" si="352"/>
        <v>1.56739811912226</v>
      </c>
      <c r="AH957" s="4">
        <f t="shared" si="353"/>
        <v>0.438871473354232</v>
      </c>
    </row>
    <row r="958" spans="1:34">
      <c r="A958" s="2">
        <v>20260330</v>
      </c>
      <c r="B958" s="2" t="s">
        <v>1960</v>
      </c>
      <c r="C958" s="2" t="s">
        <v>1961</v>
      </c>
      <c r="D958" s="2">
        <v>1</v>
      </c>
      <c r="E958" s="2">
        <v>20</v>
      </c>
      <c r="F958" s="2">
        <v>7</v>
      </c>
      <c r="G958" s="2">
        <v>5</v>
      </c>
      <c r="H958" s="2">
        <v>6</v>
      </c>
      <c r="I958" s="3">
        <v>7</v>
      </c>
      <c r="J958" s="2">
        <v>8</v>
      </c>
      <c r="K958" s="2">
        <v>6</v>
      </c>
      <c r="L958" s="2">
        <v>0</v>
      </c>
      <c r="M958" s="2">
        <v>4</v>
      </c>
      <c r="N958" s="2">
        <v>8</v>
      </c>
      <c r="O958" s="2">
        <v>16</v>
      </c>
      <c r="P958" s="3">
        <v>4</v>
      </c>
      <c r="Q958" s="2">
        <v>7</v>
      </c>
      <c r="R958" s="2">
        <v>62</v>
      </c>
      <c r="S958" s="2">
        <v>2</v>
      </c>
      <c r="T958" s="2">
        <v>4</v>
      </c>
      <c r="U958" s="2">
        <v>0</v>
      </c>
      <c r="V958" s="2">
        <f t="shared" si="354"/>
        <v>37</v>
      </c>
      <c r="W958" s="2">
        <v>4</v>
      </c>
      <c r="X958" s="2">
        <v>3</v>
      </c>
      <c r="Y958" s="2">
        <v>0</v>
      </c>
      <c r="Z958" s="2">
        <f t="shared" si="355"/>
        <v>7</v>
      </c>
      <c r="AA958" s="2">
        <f t="shared" si="356"/>
        <v>44</v>
      </c>
      <c r="AB958" s="2">
        <v>3140</v>
      </c>
      <c r="AC958" s="20">
        <f t="shared" ref="AC958:AC980" si="357">AA958/AB958*100</f>
        <v>1.40127388535032</v>
      </c>
      <c r="AD958" s="2" t="s">
        <v>676</v>
      </c>
      <c r="AE958" s="2">
        <v>165</v>
      </c>
      <c r="AF958" s="21">
        <f t="shared" ref="AF958:AF980" si="358">188/AE958*AC958</f>
        <v>1.59660297239915</v>
      </c>
      <c r="AG958" s="4">
        <f t="shared" si="352"/>
        <v>1.17834394904459</v>
      </c>
      <c r="AH958" s="4">
        <f t="shared" si="353"/>
        <v>0.222929936305732</v>
      </c>
    </row>
    <row r="959" spans="1:34">
      <c r="A959" s="2">
        <v>20260330</v>
      </c>
      <c r="B959" s="2" t="s">
        <v>1962</v>
      </c>
      <c r="C959" s="2" t="s">
        <v>1963</v>
      </c>
      <c r="D959" s="2">
        <v>1</v>
      </c>
      <c r="E959" s="2">
        <v>2</v>
      </c>
      <c r="F959" s="2">
        <v>7</v>
      </c>
      <c r="G959" s="2">
        <v>4</v>
      </c>
      <c r="H959" s="2">
        <v>2</v>
      </c>
      <c r="I959" s="3">
        <v>2</v>
      </c>
      <c r="J959" s="2">
        <v>7</v>
      </c>
      <c r="K959" s="2">
        <v>3</v>
      </c>
      <c r="L959" s="2">
        <v>0</v>
      </c>
      <c r="M959" s="2">
        <v>5</v>
      </c>
      <c r="N959" s="2">
        <v>6</v>
      </c>
      <c r="O959" s="2">
        <v>8</v>
      </c>
      <c r="P959" s="3">
        <v>6</v>
      </c>
      <c r="Q959" s="2">
        <v>9</v>
      </c>
      <c r="R959" s="2">
        <v>26</v>
      </c>
      <c r="S959" s="2">
        <v>4</v>
      </c>
      <c r="T959" s="2">
        <v>0</v>
      </c>
      <c r="U959" s="2">
        <v>2</v>
      </c>
      <c r="V959" s="2">
        <f t="shared" si="354"/>
        <v>18</v>
      </c>
      <c r="W959" s="2">
        <v>6</v>
      </c>
      <c r="X959" s="2">
        <v>5</v>
      </c>
      <c r="Y959" s="2">
        <v>0</v>
      </c>
      <c r="Z959" s="2">
        <f t="shared" si="355"/>
        <v>13</v>
      </c>
      <c r="AA959" s="2">
        <f t="shared" si="356"/>
        <v>31</v>
      </c>
      <c r="AB959" s="2">
        <v>2990</v>
      </c>
      <c r="AC959" s="20">
        <f t="shared" si="357"/>
        <v>1.03678929765886</v>
      </c>
      <c r="AD959" s="2" t="s">
        <v>676</v>
      </c>
      <c r="AE959" s="2">
        <v>165</v>
      </c>
      <c r="AF959" s="21">
        <f t="shared" si="358"/>
        <v>1.18131144218101</v>
      </c>
      <c r="AG959" s="4">
        <f t="shared" si="352"/>
        <v>0.602006688963211</v>
      </c>
      <c r="AH959" s="4">
        <f t="shared" si="353"/>
        <v>0.434782608695652</v>
      </c>
    </row>
    <row r="960" spans="1:34">
      <c r="A960" s="2">
        <v>20260330</v>
      </c>
      <c r="B960" s="8" t="s">
        <v>1964</v>
      </c>
      <c r="C960" s="2" t="s">
        <v>1965</v>
      </c>
      <c r="D960" s="2">
        <v>2</v>
      </c>
      <c r="E960" s="2">
        <v>4</v>
      </c>
      <c r="F960" s="2">
        <v>5</v>
      </c>
      <c r="G960" s="2">
        <v>1</v>
      </c>
      <c r="H960" s="2">
        <v>2</v>
      </c>
      <c r="I960" s="3">
        <v>5</v>
      </c>
      <c r="J960" s="2">
        <v>13</v>
      </c>
      <c r="K960" s="2">
        <v>2</v>
      </c>
      <c r="L960" s="2">
        <v>0</v>
      </c>
      <c r="M960" s="2">
        <v>0</v>
      </c>
      <c r="N960" s="2">
        <v>14</v>
      </c>
      <c r="O960" s="2">
        <v>18</v>
      </c>
      <c r="P960" s="3">
        <v>4</v>
      </c>
      <c r="Q960" s="2">
        <v>6</v>
      </c>
      <c r="R960" s="2">
        <v>43</v>
      </c>
      <c r="S960" s="2">
        <v>1</v>
      </c>
      <c r="T960" s="2">
        <v>4</v>
      </c>
      <c r="U960" s="2">
        <v>0</v>
      </c>
      <c r="V960" s="2">
        <f t="shared" si="354"/>
        <v>22</v>
      </c>
      <c r="W960" s="2">
        <v>4</v>
      </c>
      <c r="X960" s="2">
        <v>5</v>
      </c>
      <c r="Y960" s="2">
        <v>0</v>
      </c>
      <c r="Z960" s="2">
        <f t="shared" si="355"/>
        <v>9</v>
      </c>
      <c r="AA960" s="2">
        <f t="shared" si="356"/>
        <v>31</v>
      </c>
      <c r="AB960" s="2">
        <v>2990</v>
      </c>
      <c r="AC960" s="20">
        <f t="shared" si="357"/>
        <v>1.03678929765886</v>
      </c>
      <c r="AD960" s="2" t="s">
        <v>676</v>
      </c>
      <c r="AE960" s="2">
        <v>165</v>
      </c>
      <c r="AF960" s="21">
        <f t="shared" si="358"/>
        <v>1.18131144218101</v>
      </c>
      <c r="AG960" s="4">
        <f t="shared" ref="AG960:AG980" si="359">V960/AB960*100</f>
        <v>0.735785953177257</v>
      </c>
      <c r="AH960" s="4">
        <f t="shared" ref="AH960:AH980" si="360">Z960/AB960*100</f>
        <v>0.301003344481605</v>
      </c>
    </row>
    <row r="961" spans="1:34">
      <c r="A961" s="2">
        <v>20260330</v>
      </c>
      <c r="B961" s="8" t="s">
        <v>1966</v>
      </c>
      <c r="C961" s="2" t="s">
        <v>1967</v>
      </c>
      <c r="D961" s="2">
        <v>2</v>
      </c>
      <c r="E961" s="2">
        <v>13</v>
      </c>
      <c r="F961" s="2">
        <v>9</v>
      </c>
      <c r="G961" s="2">
        <v>3</v>
      </c>
      <c r="H961" s="2">
        <v>5</v>
      </c>
      <c r="I961" s="3">
        <v>8</v>
      </c>
      <c r="J961" s="2">
        <v>14</v>
      </c>
      <c r="K961" s="2">
        <v>4</v>
      </c>
      <c r="L961" s="2">
        <v>0</v>
      </c>
      <c r="M961" s="2">
        <v>6</v>
      </c>
      <c r="N961" s="2">
        <v>6</v>
      </c>
      <c r="O961" s="2">
        <v>16</v>
      </c>
      <c r="P961" s="3">
        <v>11</v>
      </c>
      <c r="Q961" s="2">
        <v>5</v>
      </c>
      <c r="R961" s="2">
        <v>82</v>
      </c>
      <c r="S961" s="2">
        <v>2</v>
      </c>
      <c r="T961" s="2">
        <v>3</v>
      </c>
      <c r="U961" s="2">
        <v>0</v>
      </c>
      <c r="V961" s="2">
        <f t="shared" si="354"/>
        <v>37</v>
      </c>
      <c r="W961" s="2">
        <v>14</v>
      </c>
      <c r="X961" s="2">
        <v>3</v>
      </c>
      <c r="Y961" s="2">
        <v>0</v>
      </c>
      <c r="Z961" s="2">
        <f t="shared" si="355"/>
        <v>17</v>
      </c>
      <c r="AA961" s="2">
        <f t="shared" si="356"/>
        <v>54</v>
      </c>
      <c r="AB961" s="2">
        <v>2990</v>
      </c>
      <c r="AC961" s="20">
        <f t="shared" si="357"/>
        <v>1.80602006688963</v>
      </c>
      <c r="AD961" s="2" t="s">
        <v>676</v>
      </c>
      <c r="AE961" s="2">
        <v>165</v>
      </c>
      <c r="AF961" s="21">
        <f t="shared" si="358"/>
        <v>2.05776831863788</v>
      </c>
      <c r="AG961" s="4">
        <f t="shared" si="359"/>
        <v>1.23745819397993</v>
      </c>
      <c r="AH961" s="4">
        <f t="shared" si="360"/>
        <v>0.568561872909699</v>
      </c>
    </row>
    <row r="962" spans="1:34">
      <c r="A962" s="2">
        <v>20260330</v>
      </c>
      <c r="B962" s="8" t="s">
        <v>1968</v>
      </c>
      <c r="C962" s="2" t="s">
        <v>1969</v>
      </c>
      <c r="D962" s="2">
        <v>3</v>
      </c>
      <c r="E962" s="2">
        <v>12</v>
      </c>
      <c r="F962" s="2">
        <v>10</v>
      </c>
      <c r="G962" s="2">
        <v>5</v>
      </c>
      <c r="H962" s="2">
        <v>8</v>
      </c>
      <c r="I962" s="3">
        <v>6</v>
      </c>
      <c r="J962" s="2">
        <v>3</v>
      </c>
      <c r="K962" s="2">
        <v>2</v>
      </c>
      <c r="L962" s="2">
        <v>0</v>
      </c>
      <c r="M962" s="2">
        <v>6</v>
      </c>
      <c r="N962" s="2">
        <v>18</v>
      </c>
      <c r="O962" s="2">
        <v>13</v>
      </c>
      <c r="P962" s="3">
        <v>6</v>
      </c>
      <c r="Q962" s="2">
        <v>7</v>
      </c>
      <c r="R962" s="2">
        <v>206</v>
      </c>
      <c r="S962" s="2">
        <v>4</v>
      </c>
      <c r="T962" s="2">
        <v>0</v>
      </c>
      <c r="U962" s="2">
        <v>0</v>
      </c>
      <c r="V962" s="2">
        <f t="shared" si="354"/>
        <v>31</v>
      </c>
      <c r="W962" s="2">
        <v>2</v>
      </c>
      <c r="X962" s="2">
        <v>3</v>
      </c>
      <c r="Y962" s="2">
        <v>0</v>
      </c>
      <c r="Z962" s="2">
        <f t="shared" si="355"/>
        <v>5</v>
      </c>
      <c r="AA962" s="2">
        <f t="shared" si="356"/>
        <v>36</v>
      </c>
      <c r="AB962" s="2">
        <v>2990</v>
      </c>
      <c r="AC962" s="20">
        <f t="shared" si="357"/>
        <v>1.20401337792642</v>
      </c>
      <c r="AD962" s="2" t="s">
        <v>676</v>
      </c>
      <c r="AE962" s="2">
        <v>165</v>
      </c>
      <c r="AF962" s="21">
        <f t="shared" si="358"/>
        <v>1.37184554575859</v>
      </c>
      <c r="AG962" s="4">
        <f t="shared" si="359"/>
        <v>1.03678929765886</v>
      </c>
      <c r="AH962" s="4">
        <f t="shared" si="360"/>
        <v>0.167224080267559</v>
      </c>
    </row>
    <row r="963" spans="1:34">
      <c r="A963" s="2">
        <v>20260330</v>
      </c>
      <c r="B963" s="8" t="s">
        <v>1970</v>
      </c>
      <c r="C963" s="2" t="s">
        <v>1971</v>
      </c>
      <c r="D963" s="2">
        <v>2</v>
      </c>
      <c r="E963" s="2">
        <v>90</v>
      </c>
      <c r="F963" s="2">
        <v>3</v>
      </c>
      <c r="G963" s="2">
        <v>5</v>
      </c>
      <c r="H963" s="2">
        <v>3</v>
      </c>
      <c r="I963" s="3">
        <v>11</v>
      </c>
      <c r="J963" s="2">
        <v>13</v>
      </c>
      <c r="K963" s="2">
        <v>0</v>
      </c>
      <c r="L963" s="2">
        <v>1</v>
      </c>
      <c r="M963" s="2">
        <v>3</v>
      </c>
      <c r="N963" s="2">
        <v>9</v>
      </c>
      <c r="O963" s="2">
        <v>13</v>
      </c>
      <c r="P963" s="3">
        <v>10</v>
      </c>
      <c r="Q963" s="2">
        <v>4</v>
      </c>
      <c r="R963" s="2">
        <v>907</v>
      </c>
      <c r="S963" s="2">
        <v>2</v>
      </c>
      <c r="T963" s="2">
        <v>3</v>
      </c>
      <c r="U963" s="2">
        <v>0</v>
      </c>
      <c r="V963" s="2">
        <f t="shared" si="354"/>
        <v>43</v>
      </c>
      <c r="W963" s="2">
        <v>3</v>
      </c>
      <c r="X963" s="2">
        <v>3</v>
      </c>
      <c r="Y963" s="2">
        <v>0</v>
      </c>
      <c r="Z963" s="2">
        <f t="shared" si="355"/>
        <v>6</v>
      </c>
      <c r="AA963" s="2">
        <f t="shared" si="356"/>
        <v>49</v>
      </c>
      <c r="AB963" s="2">
        <v>2990</v>
      </c>
      <c r="AC963" s="20">
        <f t="shared" si="357"/>
        <v>1.63879598662207</v>
      </c>
      <c r="AD963" s="2" t="s">
        <v>676</v>
      </c>
      <c r="AE963" s="2">
        <v>165</v>
      </c>
      <c r="AF963" s="21">
        <f t="shared" si="358"/>
        <v>1.8672342150603</v>
      </c>
      <c r="AG963" s="4">
        <f t="shared" si="359"/>
        <v>1.438127090301</v>
      </c>
      <c r="AH963" s="4">
        <f t="shared" si="360"/>
        <v>0.20066889632107</v>
      </c>
    </row>
    <row r="964" spans="1:34">
      <c r="A964" s="2">
        <v>20260330</v>
      </c>
      <c r="B964" s="8" t="s">
        <v>1972</v>
      </c>
      <c r="C964" s="2" t="s">
        <v>1973</v>
      </c>
      <c r="D964" s="2">
        <v>1</v>
      </c>
      <c r="E964" s="2">
        <v>46</v>
      </c>
      <c r="F964" s="2">
        <v>8</v>
      </c>
      <c r="G964" s="2">
        <v>6</v>
      </c>
      <c r="H964" s="2">
        <v>7</v>
      </c>
      <c r="I964" s="3">
        <v>10</v>
      </c>
      <c r="J964" s="2">
        <v>17</v>
      </c>
      <c r="K964" s="2">
        <v>2</v>
      </c>
      <c r="L964" s="2">
        <v>0</v>
      </c>
      <c r="M964" s="2">
        <v>2</v>
      </c>
      <c r="N964" s="2">
        <v>6</v>
      </c>
      <c r="O964" s="2">
        <v>14</v>
      </c>
      <c r="P964" s="3">
        <v>9</v>
      </c>
      <c r="Q964" s="2">
        <v>4</v>
      </c>
      <c r="R964" s="2">
        <v>348</v>
      </c>
      <c r="S964" s="2">
        <v>0</v>
      </c>
      <c r="T964" s="2">
        <v>4</v>
      </c>
      <c r="U964" s="2">
        <v>0</v>
      </c>
      <c r="V964" s="2">
        <f t="shared" ref="V964:V981" si="361">AA964-Y964-X964-W964-U964</f>
        <v>36</v>
      </c>
      <c r="W964" s="2">
        <v>16</v>
      </c>
      <c r="X964" s="2">
        <v>5</v>
      </c>
      <c r="Y964" s="2">
        <v>0</v>
      </c>
      <c r="Z964" s="2">
        <f t="shared" ref="Z964:Z980" si="362">Y964+X964+W964+U964</f>
        <v>21</v>
      </c>
      <c r="AA964" s="2">
        <f t="shared" ref="AA964:AA980" si="363">G964+H964+I964+J964+K964+L964+M964+P964+T964+U964</f>
        <v>57</v>
      </c>
      <c r="AB964" s="2">
        <v>2991</v>
      </c>
      <c r="AC964" s="20">
        <f t="shared" si="357"/>
        <v>1.90571715145436</v>
      </c>
      <c r="AD964" s="2" t="s">
        <v>676</v>
      </c>
      <c r="AE964" s="2">
        <v>165</v>
      </c>
      <c r="AF964" s="21">
        <f t="shared" si="358"/>
        <v>2.17136257256618</v>
      </c>
      <c r="AG964" s="4">
        <f t="shared" si="359"/>
        <v>1.20361083249749</v>
      </c>
      <c r="AH964" s="4">
        <f t="shared" si="360"/>
        <v>0.702106318956871</v>
      </c>
    </row>
    <row r="965" spans="1:34">
      <c r="A965" s="2">
        <v>20260330</v>
      </c>
      <c r="B965" s="8" t="s">
        <v>1974</v>
      </c>
      <c r="C965" s="2" t="s">
        <v>1975</v>
      </c>
      <c r="D965" s="2">
        <v>2</v>
      </c>
      <c r="E965" s="2">
        <v>24</v>
      </c>
      <c r="F965" s="2">
        <v>11</v>
      </c>
      <c r="G965" s="2">
        <v>7</v>
      </c>
      <c r="H965" s="2">
        <v>9</v>
      </c>
      <c r="I965" s="3">
        <v>17</v>
      </c>
      <c r="J965" s="2">
        <v>26</v>
      </c>
      <c r="K965" s="2">
        <v>0</v>
      </c>
      <c r="L965" s="2">
        <v>0</v>
      </c>
      <c r="M965" s="2">
        <v>10</v>
      </c>
      <c r="N965" s="2">
        <v>8</v>
      </c>
      <c r="O965" s="2">
        <v>18</v>
      </c>
      <c r="P965" s="3">
        <v>6</v>
      </c>
      <c r="Q965" s="2">
        <v>10</v>
      </c>
      <c r="R965" s="2">
        <v>64</v>
      </c>
      <c r="S965" s="2">
        <v>6</v>
      </c>
      <c r="T965" s="2">
        <v>16</v>
      </c>
      <c r="U965" s="2">
        <v>2</v>
      </c>
      <c r="V965" s="2">
        <f t="shared" si="361"/>
        <v>56</v>
      </c>
      <c r="W965" s="2">
        <v>24</v>
      </c>
      <c r="X965" s="2">
        <v>11</v>
      </c>
      <c r="Y965" s="2">
        <v>0</v>
      </c>
      <c r="Z965" s="2">
        <f t="shared" si="362"/>
        <v>37</v>
      </c>
      <c r="AA965" s="2">
        <f t="shared" si="363"/>
        <v>93</v>
      </c>
      <c r="AB965" s="2">
        <v>3270</v>
      </c>
      <c r="AC965" s="20">
        <f t="shared" si="357"/>
        <v>2.84403669724771</v>
      </c>
      <c r="AD965" s="2" t="s">
        <v>676</v>
      </c>
      <c r="AE965" s="2">
        <v>165</v>
      </c>
      <c r="AF965" s="21">
        <f t="shared" si="358"/>
        <v>3.24047817625799</v>
      </c>
      <c r="AG965" s="4">
        <f t="shared" si="359"/>
        <v>1.71253822629969</v>
      </c>
      <c r="AH965" s="4">
        <f t="shared" si="360"/>
        <v>1.13149847094801</v>
      </c>
    </row>
    <row r="966" spans="1:34">
      <c r="A966" s="2">
        <v>20260330</v>
      </c>
      <c r="B966" s="8" t="s">
        <v>1976</v>
      </c>
      <c r="C966" s="2" t="s">
        <v>1977</v>
      </c>
      <c r="D966" s="2">
        <v>2</v>
      </c>
      <c r="E966" s="2">
        <v>5</v>
      </c>
      <c r="F966" s="2">
        <v>15</v>
      </c>
      <c r="G966" s="2">
        <v>5</v>
      </c>
      <c r="H966" s="2">
        <v>8</v>
      </c>
      <c r="I966" s="3">
        <v>9</v>
      </c>
      <c r="J966" s="2">
        <v>11</v>
      </c>
      <c r="K966" s="2">
        <v>1</v>
      </c>
      <c r="L966" s="2">
        <v>2</v>
      </c>
      <c r="M966" s="2">
        <v>8</v>
      </c>
      <c r="N966" s="2">
        <v>6</v>
      </c>
      <c r="O966" s="2">
        <v>20</v>
      </c>
      <c r="P966" s="3">
        <v>16</v>
      </c>
      <c r="Q966" s="2">
        <v>9</v>
      </c>
      <c r="R966" s="2">
        <v>57</v>
      </c>
      <c r="S966" s="2">
        <v>3</v>
      </c>
      <c r="T966" s="2">
        <v>9</v>
      </c>
      <c r="U966" s="2">
        <v>0</v>
      </c>
      <c r="V966" s="2">
        <f t="shared" si="361"/>
        <v>48</v>
      </c>
      <c r="W966" s="2">
        <v>16</v>
      </c>
      <c r="X966" s="2">
        <v>5</v>
      </c>
      <c r="Y966" s="2">
        <v>0</v>
      </c>
      <c r="Z966" s="2">
        <f t="shared" si="362"/>
        <v>21</v>
      </c>
      <c r="AA966" s="2">
        <f t="shared" si="363"/>
        <v>69</v>
      </c>
      <c r="AB966" s="2">
        <v>3090</v>
      </c>
      <c r="AC966" s="20">
        <f t="shared" si="357"/>
        <v>2.23300970873786</v>
      </c>
      <c r="AD966" s="2" t="s">
        <v>676</v>
      </c>
      <c r="AE966" s="2">
        <v>165</v>
      </c>
      <c r="AF966" s="21">
        <f t="shared" si="358"/>
        <v>2.54427772874375</v>
      </c>
      <c r="AG966" s="4">
        <f t="shared" si="359"/>
        <v>1.55339805825243</v>
      </c>
      <c r="AH966" s="4">
        <f t="shared" si="360"/>
        <v>0.679611650485437</v>
      </c>
    </row>
    <row r="967" spans="1:34">
      <c r="A967" s="2">
        <v>20260331</v>
      </c>
      <c r="B967" s="2" t="s">
        <v>1978</v>
      </c>
      <c r="C967" s="2" t="s">
        <v>1979</v>
      </c>
      <c r="D967" s="2">
        <v>4</v>
      </c>
      <c r="E967" s="2">
        <v>24</v>
      </c>
      <c r="F967" s="2">
        <v>12</v>
      </c>
      <c r="G967" s="2">
        <v>49</v>
      </c>
      <c r="H967" s="2">
        <v>86</v>
      </c>
      <c r="I967" s="3">
        <v>117</v>
      </c>
      <c r="J967" s="2">
        <v>415</v>
      </c>
      <c r="K967" s="2">
        <v>43</v>
      </c>
      <c r="L967" s="2">
        <v>6</v>
      </c>
      <c r="M967" s="2">
        <v>73</v>
      </c>
      <c r="N967" s="2">
        <v>34</v>
      </c>
      <c r="O967" s="2">
        <v>13</v>
      </c>
      <c r="P967" s="3">
        <v>40</v>
      </c>
      <c r="Q967" s="2">
        <v>18</v>
      </c>
      <c r="R967" s="2">
        <v>170</v>
      </c>
      <c r="S967" s="2">
        <v>75</v>
      </c>
      <c r="T967" s="2">
        <v>31</v>
      </c>
      <c r="U967" s="2">
        <v>10</v>
      </c>
      <c r="V967" s="2">
        <f t="shared" si="361"/>
        <v>844</v>
      </c>
      <c r="W967" s="2">
        <v>7</v>
      </c>
      <c r="X967" s="2">
        <v>9</v>
      </c>
      <c r="Y967" s="2">
        <v>0</v>
      </c>
      <c r="Z967" s="2">
        <f t="shared" si="362"/>
        <v>26</v>
      </c>
      <c r="AA967" s="2">
        <f t="shared" si="363"/>
        <v>870</v>
      </c>
      <c r="AB967" s="2">
        <v>3540</v>
      </c>
      <c r="AC967" s="20">
        <f t="shared" si="357"/>
        <v>24.5762711864407</v>
      </c>
      <c r="AD967" s="2" t="s">
        <v>676</v>
      </c>
      <c r="AE967" s="2">
        <v>165</v>
      </c>
      <c r="AF967" s="21">
        <f t="shared" si="358"/>
        <v>28.0020544427324</v>
      </c>
      <c r="AG967" s="4">
        <f t="shared" si="359"/>
        <v>23.8418079096045</v>
      </c>
      <c r="AH967" s="4">
        <f t="shared" si="360"/>
        <v>0.734463276836158</v>
      </c>
    </row>
    <row r="968" spans="1:34">
      <c r="A968" s="2">
        <v>20260331</v>
      </c>
      <c r="B968" s="2" t="s">
        <v>1980</v>
      </c>
      <c r="C968" s="2" t="s">
        <v>1981</v>
      </c>
      <c r="D968" s="2">
        <v>2</v>
      </c>
      <c r="E968" s="2">
        <v>7</v>
      </c>
      <c r="F968" s="2">
        <v>4</v>
      </c>
      <c r="G968" s="2">
        <v>1</v>
      </c>
      <c r="H968" s="2">
        <v>1</v>
      </c>
      <c r="I968" s="3">
        <v>7</v>
      </c>
      <c r="J968" s="2">
        <v>18</v>
      </c>
      <c r="K968" s="2">
        <v>3</v>
      </c>
      <c r="L968" s="2">
        <v>1</v>
      </c>
      <c r="M968" s="2">
        <v>3</v>
      </c>
      <c r="N968" s="2">
        <v>17</v>
      </c>
      <c r="O968" s="2">
        <v>14</v>
      </c>
      <c r="P968" s="3">
        <v>7</v>
      </c>
      <c r="Q968" s="2">
        <v>8</v>
      </c>
      <c r="R968" s="2">
        <v>54</v>
      </c>
      <c r="S968" s="2">
        <v>5</v>
      </c>
      <c r="T968" s="2">
        <v>1</v>
      </c>
      <c r="U968" s="2">
        <v>2</v>
      </c>
      <c r="V968" s="2">
        <f t="shared" si="361"/>
        <v>30</v>
      </c>
      <c r="W968" s="2">
        <v>7</v>
      </c>
      <c r="X968" s="2">
        <v>5</v>
      </c>
      <c r="Y968" s="2">
        <v>0</v>
      </c>
      <c r="Z968" s="2">
        <f t="shared" si="362"/>
        <v>14</v>
      </c>
      <c r="AA968" s="2">
        <f t="shared" si="363"/>
        <v>44</v>
      </c>
      <c r="AB968" s="2">
        <v>2990</v>
      </c>
      <c r="AC968" s="20">
        <f t="shared" si="357"/>
        <v>1.47157190635451</v>
      </c>
      <c r="AD968" s="2" t="s">
        <v>676</v>
      </c>
      <c r="AE968" s="2">
        <v>165</v>
      </c>
      <c r="AF968" s="21">
        <f t="shared" si="358"/>
        <v>1.67670011148272</v>
      </c>
      <c r="AG968" s="4">
        <f t="shared" si="359"/>
        <v>1.00334448160535</v>
      </c>
      <c r="AH968" s="4">
        <f t="shared" si="360"/>
        <v>0.468227424749164</v>
      </c>
    </row>
    <row r="969" spans="1:34">
      <c r="A969" s="2">
        <v>20260331</v>
      </c>
      <c r="B969" s="2" t="s">
        <v>1982</v>
      </c>
      <c r="C969" s="2" t="s">
        <v>1983</v>
      </c>
      <c r="D969" s="2">
        <v>3</v>
      </c>
      <c r="E969" s="2">
        <v>2</v>
      </c>
      <c r="F969" s="2">
        <v>7</v>
      </c>
      <c r="G969" s="2">
        <v>3</v>
      </c>
      <c r="H969" s="2">
        <v>7</v>
      </c>
      <c r="I969" s="3">
        <v>11</v>
      </c>
      <c r="J969" s="2">
        <v>11</v>
      </c>
      <c r="K969" s="2">
        <v>0</v>
      </c>
      <c r="L969" s="2">
        <v>0</v>
      </c>
      <c r="M969" s="2">
        <v>2</v>
      </c>
      <c r="N969" s="2">
        <v>12</v>
      </c>
      <c r="O969" s="2">
        <v>9</v>
      </c>
      <c r="P969" s="3">
        <v>5</v>
      </c>
      <c r="Q969" s="2">
        <v>7</v>
      </c>
      <c r="R969" s="2">
        <v>48</v>
      </c>
      <c r="S969" s="2">
        <v>2</v>
      </c>
      <c r="T969" s="2">
        <v>1</v>
      </c>
      <c r="U969" s="2">
        <v>1</v>
      </c>
      <c r="V969" s="2">
        <f t="shared" si="361"/>
        <v>27</v>
      </c>
      <c r="W969" s="2">
        <v>8</v>
      </c>
      <c r="X969" s="2">
        <v>5</v>
      </c>
      <c r="Y969" s="2">
        <v>0</v>
      </c>
      <c r="Z969" s="2">
        <f t="shared" si="362"/>
        <v>14</v>
      </c>
      <c r="AA969" s="2">
        <f t="shared" si="363"/>
        <v>41</v>
      </c>
      <c r="AB969" s="2">
        <v>2990</v>
      </c>
      <c r="AC969" s="20">
        <f t="shared" si="357"/>
        <v>1.37123745819398</v>
      </c>
      <c r="AD969" s="2" t="s">
        <v>676</v>
      </c>
      <c r="AE969" s="2">
        <v>165</v>
      </c>
      <c r="AF969" s="21">
        <f t="shared" si="358"/>
        <v>1.56237964933617</v>
      </c>
      <c r="AG969" s="4">
        <f t="shared" si="359"/>
        <v>0.903010033444816</v>
      </c>
      <c r="AH969" s="4">
        <f t="shared" si="360"/>
        <v>0.468227424749164</v>
      </c>
    </row>
    <row r="970" spans="1:34">
      <c r="A970" s="2">
        <v>20260331</v>
      </c>
      <c r="B970" s="2" t="s">
        <v>1984</v>
      </c>
      <c r="C970" s="2" t="s">
        <v>1985</v>
      </c>
      <c r="D970" s="2">
        <v>1</v>
      </c>
      <c r="E970" s="2">
        <v>0</v>
      </c>
      <c r="F970" s="2">
        <v>2</v>
      </c>
      <c r="G970" s="2">
        <v>0</v>
      </c>
      <c r="H970" s="2">
        <v>3</v>
      </c>
      <c r="I970" s="3">
        <v>14</v>
      </c>
      <c r="J970" s="2">
        <v>10</v>
      </c>
      <c r="K970" s="2">
        <v>1</v>
      </c>
      <c r="L970" s="2">
        <v>0</v>
      </c>
      <c r="M970" s="2">
        <v>3</v>
      </c>
      <c r="N970" s="2">
        <v>2</v>
      </c>
      <c r="O970" s="2">
        <v>9</v>
      </c>
      <c r="P970" s="3">
        <v>5</v>
      </c>
      <c r="Q970" s="2">
        <v>5</v>
      </c>
      <c r="R970" s="2">
        <v>43</v>
      </c>
      <c r="S970" s="2">
        <v>1</v>
      </c>
      <c r="T970" s="2">
        <v>2</v>
      </c>
      <c r="U970" s="2">
        <v>0</v>
      </c>
      <c r="V970" s="2">
        <f t="shared" si="361"/>
        <v>27</v>
      </c>
      <c r="W970" s="2">
        <v>7</v>
      </c>
      <c r="X970" s="2">
        <v>2</v>
      </c>
      <c r="Y970" s="2">
        <v>2</v>
      </c>
      <c r="Z970" s="2">
        <f t="shared" si="362"/>
        <v>11</v>
      </c>
      <c r="AA970" s="2">
        <f t="shared" si="363"/>
        <v>38</v>
      </c>
      <c r="AB970" s="2">
        <v>2990</v>
      </c>
      <c r="AC970" s="20">
        <f t="shared" si="357"/>
        <v>1.27090301003344</v>
      </c>
      <c r="AD970" s="2" t="s">
        <v>676</v>
      </c>
      <c r="AE970" s="2">
        <v>165</v>
      </c>
      <c r="AF970" s="21">
        <f t="shared" si="358"/>
        <v>1.44805918718962</v>
      </c>
      <c r="AG970" s="4">
        <f t="shared" si="359"/>
        <v>0.903010033444816</v>
      </c>
      <c r="AH970" s="4">
        <f t="shared" si="360"/>
        <v>0.367892976588629</v>
      </c>
    </row>
    <row r="971" spans="1:34">
      <c r="A971" s="2">
        <v>20260331</v>
      </c>
      <c r="B971" s="2" t="s">
        <v>1986</v>
      </c>
      <c r="C971" s="2" t="s">
        <v>1987</v>
      </c>
      <c r="D971" s="2">
        <v>1</v>
      </c>
      <c r="E971" s="2">
        <v>1</v>
      </c>
      <c r="F971" s="2">
        <v>3</v>
      </c>
      <c r="G971" s="2">
        <v>1</v>
      </c>
      <c r="H971" s="2">
        <v>2</v>
      </c>
      <c r="I971" s="3">
        <v>5</v>
      </c>
      <c r="J971" s="2">
        <v>6</v>
      </c>
      <c r="K971" s="2">
        <v>2</v>
      </c>
      <c r="L971" s="2">
        <v>2</v>
      </c>
      <c r="M971" s="2">
        <v>5</v>
      </c>
      <c r="N971" s="2">
        <v>20</v>
      </c>
      <c r="O971" s="2">
        <v>11</v>
      </c>
      <c r="P971" s="3">
        <v>5</v>
      </c>
      <c r="Q971" s="2">
        <v>17</v>
      </c>
      <c r="R971" s="2">
        <v>3</v>
      </c>
      <c r="S971" s="2">
        <v>4</v>
      </c>
      <c r="T971" s="2">
        <v>0</v>
      </c>
      <c r="U971" s="2">
        <v>0</v>
      </c>
      <c r="V971" s="2">
        <f t="shared" si="361"/>
        <v>21</v>
      </c>
      <c r="W971" s="2">
        <v>5</v>
      </c>
      <c r="X971" s="2">
        <v>2</v>
      </c>
      <c r="Y971" s="2">
        <v>0</v>
      </c>
      <c r="Z971" s="2">
        <f t="shared" si="362"/>
        <v>7</v>
      </c>
      <c r="AA971" s="2">
        <f t="shared" si="363"/>
        <v>28</v>
      </c>
      <c r="AB971" s="2">
        <v>2990</v>
      </c>
      <c r="AC971" s="20">
        <f t="shared" si="357"/>
        <v>0.936454849498328</v>
      </c>
      <c r="AD971" s="2" t="s">
        <v>676</v>
      </c>
      <c r="AE971" s="2">
        <v>165</v>
      </c>
      <c r="AF971" s="21">
        <f t="shared" si="358"/>
        <v>1.06699098003446</v>
      </c>
      <c r="AG971" s="4">
        <f t="shared" si="359"/>
        <v>0.702341137123746</v>
      </c>
      <c r="AH971" s="4">
        <f t="shared" si="360"/>
        <v>0.234113712374582</v>
      </c>
    </row>
    <row r="972" spans="1:34">
      <c r="A972" s="2">
        <v>20260331</v>
      </c>
      <c r="B972" s="2" t="s">
        <v>1988</v>
      </c>
      <c r="C972" s="2" t="s">
        <v>1989</v>
      </c>
      <c r="D972" s="2">
        <v>3</v>
      </c>
      <c r="E972" s="2">
        <v>4</v>
      </c>
      <c r="F972" s="2">
        <v>10</v>
      </c>
      <c r="G972" s="2">
        <v>12</v>
      </c>
      <c r="H972" s="2">
        <v>6</v>
      </c>
      <c r="I972" s="3">
        <v>16</v>
      </c>
      <c r="J972" s="2">
        <v>12</v>
      </c>
      <c r="K972" s="2">
        <v>2</v>
      </c>
      <c r="L972" s="2">
        <v>0</v>
      </c>
      <c r="M972" s="2">
        <v>4</v>
      </c>
      <c r="N972" s="2">
        <v>16</v>
      </c>
      <c r="O972" s="2">
        <v>15</v>
      </c>
      <c r="P972" s="3">
        <v>7</v>
      </c>
      <c r="Q972" s="2">
        <v>14</v>
      </c>
      <c r="R972" s="2">
        <v>23</v>
      </c>
      <c r="S972" s="2">
        <v>5</v>
      </c>
      <c r="T972" s="2">
        <v>2</v>
      </c>
      <c r="U972" s="2">
        <v>0</v>
      </c>
      <c r="V972" s="2">
        <f t="shared" si="361"/>
        <v>38</v>
      </c>
      <c r="W972" s="2">
        <v>7</v>
      </c>
      <c r="X972" s="2">
        <v>16</v>
      </c>
      <c r="Y972" s="2">
        <v>0</v>
      </c>
      <c r="Z972" s="2">
        <f t="shared" si="362"/>
        <v>23</v>
      </c>
      <c r="AA972" s="2">
        <f t="shared" si="363"/>
        <v>61</v>
      </c>
      <c r="AB972" s="2">
        <v>2811</v>
      </c>
      <c r="AC972" s="20">
        <f t="shared" si="357"/>
        <v>2.17004624688723</v>
      </c>
      <c r="AD972" s="2" t="s">
        <v>676</v>
      </c>
      <c r="AE972" s="2">
        <v>165</v>
      </c>
      <c r="AF972" s="21">
        <f t="shared" si="358"/>
        <v>2.47253754190787</v>
      </c>
      <c r="AG972" s="4">
        <f t="shared" si="359"/>
        <v>1.35183208822483</v>
      </c>
      <c r="AH972" s="4">
        <f t="shared" si="360"/>
        <v>0.818214158662398</v>
      </c>
    </row>
    <row r="973" spans="1:34">
      <c r="A973" s="2">
        <v>20260331</v>
      </c>
      <c r="B973" s="2" t="s">
        <v>1990</v>
      </c>
      <c r="C973" s="2" t="s">
        <v>1991</v>
      </c>
      <c r="D973" s="2">
        <v>0</v>
      </c>
      <c r="E973" s="2">
        <v>1</v>
      </c>
      <c r="F973" s="2">
        <v>1</v>
      </c>
      <c r="G973" s="2">
        <v>4</v>
      </c>
      <c r="H973" s="2">
        <v>19</v>
      </c>
      <c r="I973" s="3">
        <v>37</v>
      </c>
      <c r="J973" s="2">
        <v>8</v>
      </c>
      <c r="K973" s="2">
        <v>1</v>
      </c>
      <c r="L973" s="2">
        <v>1</v>
      </c>
      <c r="M973" s="2">
        <v>183</v>
      </c>
      <c r="N973" s="2">
        <v>30</v>
      </c>
      <c r="O973" s="2">
        <v>208</v>
      </c>
      <c r="P973" s="3">
        <v>1</v>
      </c>
      <c r="Q973" s="2">
        <v>12</v>
      </c>
      <c r="R973" s="2">
        <v>2</v>
      </c>
      <c r="S973" s="2">
        <v>2</v>
      </c>
      <c r="T973" s="2">
        <v>3</v>
      </c>
      <c r="U973" s="2">
        <v>3</v>
      </c>
      <c r="V973" s="2">
        <f t="shared" si="361"/>
        <v>257</v>
      </c>
      <c r="W973" s="2">
        <v>0</v>
      </c>
      <c r="X973" s="2">
        <v>0</v>
      </c>
      <c r="Y973" s="2">
        <v>0</v>
      </c>
      <c r="Z973" s="2">
        <f t="shared" si="362"/>
        <v>3</v>
      </c>
      <c r="AA973" s="2">
        <f t="shared" si="363"/>
        <v>260</v>
      </c>
      <c r="AB973" s="2">
        <v>1680</v>
      </c>
      <c r="AC973" s="20">
        <f t="shared" si="357"/>
        <v>15.4761904761905</v>
      </c>
      <c r="AD973" s="2" t="s">
        <v>340</v>
      </c>
      <c r="AE973" s="2">
        <v>175</v>
      </c>
      <c r="AF973" s="21">
        <f t="shared" si="358"/>
        <v>16.6258503401361</v>
      </c>
      <c r="AG973" s="4">
        <f t="shared" si="359"/>
        <v>15.297619047619</v>
      </c>
      <c r="AH973" s="4">
        <f t="shared" si="360"/>
        <v>0.178571428571429</v>
      </c>
    </row>
    <row r="974" spans="1:34">
      <c r="A974" s="2">
        <v>20260331</v>
      </c>
      <c r="B974" s="2" t="s">
        <v>1992</v>
      </c>
      <c r="C974" s="2" t="s">
        <v>1993</v>
      </c>
      <c r="D974" s="2">
        <v>1</v>
      </c>
      <c r="E974" s="2">
        <v>4</v>
      </c>
      <c r="F974" s="2">
        <v>0</v>
      </c>
      <c r="G974" s="2">
        <v>2</v>
      </c>
      <c r="H974" s="2">
        <v>62</v>
      </c>
      <c r="I974" s="3">
        <v>75</v>
      </c>
      <c r="J974" s="2">
        <v>14</v>
      </c>
      <c r="K974" s="2">
        <v>4</v>
      </c>
      <c r="L974" s="2">
        <v>5</v>
      </c>
      <c r="M974" s="2">
        <v>243</v>
      </c>
      <c r="N974" s="2">
        <v>15</v>
      </c>
      <c r="O974" s="2">
        <v>0</v>
      </c>
      <c r="P974" s="3">
        <v>377</v>
      </c>
      <c r="Q974" s="2">
        <v>0</v>
      </c>
      <c r="R974" s="2">
        <v>12</v>
      </c>
      <c r="S974" s="2">
        <v>1</v>
      </c>
      <c r="T974" s="2">
        <v>10</v>
      </c>
      <c r="U974" s="2">
        <v>0</v>
      </c>
      <c r="V974" s="2">
        <f t="shared" si="361"/>
        <v>792</v>
      </c>
      <c r="W974" s="2">
        <v>0</v>
      </c>
      <c r="X974" s="2">
        <v>0</v>
      </c>
      <c r="Y974" s="2">
        <v>0</v>
      </c>
      <c r="Z974" s="2">
        <f t="shared" si="362"/>
        <v>0</v>
      </c>
      <c r="AA974" s="2">
        <f t="shared" si="363"/>
        <v>792</v>
      </c>
      <c r="AB974" s="2">
        <v>3328</v>
      </c>
      <c r="AC974" s="20">
        <f t="shared" si="357"/>
        <v>23.7980769230769</v>
      </c>
      <c r="AD974" s="2" t="s">
        <v>340</v>
      </c>
      <c r="AE974" s="2">
        <v>175</v>
      </c>
      <c r="AF974" s="21">
        <f t="shared" si="358"/>
        <v>25.5659340659341</v>
      </c>
      <c r="AG974" s="4">
        <f t="shared" si="359"/>
        <v>23.7980769230769</v>
      </c>
      <c r="AH974" s="4">
        <f t="shared" si="360"/>
        <v>0</v>
      </c>
    </row>
    <row r="975" spans="1:34">
      <c r="A975" s="2">
        <v>20260331</v>
      </c>
      <c r="B975" s="2" t="s">
        <v>1994</v>
      </c>
      <c r="C975" s="2" t="s">
        <v>1995</v>
      </c>
      <c r="D975" s="2">
        <v>0</v>
      </c>
      <c r="E975" s="2">
        <v>4</v>
      </c>
      <c r="F975" s="2">
        <v>4</v>
      </c>
      <c r="G975" s="2">
        <v>5</v>
      </c>
      <c r="H975" s="2">
        <v>40</v>
      </c>
      <c r="I975" s="3">
        <v>59</v>
      </c>
      <c r="J975" s="2">
        <v>15</v>
      </c>
      <c r="K975" s="2">
        <v>1</v>
      </c>
      <c r="L975" s="2">
        <v>3</v>
      </c>
      <c r="M975" s="2">
        <v>288</v>
      </c>
      <c r="N975" s="2">
        <v>10</v>
      </c>
      <c r="O975" s="2">
        <v>1</v>
      </c>
      <c r="P975" s="3">
        <v>388</v>
      </c>
      <c r="Q975" s="2">
        <v>2</v>
      </c>
      <c r="R975" s="2">
        <v>17</v>
      </c>
      <c r="S975" s="2">
        <v>0</v>
      </c>
      <c r="T975" s="2">
        <v>16</v>
      </c>
      <c r="U975" s="2">
        <v>2</v>
      </c>
      <c r="V975" s="2">
        <f t="shared" si="361"/>
        <v>814</v>
      </c>
      <c r="W975" s="2">
        <v>0</v>
      </c>
      <c r="X975" s="2">
        <v>0</v>
      </c>
      <c r="Y975" s="2">
        <v>1</v>
      </c>
      <c r="Z975" s="2">
        <f t="shared" si="362"/>
        <v>3</v>
      </c>
      <c r="AA975" s="2">
        <f t="shared" si="363"/>
        <v>817</v>
      </c>
      <c r="AB975" s="2">
        <v>3328</v>
      </c>
      <c r="AC975" s="20">
        <f t="shared" si="357"/>
        <v>24.5492788461538</v>
      </c>
      <c r="AD975" s="2" t="s">
        <v>340</v>
      </c>
      <c r="AE975" s="2">
        <v>175</v>
      </c>
      <c r="AF975" s="21">
        <f t="shared" si="358"/>
        <v>26.3729395604396</v>
      </c>
      <c r="AG975" s="4">
        <f t="shared" si="359"/>
        <v>24.4591346153846</v>
      </c>
      <c r="AH975" s="4">
        <f t="shared" si="360"/>
        <v>0.0901442307692308</v>
      </c>
    </row>
    <row r="976" spans="1:34">
      <c r="A976" s="2">
        <v>20260331</v>
      </c>
      <c r="B976" s="2" t="s">
        <v>1996</v>
      </c>
      <c r="C976" s="2" t="s">
        <v>1997</v>
      </c>
      <c r="D976" s="2">
        <v>0</v>
      </c>
      <c r="E976" s="2">
        <v>0</v>
      </c>
      <c r="F976" s="2">
        <v>3</v>
      </c>
      <c r="G976" s="2">
        <v>4</v>
      </c>
      <c r="H976" s="2">
        <v>19</v>
      </c>
      <c r="I976" s="3">
        <v>56</v>
      </c>
      <c r="J976" s="2">
        <v>8</v>
      </c>
      <c r="K976" s="2">
        <v>2</v>
      </c>
      <c r="L976" s="2">
        <v>5</v>
      </c>
      <c r="M976" s="2">
        <v>232</v>
      </c>
      <c r="N976" s="2">
        <v>5</v>
      </c>
      <c r="O976" s="2">
        <v>0</v>
      </c>
      <c r="P976" s="3">
        <v>282</v>
      </c>
      <c r="Q976" s="2">
        <v>5</v>
      </c>
      <c r="R976" s="2">
        <v>10</v>
      </c>
      <c r="S976" s="2">
        <v>1</v>
      </c>
      <c r="T976" s="2">
        <v>4</v>
      </c>
      <c r="U976" s="2">
        <v>0</v>
      </c>
      <c r="V976" s="2">
        <f t="shared" si="361"/>
        <v>611</v>
      </c>
      <c r="W976" s="2">
        <v>0</v>
      </c>
      <c r="X976" s="2">
        <v>0</v>
      </c>
      <c r="Y976" s="2">
        <v>1</v>
      </c>
      <c r="Z976" s="2">
        <f t="shared" si="362"/>
        <v>1</v>
      </c>
      <c r="AA976" s="2">
        <f t="shared" si="363"/>
        <v>612</v>
      </c>
      <c r="AB976" s="2">
        <v>3379</v>
      </c>
      <c r="AC976" s="20">
        <f t="shared" si="357"/>
        <v>18.1118674163954</v>
      </c>
      <c r="AD976" s="2" t="s">
        <v>340</v>
      </c>
      <c r="AE976" s="2">
        <v>175</v>
      </c>
      <c r="AF976" s="21">
        <f t="shared" si="358"/>
        <v>19.4573204244705</v>
      </c>
      <c r="AG976" s="4">
        <f t="shared" si="359"/>
        <v>18.0822728617934</v>
      </c>
      <c r="AH976" s="4">
        <f t="shared" si="360"/>
        <v>0.0295945546019532</v>
      </c>
    </row>
    <row r="977" spans="1:34">
      <c r="A977" s="2">
        <v>20260331</v>
      </c>
      <c r="B977" s="2" t="s">
        <v>1998</v>
      </c>
      <c r="C977" s="2" t="s">
        <v>1999</v>
      </c>
      <c r="D977" s="2">
        <v>0</v>
      </c>
      <c r="E977" s="2">
        <v>2</v>
      </c>
      <c r="F977" s="2">
        <v>1</v>
      </c>
      <c r="G977" s="2">
        <v>2</v>
      </c>
      <c r="H977" s="2">
        <v>9</v>
      </c>
      <c r="I977" s="3">
        <v>12</v>
      </c>
      <c r="J977" s="2">
        <v>6</v>
      </c>
      <c r="K977" s="2">
        <v>0</v>
      </c>
      <c r="L977" s="2">
        <v>0</v>
      </c>
      <c r="M977" s="2">
        <v>71</v>
      </c>
      <c r="N977" s="2">
        <v>7</v>
      </c>
      <c r="O977" s="2">
        <v>0</v>
      </c>
      <c r="P977" s="3">
        <v>82</v>
      </c>
      <c r="Q977" s="2">
        <v>0</v>
      </c>
      <c r="R977" s="2">
        <v>10</v>
      </c>
      <c r="S977" s="2">
        <v>1</v>
      </c>
      <c r="T977" s="2">
        <v>4</v>
      </c>
      <c r="U977" s="2">
        <v>1</v>
      </c>
      <c r="V977" s="2">
        <f t="shared" si="361"/>
        <v>186</v>
      </c>
      <c r="W977" s="2">
        <v>0</v>
      </c>
      <c r="X977" s="2">
        <v>0</v>
      </c>
      <c r="Y977" s="2">
        <v>0</v>
      </c>
      <c r="Z977" s="2">
        <f t="shared" si="362"/>
        <v>1</v>
      </c>
      <c r="AA977" s="2">
        <f t="shared" si="363"/>
        <v>187</v>
      </c>
      <c r="AB977" s="2">
        <v>1691</v>
      </c>
      <c r="AC977" s="20">
        <f t="shared" si="357"/>
        <v>11.0585452395033</v>
      </c>
      <c r="AD977" s="2" t="s">
        <v>340</v>
      </c>
      <c r="AE977" s="2">
        <v>175</v>
      </c>
      <c r="AF977" s="21">
        <f t="shared" si="358"/>
        <v>11.8800371715806</v>
      </c>
      <c r="AG977" s="4">
        <f t="shared" si="359"/>
        <v>10.9994086339444</v>
      </c>
      <c r="AH977" s="4">
        <f t="shared" si="360"/>
        <v>0.0591366055588409</v>
      </c>
    </row>
    <row r="978" spans="1:34">
      <c r="A978" s="2">
        <v>20260331</v>
      </c>
      <c r="B978" s="2" t="s">
        <v>2000</v>
      </c>
      <c r="C978" s="2" t="s">
        <v>2001</v>
      </c>
      <c r="D978" s="2">
        <v>0</v>
      </c>
      <c r="E978" s="2">
        <v>1</v>
      </c>
      <c r="F978" s="2">
        <v>6</v>
      </c>
      <c r="G978" s="2">
        <v>2</v>
      </c>
      <c r="H978" s="2">
        <v>10</v>
      </c>
      <c r="I978" s="3">
        <v>43</v>
      </c>
      <c r="J978" s="2">
        <v>15</v>
      </c>
      <c r="K978" s="2">
        <v>1</v>
      </c>
      <c r="L978" s="2">
        <v>1</v>
      </c>
      <c r="M978" s="2">
        <v>129</v>
      </c>
      <c r="N978" s="2">
        <v>5</v>
      </c>
      <c r="O978" s="2">
        <v>0</v>
      </c>
      <c r="P978" s="3">
        <v>186</v>
      </c>
      <c r="Q978" s="2">
        <v>0</v>
      </c>
      <c r="R978" s="2">
        <v>10</v>
      </c>
      <c r="S978" s="2">
        <v>4</v>
      </c>
      <c r="T978" s="2">
        <v>7</v>
      </c>
      <c r="U978" s="2">
        <v>0</v>
      </c>
      <c r="V978" s="2">
        <f t="shared" si="361"/>
        <v>394</v>
      </c>
      <c r="W978" s="2">
        <v>0</v>
      </c>
      <c r="X978" s="2">
        <v>0</v>
      </c>
      <c r="Y978" s="2">
        <v>0</v>
      </c>
      <c r="Z978" s="2">
        <f t="shared" si="362"/>
        <v>0</v>
      </c>
      <c r="AA978" s="2">
        <f t="shared" si="363"/>
        <v>394</v>
      </c>
      <c r="AB978" s="2">
        <v>4129</v>
      </c>
      <c r="AC978" s="20">
        <f t="shared" si="357"/>
        <v>9.54226204892226</v>
      </c>
      <c r="AD978" s="2" t="s">
        <v>257</v>
      </c>
      <c r="AE978" s="2">
        <v>175</v>
      </c>
      <c r="AF978" s="21">
        <f t="shared" si="358"/>
        <v>10.2511158011279</v>
      </c>
      <c r="AG978" s="4">
        <f t="shared" si="359"/>
        <v>9.54226204892226</v>
      </c>
      <c r="AH978" s="4">
        <f t="shared" si="360"/>
        <v>0</v>
      </c>
    </row>
    <row r="979" spans="1:34">
      <c r="A979" s="2">
        <v>20260331</v>
      </c>
      <c r="B979" s="2" t="s">
        <v>2002</v>
      </c>
      <c r="C979" s="2" t="s">
        <v>2003</v>
      </c>
      <c r="D979" s="2">
        <v>1</v>
      </c>
      <c r="E979" s="2">
        <v>5</v>
      </c>
      <c r="F979" s="2">
        <v>0</v>
      </c>
      <c r="G979" s="2">
        <v>4</v>
      </c>
      <c r="H979" s="2">
        <v>9</v>
      </c>
      <c r="I979" s="3">
        <v>49</v>
      </c>
      <c r="J979" s="2">
        <v>12</v>
      </c>
      <c r="K979" s="2">
        <v>1</v>
      </c>
      <c r="L979" s="2">
        <v>1</v>
      </c>
      <c r="M979" s="2">
        <v>75</v>
      </c>
      <c r="N979" s="2">
        <v>37</v>
      </c>
      <c r="O979" s="2">
        <v>0</v>
      </c>
      <c r="P979" s="3">
        <v>82</v>
      </c>
      <c r="Q979" s="2">
        <v>5</v>
      </c>
      <c r="R979" s="2">
        <v>5</v>
      </c>
      <c r="S979" s="2">
        <v>0</v>
      </c>
      <c r="T979" s="2">
        <v>2</v>
      </c>
      <c r="U979" s="2">
        <v>0</v>
      </c>
      <c r="V979" s="2">
        <f t="shared" si="361"/>
        <v>235</v>
      </c>
      <c r="W979" s="2">
        <v>0</v>
      </c>
      <c r="X979" s="2">
        <v>0</v>
      </c>
      <c r="Y979" s="2">
        <v>0</v>
      </c>
      <c r="Z979" s="2">
        <f t="shared" ref="Z979:Z989" si="364">Y979+X979+W979+U979</f>
        <v>0</v>
      </c>
      <c r="AA979" s="2">
        <f t="shared" si="363"/>
        <v>235</v>
      </c>
      <c r="AB979" s="2">
        <v>1966</v>
      </c>
      <c r="AC979" s="20">
        <f t="shared" si="357"/>
        <v>11.9532044760936</v>
      </c>
      <c r="AD979" s="2" t="s">
        <v>257</v>
      </c>
      <c r="AE979" s="2">
        <v>188</v>
      </c>
      <c r="AF979" s="21">
        <f t="shared" si="358"/>
        <v>11.9532044760936</v>
      </c>
      <c r="AG979" s="4">
        <f t="shared" si="359"/>
        <v>11.9532044760936</v>
      </c>
      <c r="AH979" s="4">
        <f t="shared" si="360"/>
        <v>0</v>
      </c>
    </row>
    <row r="980" spans="1:34">
      <c r="A980" s="2">
        <v>20260331</v>
      </c>
      <c r="B980" s="2" t="s">
        <v>2004</v>
      </c>
      <c r="C980" s="2" t="s">
        <v>2005</v>
      </c>
      <c r="D980" s="2">
        <v>0</v>
      </c>
      <c r="E980" s="2">
        <v>2</v>
      </c>
      <c r="F980" s="2">
        <v>0</v>
      </c>
      <c r="G980" s="2">
        <v>1</v>
      </c>
      <c r="H980" s="2">
        <v>4</v>
      </c>
      <c r="I980" s="3">
        <v>12</v>
      </c>
      <c r="J980" s="2">
        <v>1</v>
      </c>
      <c r="K980" s="2">
        <v>2</v>
      </c>
      <c r="L980" s="2">
        <v>1</v>
      </c>
      <c r="M980" s="2">
        <v>43</v>
      </c>
      <c r="N980" s="2">
        <v>0</v>
      </c>
      <c r="O980" s="2">
        <v>0</v>
      </c>
      <c r="P980" s="3">
        <v>71</v>
      </c>
      <c r="Q980" s="2">
        <v>0</v>
      </c>
      <c r="R980" s="2">
        <v>12</v>
      </c>
      <c r="S980" s="2">
        <v>2</v>
      </c>
      <c r="T980" s="2">
        <v>2</v>
      </c>
      <c r="U980" s="2">
        <v>0</v>
      </c>
      <c r="V980" s="2">
        <f t="shared" ref="V980:V986" si="365">AA980-Y980-X980-W980-U980</f>
        <v>134</v>
      </c>
      <c r="W980" s="2">
        <v>0</v>
      </c>
      <c r="X980" s="2">
        <v>3</v>
      </c>
      <c r="Y980" s="2">
        <v>0</v>
      </c>
      <c r="Z980" s="2">
        <f t="shared" si="364"/>
        <v>3</v>
      </c>
      <c r="AA980" s="2">
        <f t="shared" ref="AA980:AA991" si="366">G980+H980+I980+J980+K980+L980+M980+P980+T980+U980</f>
        <v>137</v>
      </c>
      <c r="AB980" s="2">
        <v>1747</v>
      </c>
      <c r="AC980" s="20">
        <f t="shared" ref="AC980:AC991" si="367">AA980/AB980*100</f>
        <v>7.84201488265598</v>
      </c>
      <c r="AD980" s="2" t="s">
        <v>257</v>
      </c>
      <c r="AE980" s="2">
        <v>188</v>
      </c>
      <c r="AF980" s="21">
        <f t="shared" ref="AF980:AF991" si="368">188/AE980*AC980</f>
        <v>7.84201488265598</v>
      </c>
      <c r="AG980" s="4">
        <f t="shared" ref="AG980:AG991" si="369">V980/AB980*100</f>
        <v>7.67029192902118</v>
      </c>
      <c r="AH980" s="4">
        <f t="shared" ref="AH980:AH991" si="370">Z980/AB980*100</f>
        <v>0.171722953634803</v>
      </c>
    </row>
    <row r="981" spans="1:34">
      <c r="A981" s="2">
        <v>20260331</v>
      </c>
      <c r="B981" s="2" t="s">
        <v>2006</v>
      </c>
      <c r="C981" s="2" t="s">
        <v>2007</v>
      </c>
      <c r="D981" s="2">
        <v>0</v>
      </c>
      <c r="E981" s="2">
        <v>3</v>
      </c>
      <c r="F981" s="2">
        <v>3</v>
      </c>
      <c r="G981" s="2">
        <v>3</v>
      </c>
      <c r="H981" s="2">
        <v>24</v>
      </c>
      <c r="I981" s="3">
        <v>28</v>
      </c>
      <c r="J981" s="2">
        <v>8</v>
      </c>
      <c r="K981" s="2">
        <v>1</v>
      </c>
      <c r="L981" s="2">
        <v>1</v>
      </c>
      <c r="M981" s="2">
        <v>80</v>
      </c>
      <c r="N981" s="2">
        <v>9</v>
      </c>
      <c r="O981" s="2">
        <v>1</v>
      </c>
      <c r="P981" s="3">
        <v>139</v>
      </c>
      <c r="Q981" s="2">
        <v>3</v>
      </c>
      <c r="R981" s="2">
        <v>11</v>
      </c>
      <c r="S981" s="2">
        <v>4</v>
      </c>
      <c r="T981" s="2">
        <v>5</v>
      </c>
      <c r="U981" s="2">
        <v>0</v>
      </c>
      <c r="V981" s="2">
        <f t="shared" si="365"/>
        <v>285</v>
      </c>
      <c r="W981" s="2">
        <v>0</v>
      </c>
      <c r="X981" s="2">
        <v>3</v>
      </c>
      <c r="Y981" s="2">
        <v>1</v>
      </c>
      <c r="Z981" s="2">
        <f t="shared" si="364"/>
        <v>4</v>
      </c>
      <c r="AA981" s="2">
        <f t="shared" si="366"/>
        <v>289</v>
      </c>
      <c r="AB981" s="2">
        <v>3335</v>
      </c>
      <c r="AC981" s="20">
        <f t="shared" si="367"/>
        <v>8.66566716641679</v>
      </c>
      <c r="AD981" s="2" t="s">
        <v>257</v>
      </c>
      <c r="AE981" s="2">
        <v>188</v>
      </c>
      <c r="AF981" s="21">
        <f t="shared" si="368"/>
        <v>8.66566716641679</v>
      </c>
      <c r="AG981" s="4">
        <f t="shared" si="369"/>
        <v>8.54572713643178</v>
      </c>
      <c r="AH981" s="4">
        <f t="shared" si="370"/>
        <v>0.119940029985007</v>
      </c>
    </row>
    <row r="982" spans="1:34">
      <c r="A982" s="2">
        <v>20260401</v>
      </c>
      <c r="B982" s="2" t="s">
        <v>2008</v>
      </c>
      <c r="C982" s="2" t="s">
        <v>2009</v>
      </c>
      <c r="D982" s="2">
        <v>1</v>
      </c>
      <c r="E982" s="2">
        <v>5</v>
      </c>
      <c r="F982" s="2">
        <v>0</v>
      </c>
      <c r="G982" s="2">
        <v>3</v>
      </c>
      <c r="H982" s="2">
        <v>9</v>
      </c>
      <c r="I982" s="3">
        <v>23</v>
      </c>
      <c r="J982" s="2">
        <v>163</v>
      </c>
      <c r="K982" s="2">
        <v>0</v>
      </c>
      <c r="L982" s="2">
        <v>0</v>
      </c>
      <c r="M982" s="2">
        <v>61</v>
      </c>
      <c r="N982" s="2">
        <v>6</v>
      </c>
      <c r="O982" s="2">
        <v>0</v>
      </c>
      <c r="P982" s="3">
        <v>72</v>
      </c>
      <c r="Q982" s="2">
        <v>0</v>
      </c>
      <c r="R982" s="2">
        <v>201</v>
      </c>
      <c r="S982" s="2">
        <v>2</v>
      </c>
      <c r="T982" s="2">
        <v>5</v>
      </c>
      <c r="U982" s="2">
        <v>0</v>
      </c>
      <c r="V982" s="2">
        <f t="shared" si="365"/>
        <v>320</v>
      </c>
      <c r="W982" s="2">
        <v>2</v>
      </c>
      <c r="X982" s="2">
        <v>14</v>
      </c>
      <c r="Y982" s="2">
        <v>0</v>
      </c>
      <c r="Z982" s="2">
        <f t="shared" si="364"/>
        <v>16</v>
      </c>
      <c r="AA982" s="2">
        <f t="shared" si="366"/>
        <v>336</v>
      </c>
      <c r="AB982" s="2">
        <v>2805</v>
      </c>
      <c r="AC982" s="20">
        <f t="shared" si="367"/>
        <v>11.9786096256684</v>
      </c>
      <c r="AD982" s="2" t="s">
        <v>2010</v>
      </c>
      <c r="AE982" s="2">
        <v>188</v>
      </c>
      <c r="AF982" s="21">
        <f t="shared" si="368"/>
        <v>11.9786096256684</v>
      </c>
      <c r="AG982" s="4">
        <f t="shared" si="369"/>
        <v>11.4081996434938</v>
      </c>
      <c r="AH982" s="4">
        <f t="shared" si="370"/>
        <v>0.570409982174688</v>
      </c>
    </row>
    <row r="983" spans="1:34">
      <c r="A983" s="2">
        <v>20260401</v>
      </c>
      <c r="B983" s="2" t="s">
        <v>2011</v>
      </c>
      <c r="C983" s="2" t="s">
        <v>2012</v>
      </c>
      <c r="D983" s="2">
        <v>0</v>
      </c>
      <c r="E983" s="2">
        <v>20</v>
      </c>
      <c r="F983" s="2">
        <v>0</v>
      </c>
      <c r="G983" s="2">
        <v>4</v>
      </c>
      <c r="H983" s="2">
        <v>5</v>
      </c>
      <c r="I983" s="3">
        <v>12</v>
      </c>
      <c r="J983" s="2">
        <v>55</v>
      </c>
      <c r="K983" s="2">
        <v>1</v>
      </c>
      <c r="L983" s="2">
        <v>0</v>
      </c>
      <c r="M983" s="2">
        <v>15</v>
      </c>
      <c r="N983" s="2">
        <v>1</v>
      </c>
      <c r="O983" s="2">
        <v>0</v>
      </c>
      <c r="P983" s="3">
        <v>52</v>
      </c>
      <c r="Q983" s="2">
        <v>1</v>
      </c>
      <c r="R983" s="2">
        <v>160</v>
      </c>
      <c r="S983" s="2">
        <v>0</v>
      </c>
      <c r="T983" s="2">
        <v>0</v>
      </c>
      <c r="U983" s="2">
        <v>0</v>
      </c>
      <c r="V983" s="2">
        <f t="shared" si="365"/>
        <v>136</v>
      </c>
      <c r="W983" s="2">
        <v>1</v>
      </c>
      <c r="X983" s="2">
        <v>7</v>
      </c>
      <c r="Y983" s="2">
        <v>0</v>
      </c>
      <c r="Z983" s="2">
        <f t="shared" si="364"/>
        <v>8</v>
      </c>
      <c r="AA983" s="2">
        <f t="shared" si="366"/>
        <v>144</v>
      </c>
      <c r="AB983" s="2">
        <v>1417</v>
      </c>
      <c r="AC983" s="20">
        <f t="shared" si="367"/>
        <v>10.1623147494707</v>
      </c>
      <c r="AD983" s="2" t="s">
        <v>2010</v>
      </c>
      <c r="AE983" s="2">
        <v>188</v>
      </c>
      <c r="AF983" s="21">
        <f t="shared" si="368"/>
        <v>10.1623147494707</v>
      </c>
      <c r="AG983" s="4">
        <f t="shared" si="369"/>
        <v>9.59774170783345</v>
      </c>
      <c r="AH983" s="4">
        <f t="shared" si="370"/>
        <v>0.564573041637262</v>
      </c>
    </row>
    <row r="984" spans="1:34">
      <c r="A984" s="2">
        <v>20260401</v>
      </c>
      <c r="B984" s="2" t="s">
        <v>2013</v>
      </c>
      <c r="C984" s="2" t="s">
        <v>2014</v>
      </c>
      <c r="D984" s="2">
        <v>0</v>
      </c>
      <c r="E984" s="2">
        <v>5</v>
      </c>
      <c r="F984" s="2">
        <v>4</v>
      </c>
      <c r="G984" s="2">
        <v>4</v>
      </c>
      <c r="H984" s="2">
        <v>8</v>
      </c>
      <c r="I984" s="3">
        <v>16</v>
      </c>
      <c r="J984" s="2">
        <v>46</v>
      </c>
      <c r="K984" s="2">
        <v>1</v>
      </c>
      <c r="L984" s="2">
        <v>2</v>
      </c>
      <c r="M984" s="2">
        <v>35</v>
      </c>
      <c r="N984" s="2">
        <v>4</v>
      </c>
      <c r="O984" s="2">
        <v>2</v>
      </c>
      <c r="P984" s="3">
        <v>54</v>
      </c>
      <c r="Q984" s="2">
        <v>2</v>
      </c>
      <c r="R984" s="2">
        <v>259</v>
      </c>
      <c r="S984" s="2">
        <v>1</v>
      </c>
      <c r="T984" s="2">
        <v>5</v>
      </c>
      <c r="U984" s="2">
        <v>0</v>
      </c>
      <c r="V984" s="2">
        <f t="shared" si="365"/>
        <v>168</v>
      </c>
      <c r="W984" s="2">
        <v>1</v>
      </c>
      <c r="X984" s="2">
        <v>2</v>
      </c>
      <c r="Y984" s="2">
        <v>0</v>
      </c>
      <c r="Z984" s="2">
        <f t="shared" si="364"/>
        <v>3</v>
      </c>
      <c r="AA984" s="2">
        <f t="shared" si="366"/>
        <v>171</v>
      </c>
      <c r="AB984" s="2">
        <v>2688</v>
      </c>
      <c r="AC984" s="20">
        <f t="shared" si="367"/>
        <v>6.36160714285714</v>
      </c>
      <c r="AD984" s="2" t="s">
        <v>2010</v>
      </c>
      <c r="AE984" s="2">
        <v>188</v>
      </c>
      <c r="AF984" s="21">
        <f t="shared" si="368"/>
        <v>6.36160714285714</v>
      </c>
      <c r="AG984" s="4">
        <f t="shared" si="369"/>
        <v>6.25</v>
      </c>
      <c r="AH984" s="4">
        <f t="shared" si="370"/>
        <v>0.111607142857143</v>
      </c>
    </row>
    <row r="985" spans="1:34">
      <c r="A985" s="2">
        <v>20260401</v>
      </c>
      <c r="B985" s="2" t="s">
        <v>2015</v>
      </c>
      <c r="C985" s="2" t="s">
        <v>2016</v>
      </c>
      <c r="D985" s="2">
        <v>0</v>
      </c>
      <c r="E985" s="2">
        <v>7</v>
      </c>
      <c r="F985" s="2">
        <v>1</v>
      </c>
      <c r="G985" s="2">
        <v>3</v>
      </c>
      <c r="H985" s="2">
        <v>4</v>
      </c>
      <c r="I985" s="3">
        <v>21</v>
      </c>
      <c r="J985" s="2">
        <v>8</v>
      </c>
      <c r="K985" s="2">
        <v>0</v>
      </c>
      <c r="L985" s="2">
        <v>1</v>
      </c>
      <c r="M985" s="2">
        <v>44</v>
      </c>
      <c r="N985" s="2">
        <v>5</v>
      </c>
      <c r="O985" s="2">
        <v>2</v>
      </c>
      <c r="P985" s="3">
        <v>53</v>
      </c>
      <c r="Q985" s="2">
        <v>2</v>
      </c>
      <c r="R985" s="2">
        <v>50</v>
      </c>
      <c r="S985" s="2">
        <v>1</v>
      </c>
      <c r="T985" s="2">
        <v>3</v>
      </c>
      <c r="U985" s="2">
        <v>0</v>
      </c>
      <c r="V985" s="2">
        <f t="shared" si="365"/>
        <v>130</v>
      </c>
      <c r="W985" s="2">
        <v>1</v>
      </c>
      <c r="X985" s="2">
        <v>6</v>
      </c>
      <c r="Y985" s="2">
        <v>0</v>
      </c>
      <c r="Z985" s="2">
        <f t="shared" si="364"/>
        <v>7</v>
      </c>
      <c r="AA985" s="2">
        <f t="shared" si="366"/>
        <v>137</v>
      </c>
      <c r="AB985" s="2">
        <v>2925</v>
      </c>
      <c r="AC985" s="20">
        <f t="shared" si="367"/>
        <v>4.68376068376068</v>
      </c>
      <c r="AD985" s="2" t="s">
        <v>2010</v>
      </c>
      <c r="AE985" s="2">
        <v>188</v>
      </c>
      <c r="AF985" s="21">
        <f t="shared" si="368"/>
        <v>4.68376068376068</v>
      </c>
      <c r="AG985" s="4">
        <f t="shared" si="369"/>
        <v>4.44444444444444</v>
      </c>
      <c r="AH985" s="4">
        <f t="shared" si="370"/>
        <v>0.239316239316239</v>
      </c>
    </row>
    <row r="986" s="1" customFormat="1" spans="1:44">
      <c r="A986" s="1">
        <v>20260401</v>
      </c>
      <c r="B986" s="1" t="s">
        <v>2017</v>
      </c>
      <c r="C986" s="1" t="s">
        <v>2018</v>
      </c>
      <c r="D986" s="1">
        <v>0</v>
      </c>
      <c r="E986" s="1">
        <v>8</v>
      </c>
      <c r="F986" s="1">
        <v>3</v>
      </c>
      <c r="G986" s="1">
        <v>0</v>
      </c>
      <c r="H986" s="1">
        <v>5</v>
      </c>
      <c r="I986" s="1">
        <v>17</v>
      </c>
      <c r="J986" s="1">
        <v>10</v>
      </c>
      <c r="K986" s="1">
        <v>2</v>
      </c>
      <c r="L986" s="1">
        <v>0</v>
      </c>
      <c r="M986" s="1">
        <v>32</v>
      </c>
      <c r="N986" s="1">
        <v>2</v>
      </c>
      <c r="O986" s="1">
        <v>0</v>
      </c>
      <c r="P986" s="1">
        <v>47</v>
      </c>
      <c r="Q986" s="1">
        <v>2</v>
      </c>
      <c r="R986" s="1">
        <v>18</v>
      </c>
      <c r="S986" s="1">
        <v>1</v>
      </c>
      <c r="T986" s="1">
        <v>2</v>
      </c>
      <c r="U986" s="1">
        <v>0</v>
      </c>
      <c r="V986" s="1">
        <f t="shared" si="365"/>
        <v>103</v>
      </c>
      <c r="W986" s="1">
        <v>4</v>
      </c>
      <c r="X986" s="1">
        <v>7</v>
      </c>
      <c r="Y986" s="1">
        <v>1</v>
      </c>
      <c r="Z986" s="1">
        <f t="shared" si="364"/>
        <v>12</v>
      </c>
      <c r="AA986" s="1">
        <f t="shared" si="366"/>
        <v>115</v>
      </c>
      <c r="AB986" s="1">
        <v>2690</v>
      </c>
      <c r="AC986" s="33">
        <f t="shared" si="367"/>
        <v>4.27509293680297</v>
      </c>
      <c r="AD986" s="1" t="s">
        <v>2010</v>
      </c>
      <c r="AE986" s="1">
        <v>188</v>
      </c>
      <c r="AF986" s="34">
        <f t="shared" si="368"/>
        <v>4.27509293680297</v>
      </c>
      <c r="AG986" s="35">
        <f t="shared" si="369"/>
        <v>3.82899628252788</v>
      </c>
      <c r="AH986" s="35">
        <f t="shared" si="370"/>
        <v>0.446096654275093</v>
      </c>
      <c r="AR986" s="36"/>
    </row>
    <row r="987" spans="1:34">
      <c r="A987" s="2">
        <v>20260401</v>
      </c>
      <c r="B987" s="22" t="s">
        <v>2019</v>
      </c>
      <c r="C987" s="2" t="s">
        <v>2020</v>
      </c>
      <c r="D987" s="2">
        <v>0</v>
      </c>
      <c r="E987" s="2">
        <v>2</v>
      </c>
      <c r="F987" s="2">
        <v>7</v>
      </c>
      <c r="G987" s="2">
        <v>6</v>
      </c>
      <c r="H987" s="2">
        <v>5</v>
      </c>
      <c r="I987" s="3">
        <v>12</v>
      </c>
      <c r="J987" s="2">
        <v>15</v>
      </c>
      <c r="K987" s="2">
        <v>1</v>
      </c>
      <c r="L987" s="2">
        <v>3</v>
      </c>
      <c r="M987" s="2">
        <v>34</v>
      </c>
      <c r="N987" s="2">
        <v>3</v>
      </c>
      <c r="O987" s="2">
        <v>0</v>
      </c>
      <c r="P987" s="3">
        <v>45</v>
      </c>
      <c r="Q987" s="2">
        <v>1</v>
      </c>
      <c r="R987" s="2">
        <v>9</v>
      </c>
      <c r="S987" s="2">
        <v>2</v>
      </c>
      <c r="T987" s="2">
        <v>5</v>
      </c>
      <c r="U987" s="2">
        <v>0</v>
      </c>
      <c r="V987" s="1">
        <f t="shared" ref="V987:V993" si="371">AA987-Y987-X987-W987-U987</f>
        <v>115</v>
      </c>
      <c r="W987" s="2">
        <v>8</v>
      </c>
      <c r="X987" s="2">
        <v>1</v>
      </c>
      <c r="Y987" s="2">
        <v>2</v>
      </c>
      <c r="Z987" s="2">
        <f t="shared" si="364"/>
        <v>11</v>
      </c>
      <c r="AA987" s="2">
        <f t="shared" si="366"/>
        <v>126</v>
      </c>
      <c r="AB987" s="2">
        <v>2805</v>
      </c>
      <c r="AC987" s="20">
        <f t="shared" si="367"/>
        <v>4.49197860962567</v>
      </c>
      <c r="AD987" s="2" t="s">
        <v>2010</v>
      </c>
      <c r="AE987" s="2">
        <v>188</v>
      </c>
      <c r="AF987" s="21">
        <f t="shared" si="368"/>
        <v>4.49197860962567</v>
      </c>
      <c r="AG987" s="4">
        <f t="shared" si="369"/>
        <v>4.09982174688057</v>
      </c>
      <c r="AH987" s="4">
        <f t="shared" si="370"/>
        <v>0.392156862745098</v>
      </c>
    </row>
    <row r="988" spans="1:34">
      <c r="A988" s="2">
        <v>20260401</v>
      </c>
      <c r="B988" s="22" t="s">
        <v>2021</v>
      </c>
      <c r="C988" s="2" t="s">
        <v>2022</v>
      </c>
      <c r="D988" s="2">
        <v>0</v>
      </c>
      <c r="E988" s="2">
        <v>25</v>
      </c>
      <c r="F988" s="2">
        <v>1</v>
      </c>
      <c r="G988" s="2">
        <v>3</v>
      </c>
      <c r="H988" s="2">
        <v>5</v>
      </c>
      <c r="I988" s="3">
        <v>4</v>
      </c>
      <c r="J988" s="2">
        <v>9</v>
      </c>
      <c r="K988" s="2">
        <v>1</v>
      </c>
      <c r="L988" s="2">
        <v>0</v>
      </c>
      <c r="M988" s="2">
        <v>34</v>
      </c>
      <c r="N988" s="2">
        <v>3</v>
      </c>
      <c r="O988" s="2">
        <v>1</v>
      </c>
      <c r="P988" s="3">
        <v>28</v>
      </c>
      <c r="Q988" s="2">
        <v>0</v>
      </c>
      <c r="R988" s="2">
        <v>38</v>
      </c>
      <c r="S988" s="2">
        <v>3</v>
      </c>
      <c r="T988" s="2">
        <v>2</v>
      </c>
      <c r="U988" s="2">
        <v>0</v>
      </c>
      <c r="V988" s="1">
        <f t="shared" si="371"/>
        <v>85</v>
      </c>
      <c r="W988" s="2">
        <v>1</v>
      </c>
      <c r="X988" s="2">
        <v>0</v>
      </c>
      <c r="Y988" s="2">
        <v>0</v>
      </c>
      <c r="Z988" s="2">
        <f t="shared" si="364"/>
        <v>1</v>
      </c>
      <c r="AA988" s="2">
        <f t="shared" si="366"/>
        <v>86</v>
      </c>
      <c r="AB988" s="2">
        <v>1796</v>
      </c>
      <c r="AC988" s="20">
        <f t="shared" si="367"/>
        <v>4.78841870824053</v>
      </c>
      <c r="AD988" s="2" t="s">
        <v>676</v>
      </c>
      <c r="AE988" s="2">
        <v>175</v>
      </c>
      <c r="AF988" s="21">
        <f t="shared" si="368"/>
        <v>5.14412981228126</v>
      </c>
      <c r="AG988" s="4">
        <f t="shared" si="369"/>
        <v>4.73273942093541</v>
      </c>
      <c r="AH988" s="4">
        <f t="shared" si="370"/>
        <v>0.0556792873051225</v>
      </c>
    </row>
    <row r="989" spans="1:34">
      <c r="A989" s="2">
        <v>20260401</v>
      </c>
      <c r="B989" s="22" t="s">
        <v>2023</v>
      </c>
      <c r="C989" s="2" t="s">
        <v>2024</v>
      </c>
      <c r="D989" s="2">
        <v>1</v>
      </c>
      <c r="E989" s="2">
        <v>4</v>
      </c>
      <c r="F989" s="2">
        <v>2</v>
      </c>
      <c r="G989" s="2">
        <v>3</v>
      </c>
      <c r="H989" s="2">
        <v>6</v>
      </c>
      <c r="I989" s="3">
        <v>12</v>
      </c>
      <c r="J989" s="2">
        <v>11</v>
      </c>
      <c r="K989" s="2">
        <v>1</v>
      </c>
      <c r="L989" s="2">
        <v>1</v>
      </c>
      <c r="M989" s="2">
        <v>26</v>
      </c>
      <c r="N989" s="2">
        <v>3</v>
      </c>
      <c r="O989" s="2">
        <v>0</v>
      </c>
      <c r="P989" s="3">
        <v>28</v>
      </c>
      <c r="Q989" s="2">
        <v>2</v>
      </c>
      <c r="R989" s="2">
        <v>14</v>
      </c>
      <c r="S989" s="2">
        <v>0</v>
      </c>
      <c r="T989" s="2">
        <v>7</v>
      </c>
      <c r="U989" s="2">
        <v>2</v>
      </c>
      <c r="V989" s="1">
        <f t="shared" si="371"/>
        <v>82</v>
      </c>
      <c r="W989" s="2">
        <v>1</v>
      </c>
      <c r="X989" s="2">
        <v>12</v>
      </c>
      <c r="Y989" s="2">
        <v>0</v>
      </c>
      <c r="Z989" s="2">
        <f t="shared" si="364"/>
        <v>15</v>
      </c>
      <c r="AA989" s="2">
        <f t="shared" si="366"/>
        <v>97</v>
      </c>
      <c r="AB989" s="2">
        <v>2870</v>
      </c>
      <c r="AC989" s="20">
        <f t="shared" si="367"/>
        <v>3.37979094076655</v>
      </c>
      <c r="AD989" s="2" t="s">
        <v>676</v>
      </c>
      <c r="AE989" s="2">
        <v>175</v>
      </c>
      <c r="AF989" s="21">
        <f t="shared" si="368"/>
        <v>3.63086112493778</v>
      </c>
      <c r="AG989" s="4">
        <f t="shared" si="369"/>
        <v>2.85714285714286</v>
      </c>
      <c r="AH989" s="4">
        <f t="shared" si="370"/>
        <v>0.522648083623693</v>
      </c>
    </row>
    <row r="990" spans="1:34">
      <c r="A990" s="2">
        <v>20260401</v>
      </c>
      <c r="B990" s="2" t="s">
        <v>2025</v>
      </c>
      <c r="C990" s="2" t="s">
        <v>2026</v>
      </c>
      <c r="D990" s="2">
        <v>1</v>
      </c>
      <c r="E990" s="2">
        <v>7</v>
      </c>
      <c r="F990" s="2">
        <v>2</v>
      </c>
      <c r="G990" s="2">
        <v>2</v>
      </c>
      <c r="H990" s="2">
        <v>16</v>
      </c>
      <c r="I990" s="3">
        <v>8</v>
      </c>
      <c r="J990" s="2">
        <v>9</v>
      </c>
      <c r="K990" s="2">
        <v>1</v>
      </c>
      <c r="L990" s="2">
        <v>0</v>
      </c>
      <c r="M990" s="2">
        <v>23</v>
      </c>
      <c r="N990" s="2">
        <v>3</v>
      </c>
      <c r="O990" s="2">
        <v>3</v>
      </c>
      <c r="P990" s="3">
        <v>23</v>
      </c>
      <c r="Q990" s="2">
        <v>5</v>
      </c>
      <c r="R990" s="2">
        <v>5</v>
      </c>
      <c r="S990" s="2">
        <v>1</v>
      </c>
      <c r="T990" s="2">
        <v>1</v>
      </c>
      <c r="U990" s="2">
        <v>0</v>
      </c>
      <c r="V990" s="1">
        <f t="shared" si="371"/>
        <v>65</v>
      </c>
      <c r="W990" s="2">
        <v>15</v>
      </c>
      <c r="X990" s="2">
        <v>3</v>
      </c>
      <c r="Y990" s="2">
        <v>0</v>
      </c>
      <c r="Z990" s="2">
        <f t="shared" ref="Z990:Z1001" si="372">Y990+X990+W990+U990</f>
        <v>18</v>
      </c>
      <c r="AA990" s="2">
        <f t="shared" ref="AA990:AA1003" si="373">G990+H990+I990+J990+K990+L990+M990+P990+T990+U990</f>
        <v>83</v>
      </c>
      <c r="AB990" s="2">
        <v>2858</v>
      </c>
      <c r="AC990" s="20">
        <f t="shared" si="367"/>
        <v>2.90412876137159</v>
      </c>
      <c r="AD990" s="2" t="s">
        <v>676</v>
      </c>
      <c r="AE990" s="2">
        <v>175</v>
      </c>
      <c r="AF990" s="21">
        <f t="shared" si="368"/>
        <v>3.11986404078776</v>
      </c>
      <c r="AG990" s="4">
        <f t="shared" si="369"/>
        <v>2.27431770468859</v>
      </c>
      <c r="AH990" s="4">
        <f t="shared" si="370"/>
        <v>0.629811056682995</v>
      </c>
    </row>
    <row r="991" spans="1:34">
      <c r="A991" s="2">
        <v>20260401</v>
      </c>
      <c r="B991" s="2" t="s">
        <v>2027</v>
      </c>
      <c r="C991" s="2" t="s">
        <v>2028</v>
      </c>
      <c r="D991" s="2">
        <v>0</v>
      </c>
      <c r="E991" s="2">
        <v>21</v>
      </c>
      <c r="F991" s="2">
        <v>1</v>
      </c>
      <c r="G991" s="2">
        <v>3</v>
      </c>
      <c r="H991" s="2">
        <v>2</v>
      </c>
      <c r="I991" s="3">
        <v>2</v>
      </c>
      <c r="J991" s="2">
        <v>9</v>
      </c>
      <c r="K991" s="2">
        <v>1</v>
      </c>
      <c r="L991" s="2">
        <v>0</v>
      </c>
      <c r="M991" s="2">
        <v>7</v>
      </c>
      <c r="N991" s="2">
        <v>2</v>
      </c>
      <c r="O991" s="2">
        <v>1</v>
      </c>
      <c r="P991" s="3">
        <v>18</v>
      </c>
      <c r="Q991" s="2">
        <v>0</v>
      </c>
      <c r="R991" s="2">
        <v>7</v>
      </c>
      <c r="S991" s="2">
        <v>2</v>
      </c>
      <c r="T991" s="2">
        <v>8</v>
      </c>
      <c r="U991" s="2">
        <v>0</v>
      </c>
      <c r="V991" s="1">
        <f t="shared" si="371"/>
        <v>41</v>
      </c>
      <c r="W991" s="2">
        <v>7</v>
      </c>
      <c r="X991" s="2">
        <v>2</v>
      </c>
      <c r="Y991" s="2">
        <v>0</v>
      </c>
      <c r="Z991" s="2">
        <f t="shared" si="372"/>
        <v>9</v>
      </c>
      <c r="AA991" s="2">
        <f t="shared" si="373"/>
        <v>50</v>
      </c>
      <c r="AB991" s="2">
        <v>1421</v>
      </c>
      <c r="AC991" s="20">
        <f t="shared" ref="AC991:AC1000" si="374">AA991/AB991*100</f>
        <v>3.51864883884588</v>
      </c>
      <c r="AD991" s="2" t="s">
        <v>676</v>
      </c>
      <c r="AE991" s="2">
        <v>175</v>
      </c>
      <c r="AF991" s="21">
        <f t="shared" si="368"/>
        <v>3.78003418116015</v>
      </c>
      <c r="AG991" s="4">
        <f t="shared" si="369"/>
        <v>2.88529204785362</v>
      </c>
      <c r="AH991" s="4">
        <f t="shared" si="370"/>
        <v>0.633356790992259</v>
      </c>
    </row>
    <row r="992" spans="1:34">
      <c r="A992" s="2">
        <v>20260401</v>
      </c>
      <c r="B992" s="2" t="s">
        <v>2029</v>
      </c>
      <c r="C992" s="2" t="s">
        <v>2030</v>
      </c>
      <c r="D992" s="2">
        <v>1</v>
      </c>
      <c r="E992" s="2">
        <v>5</v>
      </c>
      <c r="F992" s="2">
        <v>8</v>
      </c>
      <c r="G992" s="2">
        <v>1</v>
      </c>
      <c r="H992" s="2">
        <v>15</v>
      </c>
      <c r="I992" s="3">
        <v>14</v>
      </c>
      <c r="J992" s="2">
        <v>16</v>
      </c>
      <c r="K992" s="2">
        <v>3</v>
      </c>
      <c r="L992" s="2">
        <v>0</v>
      </c>
      <c r="M992" s="2">
        <v>26</v>
      </c>
      <c r="N992" s="2">
        <v>4</v>
      </c>
      <c r="O992" s="2">
        <v>0</v>
      </c>
      <c r="P992" s="3">
        <v>38</v>
      </c>
      <c r="Q992" s="2">
        <v>5</v>
      </c>
      <c r="R992" s="2">
        <v>26</v>
      </c>
      <c r="S992" s="2">
        <v>1</v>
      </c>
      <c r="T992" s="2">
        <v>7</v>
      </c>
      <c r="U992" s="2">
        <v>0</v>
      </c>
      <c r="V992" s="1">
        <f t="shared" si="371"/>
        <v>98</v>
      </c>
      <c r="W992" s="2">
        <v>10</v>
      </c>
      <c r="X992" s="2">
        <v>10</v>
      </c>
      <c r="Y992" s="2">
        <v>2</v>
      </c>
      <c r="Z992" s="2">
        <f t="shared" si="372"/>
        <v>22</v>
      </c>
      <c r="AA992" s="2">
        <f t="shared" si="373"/>
        <v>120</v>
      </c>
      <c r="AB992" s="2">
        <v>3390</v>
      </c>
      <c r="AC992" s="20">
        <f t="shared" si="374"/>
        <v>3.53982300884956</v>
      </c>
      <c r="AD992" s="2" t="s">
        <v>676</v>
      </c>
      <c r="AE992" s="2">
        <v>165</v>
      </c>
      <c r="AF992" s="21">
        <f t="shared" ref="AF992:AF1000" si="375">188/AE992*AC992</f>
        <v>4.03325288281041</v>
      </c>
      <c r="AG992" s="4">
        <f t="shared" ref="AG992:AG1000" si="376">V992/AB992*100</f>
        <v>2.89085545722714</v>
      </c>
      <c r="AH992" s="4">
        <f t="shared" ref="AH992:AH1000" si="377">Z992/AB992*100</f>
        <v>0.648967551622419</v>
      </c>
    </row>
    <row r="993" spans="1:34">
      <c r="A993" s="2">
        <v>20260401</v>
      </c>
      <c r="B993" s="2" t="s">
        <v>2031</v>
      </c>
      <c r="C993" s="2" t="s">
        <v>2032</v>
      </c>
      <c r="D993" s="2">
        <v>1</v>
      </c>
      <c r="E993" s="2">
        <v>4</v>
      </c>
      <c r="F993" s="2">
        <v>0</v>
      </c>
      <c r="G993" s="2">
        <v>1</v>
      </c>
      <c r="H993" s="2">
        <v>7</v>
      </c>
      <c r="I993" s="3">
        <v>8</v>
      </c>
      <c r="J993" s="2">
        <v>11</v>
      </c>
      <c r="K993" s="2">
        <v>1</v>
      </c>
      <c r="L993" s="2">
        <v>1</v>
      </c>
      <c r="M993" s="2">
        <v>21</v>
      </c>
      <c r="N993" s="2">
        <v>3</v>
      </c>
      <c r="O993" s="2">
        <v>0</v>
      </c>
      <c r="P993" s="3">
        <v>34</v>
      </c>
      <c r="Q993" s="2">
        <v>1</v>
      </c>
      <c r="R993" s="2">
        <v>0</v>
      </c>
      <c r="S993" s="2">
        <v>2</v>
      </c>
      <c r="T993" s="2">
        <v>3</v>
      </c>
      <c r="U993" s="2">
        <v>2</v>
      </c>
      <c r="V993" s="1">
        <f t="shared" ref="V993:V1003" si="378">AA993-Y993-X993-W993-U993</f>
        <v>72</v>
      </c>
      <c r="W993" s="2">
        <v>14</v>
      </c>
      <c r="X993" s="2">
        <v>1</v>
      </c>
      <c r="Y993" s="2">
        <v>0</v>
      </c>
      <c r="Z993" s="2">
        <f t="shared" si="372"/>
        <v>17</v>
      </c>
      <c r="AA993" s="2">
        <f t="shared" si="373"/>
        <v>89</v>
      </c>
      <c r="AB993" s="2">
        <v>2990</v>
      </c>
      <c r="AC993" s="20">
        <f t="shared" si="374"/>
        <v>2.97658862876254</v>
      </c>
      <c r="AD993" s="2" t="s">
        <v>676</v>
      </c>
      <c r="AE993" s="2">
        <v>165</v>
      </c>
      <c r="AF993" s="21">
        <f t="shared" si="375"/>
        <v>3.39150704368096</v>
      </c>
      <c r="AG993" s="4">
        <f t="shared" si="376"/>
        <v>2.40802675585284</v>
      </c>
      <c r="AH993" s="4">
        <f t="shared" si="377"/>
        <v>0.568561872909699</v>
      </c>
    </row>
    <row r="994" spans="1:44">
      <c r="A994" s="2">
        <v>20260401</v>
      </c>
      <c r="B994" s="2" t="s">
        <v>2033</v>
      </c>
      <c r="C994" s="2" t="s">
        <v>2034</v>
      </c>
      <c r="D994" s="2">
        <v>0</v>
      </c>
      <c r="E994" s="2">
        <v>16</v>
      </c>
      <c r="F994" s="2">
        <v>2</v>
      </c>
      <c r="G994" s="2">
        <v>6</v>
      </c>
      <c r="H994" s="2">
        <v>9</v>
      </c>
      <c r="I994" s="3">
        <v>23</v>
      </c>
      <c r="J994" s="2">
        <v>16</v>
      </c>
      <c r="K994" s="2">
        <v>3</v>
      </c>
      <c r="L994" s="2">
        <v>0</v>
      </c>
      <c r="M994" s="2">
        <v>16</v>
      </c>
      <c r="N994" s="2">
        <v>19</v>
      </c>
      <c r="O994" s="2">
        <v>1</v>
      </c>
      <c r="P994" s="3">
        <v>16</v>
      </c>
      <c r="Q994" s="2">
        <v>3</v>
      </c>
      <c r="R994" s="2">
        <v>128</v>
      </c>
      <c r="S994" s="2">
        <v>3</v>
      </c>
      <c r="T994" s="2">
        <v>19</v>
      </c>
      <c r="U994" s="2">
        <v>2</v>
      </c>
      <c r="V994" s="1">
        <f t="shared" si="378"/>
        <v>90</v>
      </c>
      <c r="W994" s="2">
        <v>3</v>
      </c>
      <c r="X994" s="2">
        <v>13</v>
      </c>
      <c r="Y994" s="2">
        <v>2</v>
      </c>
      <c r="Z994" s="2">
        <f t="shared" si="372"/>
        <v>20</v>
      </c>
      <c r="AA994" s="2">
        <f t="shared" si="373"/>
        <v>110</v>
      </c>
      <c r="AB994" s="2">
        <v>3118</v>
      </c>
      <c r="AC994" s="20">
        <f t="shared" si="374"/>
        <v>3.52790250160359</v>
      </c>
      <c r="AD994" s="2" t="s">
        <v>58</v>
      </c>
      <c r="AE994" s="2">
        <v>100</v>
      </c>
      <c r="AF994" s="21">
        <f t="shared" si="375"/>
        <v>6.63245670301475</v>
      </c>
      <c r="AG994" s="4">
        <f t="shared" si="376"/>
        <v>2.88646568313021</v>
      </c>
      <c r="AH994" s="4">
        <f t="shared" si="377"/>
        <v>0.64143681847338</v>
      </c>
      <c r="AI994" s="2">
        <v>2602</v>
      </c>
      <c r="AJ994" s="2">
        <v>417</v>
      </c>
      <c r="AK994" s="2">
        <v>36</v>
      </c>
      <c r="AL994" s="2">
        <v>163</v>
      </c>
      <c r="AM994" s="2">
        <v>120</v>
      </c>
      <c r="AN994" s="2">
        <v>3</v>
      </c>
      <c r="AO994" s="2">
        <v>0</v>
      </c>
      <c r="AP994" s="2">
        <f>AI994+AJ994+AL994+AN994</f>
        <v>3185</v>
      </c>
      <c r="AQ994" s="2">
        <f>AP994/AB994*100</f>
        <v>102.148813341886</v>
      </c>
      <c r="AR994" s="5">
        <f>AQ994*1.88</f>
        <v>192.039769082745</v>
      </c>
    </row>
    <row r="995" spans="1:44">
      <c r="A995" s="2">
        <v>20260401</v>
      </c>
      <c r="B995" s="2" t="s">
        <v>2035</v>
      </c>
      <c r="C995" s="2" t="s">
        <v>2036</v>
      </c>
      <c r="D995" s="2">
        <v>1</v>
      </c>
      <c r="E995" s="2">
        <v>12</v>
      </c>
      <c r="F995" s="2">
        <v>12</v>
      </c>
      <c r="G995" s="2">
        <v>14</v>
      </c>
      <c r="H995" s="2">
        <v>24</v>
      </c>
      <c r="I995" s="3">
        <v>44</v>
      </c>
      <c r="J995" s="2">
        <v>20</v>
      </c>
      <c r="K995" s="2">
        <v>2</v>
      </c>
      <c r="L995" s="2">
        <v>0</v>
      </c>
      <c r="M995" s="2">
        <v>17</v>
      </c>
      <c r="N995" s="2">
        <v>16</v>
      </c>
      <c r="O995" s="2">
        <v>28</v>
      </c>
      <c r="P995" s="3">
        <v>32</v>
      </c>
      <c r="Q995" s="2">
        <v>4</v>
      </c>
      <c r="R995" s="2">
        <v>118</v>
      </c>
      <c r="S995" s="2">
        <v>6</v>
      </c>
      <c r="T995" s="2">
        <v>21</v>
      </c>
      <c r="U995" s="2">
        <v>0</v>
      </c>
      <c r="V995" s="1">
        <f t="shared" si="378"/>
        <v>133</v>
      </c>
      <c r="W995" s="2">
        <v>0</v>
      </c>
      <c r="X995" s="2">
        <v>40</v>
      </c>
      <c r="Y995" s="2">
        <v>1</v>
      </c>
      <c r="Z995" s="2">
        <f t="shared" si="372"/>
        <v>41</v>
      </c>
      <c r="AA995" s="2">
        <f t="shared" si="373"/>
        <v>174</v>
      </c>
      <c r="AB995" s="2">
        <v>3566</v>
      </c>
      <c r="AC995" s="20">
        <f t="shared" si="374"/>
        <v>4.87941671340437</v>
      </c>
      <c r="AD995" s="2" t="s">
        <v>58</v>
      </c>
      <c r="AE995" s="2">
        <v>100</v>
      </c>
      <c r="AF995" s="21">
        <f t="shared" si="375"/>
        <v>9.17330342120022</v>
      </c>
      <c r="AG995" s="4">
        <f t="shared" si="376"/>
        <v>3.72966909702748</v>
      </c>
      <c r="AH995" s="4">
        <f t="shared" si="377"/>
        <v>1.14974761637689</v>
      </c>
      <c r="AI995" s="2">
        <v>3507</v>
      </c>
      <c r="AJ995" s="2">
        <v>580</v>
      </c>
      <c r="AK995" s="2">
        <v>52</v>
      </c>
      <c r="AL995" s="2">
        <v>324</v>
      </c>
      <c r="AM995" s="2">
        <v>132</v>
      </c>
      <c r="AN995" s="2">
        <v>3</v>
      </c>
      <c r="AO995" s="2">
        <v>0</v>
      </c>
      <c r="AP995" s="2">
        <f>AI995+AJ995+AL995+AN995</f>
        <v>4414</v>
      </c>
      <c r="AQ995" s="2">
        <f>AP995/AB995*100</f>
        <v>123.780145821649</v>
      </c>
      <c r="AR995" s="5">
        <f>AQ995*1.88</f>
        <v>232.7066741447</v>
      </c>
    </row>
    <row r="996" spans="1:44">
      <c r="A996" s="2">
        <v>20260401</v>
      </c>
      <c r="B996" s="2" t="s">
        <v>2037</v>
      </c>
      <c r="C996" s="2" t="s">
        <v>2038</v>
      </c>
      <c r="D996" s="2">
        <v>1</v>
      </c>
      <c r="E996" s="2">
        <v>17</v>
      </c>
      <c r="F996" s="2">
        <v>1</v>
      </c>
      <c r="G996" s="2">
        <v>7</v>
      </c>
      <c r="H996" s="2">
        <v>10</v>
      </c>
      <c r="I996" s="3">
        <v>21</v>
      </c>
      <c r="J996" s="2">
        <v>9</v>
      </c>
      <c r="K996" s="2">
        <v>3</v>
      </c>
      <c r="L996" s="2">
        <v>0</v>
      </c>
      <c r="M996" s="2">
        <v>28</v>
      </c>
      <c r="N996" s="2">
        <v>22</v>
      </c>
      <c r="O996" s="2">
        <v>0</v>
      </c>
      <c r="P996" s="3">
        <v>24</v>
      </c>
      <c r="Q996" s="2">
        <v>3</v>
      </c>
      <c r="R996" s="2">
        <v>114</v>
      </c>
      <c r="S996" s="2">
        <v>1</v>
      </c>
      <c r="T996" s="2">
        <v>12</v>
      </c>
      <c r="U996" s="2">
        <v>1</v>
      </c>
      <c r="V996" s="1">
        <f t="shared" si="378"/>
        <v>101</v>
      </c>
      <c r="W996" s="2">
        <v>4</v>
      </c>
      <c r="X996" s="2">
        <v>8</v>
      </c>
      <c r="Y996" s="2">
        <v>1</v>
      </c>
      <c r="Z996" s="2">
        <f t="shared" si="372"/>
        <v>14</v>
      </c>
      <c r="AA996" s="2">
        <f t="shared" si="373"/>
        <v>115</v>
      </c>
      <c r="AB996" s="2">
        <v>3117</v>
      </c>
      <c r="AC996" s="20">
        <f t="shared" si="374"/>
        <v>3.68944497914662</v>
      </c>
      <c r="AD996" s="2" t="s">
        <v>58</v>
      </c>
      <c r="AE996" s="2">
        <v>100</v>
      </c>
      <c r="AF996" s="21">
        <f t="shared" si="375"/>
        <v>6.93615656079564</v>
      </c>
      <c r="AG996" s="4">
        <f t="shared" si="376"/>
        <v>3.24029515559833</v>
      </c>
      <c r="AH996" s="4">
        <f t="shared" si="377"/>
        <v>0.449149823548284</v>
      </c>
      <c r="AI996" s="2">
        <v>3123</v>
      </c>
      <c r="AJ996" s="2">
        <v>598</v>
      </c>
      <c r="AK996" s="2">
        <v>60</v>
      </c>
      <c r="AL996" s="2">
        <v>100</v>
      </c>
      <c r="AM996" s="2">
        <v>55</v>
      </c>
      <c r="AN996" s="2">
        <v>2</v>
      </c>
      <c r="AO996" s="2">
        <v>0</v>
      </c>
      <c r="AP996" s="2">
        <f t="shared" ref="AP996:AP1011" si="379">AI996+AJ996+AL996+AN996</f>
        <v>3823</v>
      </c>
      <c r="AQ996" s="2">
        <f t="shared" ref="AQ996:AQ1013" si="380">AP996/AB996*100</f>
        <v>122.649983958935</v>
      </c>
      <c r="AR996" s="5">
        <f t="shared" ref="AR996:AR1014" si="381">AQ996*1.88</f>
        <v>230.581969842798</v>
      </c>
    </row>
    <row r="997" spans="1:44">
      <c r="A997" s="2">
        <v>20260401</v>
      </c>
      <c r="B997" s="2" t="s">
        <v>2039</v>
      </c>
      <c r="C997" s="2" t="s">
        <v>2040</v>
      </c>
      <c r="D997" s="2">
        <v>17</v>
      </c>
      <c r="E997" s="2">
        <v>207</v>
      </c>
      <c r="F997" s="2">
        <v>34</v>
      </c>
      <c r="G997" s="2">
        <v>11</v>
      </c>
      <c r="H997" s="2">
        <v>20</v>
      </c>
      <c r="I997" s="3">
        <v>35</v>
      </c>
      <c r="J997" s="2">
        <v>27</v>
      </c>
      <c r="K997" s="2">
        <v>37</v>
      </c>
      <c r="L997" s="2">
        <v>0</v>
      </c>
      <c r="M997" s="2">
        <v>24</v>
      </c>
      <c r="N997" s="2">
        <v>24</v>
      </c>
      <c r="O997" s="2">
        <v>87</v>
      </c>
      <c r="P997" s="3">
        <v>37</v>
      </c>
      <c r="Q997" s="2">
        <v>18</v>
      </c>
      <c r="R997" s="2">
        <v>207</v>
      </c>
      <c r="S997" s="2">
        <v>3</v>
      </c>
      <c r="T997" s="2">
        <v>20</v>
      </c>
      <c r="U997" s="2">
        <v>1</v>
      </c>
      <c r="V997" s="1">
        <f t="shared" si="378"/>
        <v>199</v>
      </c>
      <c r="W997" s="2">
        <v>3</v>
      </c>
      <c r="X997" s="2">
        <v>9</v>
      </c>
      <c r="Y997" s="2">
        <v>0</v>
      </c>
      <c r="Z997" s="2">
        <f t="shared" si="372"/>
        <v>13</v>
      </c>
      <c r="AA997" s="2">
        <f t="shared" si="373"/>
        <v>212</v>
      </c>
      <c r="AB997" s="2">
        <v>3656</v>
      </c>
      <c r="AC997" s="20">
        <f t="shared" si="374"/>
        <v>5.79868708971554</v>
      </c>
      <c r="AD997" s="2" t="s">
        <v>58</v>
      </c>
      <c r="AE997" s="2">
        <v>100</v>
      </c>
      <c r="AF997" s="21">
        <f t="shared" si="375"/>
        <v>10.9015317286652</v>
      </c>
      <c r="AG997" s="4">
        <f t="shared" si="376"/>
        <v>5.44310722100656</v>
      </c>
      <c r="AH997" s="4">
        <f t="shared" si="377"/>
        <v>0.355579868708972</v>
      </c>
      <c r="AI997" s="2">
        <v>8447</v>
      </c>
      <c r="AJ997" s="2">
        <v>763</v>
      </c>
      <c r="AK997" s="2">
        <v>77</v>
      </c>
      <c r="AL997" s="2">
        <v>466</v>
      </c>
      <c r="AM997" s="2">
        <v>250</v>
      </c>
      <c r="AN997" s="2">
        <v>6</v>
      </c>
      <c r="AO997" s="2">
        <v>0</v>
      </c>
      <c r="AP997" s="2">
        <f t="shared" si="379"/>
        <v>9682</v>
      </c>
      <c r="AQ997" s="2">
        <f t="shared" si="380"/>
        <v>264.824945295405</v>
      </c>
      <c r="AR997" s="5">
        <f t="shared" si="381"/>
        <v>497.870897155361</v>
      </c>
    </row>
    <row r="998" spans="1:44">
      <c r="A998" s="2">
        <v>20260401</v>
      </c>
      <c r="B998" s="2" t="s">
        <v>2041</v>
      </c>
      <c r="C998" s="2" t="s">
        <v>2042</v>
      </c>
      <c r="D998" s="2">
        <v>0</v>
      </c>
      <c r="E998" s="2">
        <v>7</v>
      </c>
      <c r="F998" s="2">
        <v>0</v>
      </c>
      <c r="G998" s="2">
        <v>13</v>
      </c>
      <c r="H998" s="2">
        <v>9</v>
      </c>
      <c r="I998" s="3">
        <v>17</v>
      </c>
      <c r="J998" s="2">
        <v>9</v>
      </c>
      <c r="K998" s="2">
        <v>1</v>
      </c>
      <c r="L998" s="2">
        <v>0</v>
      </c>
      <c r="M998" s="2">
        <v>7</v>
      </c>
      <c r="N998" s="2">
        <v>17</v>
      </c>
      <c r="O998" s="2">
        <v>0</v>
      </c>
      <c r="P998" s="3">
        <v>15</v>
      </c>
      <c r="Q998" s="2">
        <v>2</v>
      </c>
      <c r="R998" s="2">
        <v>141</v>
      </c>
      <c r="S998" s="2">
        <v>4</v>
      </c>
      <c r="T998" s="2">
        <v>16</v>
      </c>
      <c r="U998" s="2">
        <v>1</v>
      </c>
      <c r="V998" s="1">
        <f t="shared" ref="V998:V1007" si="382">AA998-Y998-X998-W998-U998</f>
        <v>71</v>
      </c>
      <c r="W998" s="2">
        <v>3</v>
      </c>
      <c r="X998" s="2">
        <v>3</v>
      </c>
      <c r="Y998" s="2">
        <v>10</v>
      </c>
      <c r="Z998" s="2">
        <v>0</v>
      </c>
      <c r="AA998" s="2">
        <f t="shared" si="373"/>
        <v>88</v>
      </c>
      <c r="AB998" s="2">
        <v>3117</v>
      </c>
      <c r="AC998" s="20">
        <f t="shared" si="374"/>
        <v>2.8232274623035</v>
      </c>
      <c r="AD998" s="2" t="s">
        <v>58</v>
      </c>
      <c r="AE998" s="2">
        <v>100</v>
      </c>
      <c r="AF998" s="21">
        <f t="shared" si="375"/>
        <v>5.30766762913057</v>
      </c>
      <c r="AG998" s="4">
        <f t="shared" si="376"/>
        <v>2.27783124799487</v>
      </c>
      <c r="AH998" s="4">
        <f t="shared" si="377"/>
        <v>0</v>
      </c>
      <c r="AI998" s="2">
        <v>10480</v>
      </c>
      <c r="AJ998" s="2">
        <v>858</v>
      </c>
      <c r="AK998" s="2">
        <v>84</v>
      </c>
      <c r="AL998" s="2">
        <v>492</v>
      </c>
      <c r="AM998" s="2">
        <v>272</v>
      </c>
      <c r="AN998" s="2">
        <v>6</v>
      </c>
      <c r="AO998" s="2">
        <v>0</v>
      </c>
      <c r="AP998" s="2">
        <f t="shared" si="379"/>
        <v>11836</v>
      </c>
      <c r="AQ998" s="2">
        <f t="shared" si="380"/>
        <v>379.72409367982</v>
      </c>
      <c r="AR998" s="5">
        <f t="shared" si="381"/>
        <v>713.881296118062</v>
      </c>
    </row>
    <row r="999" spans="1:44">
      <c r="A999" s="2">
        <v>20260401</v>
      </c>
      <c r="B999" s="2" t="s">
        <v>2043</v>
      </c>
      <c r="C999" s="2" t="s">
        <v>2044</v>
      </c>
      <c r="D999" s="2">
        <v>0</v>
      </c>
      <c r="E999" s="2">
        <v>4</v>
      </c>
      <c r="F999" s="2">
        <v>2</v>
      </c>
      <c r="G999" s="2">
        <v>12</v>
      </c>
      <c r="H999" s="2">
        <v>22</v>
      </c>
      <c r="I999" s="3">
        <v>25</v>
      </c>
      <c r="J999" s="2">
        <v>11</v>
      </c>
      <c r="K999" s="2">
        <v>3</v>
      </c>
      <c r="L999" s="2">
        <v>0</v>
      </c>
      <c r="M999" s="2">
        <v>7</v>
      </c>
      <c r="N999" s="2">
        <v>12</v>
      </c>
      <c r="O999" s="2">
        <v>1</v>
      </c>
      <c r="P999" s="3">
        <v>17</v>
      </c>
      <c r="Q999" s="2">
        <v>0</v>
      </c>
      <c r="R999" s="2">
        <v>138</v>
      </c>
      <c r="S999" s="2">
        <v>5</v>
      </c>
      <c r="T999" s="2">
        <v>22</v>
      </c>
      <c r="U999" s="2">
        <v>0</v>
      </c>
      <c r="V999" s="1">
        <f t="shared" si="382"/>
        <v>111</v>
      </c>
      <c r="W999" s="2">
        <v>3</v>
      </c>
      <c r="X999" s="2">
        <v>5</v>
      </c>
      <c r="Y999" s="2">
        <v>0</v>
      </c>
      <c r="Z999" s="2">
        <f t="shared" si="372"/>
        <v>8</v>
      </c>
      <c r="AA999" s="2">
        <f t="shared" si="373"/>
        <v>119</v>
      </c>
      <c r="AB999" s="2">
        <v>3117</v>
      </c>
      <c r="AC999" s="20">
        <f t="shared" si="374"/>
        <v>3.81777350016041</v>
      </c>
      <c r="AD999" s="2" t="s">
        <v>58</v>
      </c>
      <c r="AE999" s="2">
        <v>100</v>
      </c>
      <c r="AF999" s="21">
        <f t="shared" si="375"/>
        <v>7.17741418030157</v>
      </c>
      <c r="AG999" s="4">
        <f t="shared" si="376"/>
        <v>3.56111645813282</v>
      </c>
      <c r="AH999" s="4">
        <f t="shared" si="377"/>
        <v>0.256657042027591</v>
      </c>
      <c r="AI999" s="2">
        <v>3598</v>
      </c>
      <c r="AJ999" s="2">
        <v>667</v>
      </c>
      <c r="AK999" s="2">
        <v>62</v>
      </c>
      <c r="AL999" s="2">
        <v>119</v>
      </c>
      <c r="AM999" s="2">
        <v>69</v>
      </c>
      <c r="AN999" s="2">
        <v>1</v>
      </c>
      <c r="AO999" s="2">
        <v>0</v>
      </c>
      <c r="AP999" s="2">
        <f t="shared" si="379"/>
        <v>4385</v>
      </c>
      <c r="AQ999" s="2">
        <f t="shared" si="380"/>
        <v>140.680141161373</v>
      </c>
      <c r="AR999" s="5">
        <f t="shared" si="381"/>
        <v>264.478665383381</v>
      </c>
    </row>
    <row r="1000" spans="1:44">
      <c r="A1000" s="2">
        <v>20260401</v>
      </c>
      <c r="B1000" s="2" t="s">
        <v>2045</v>
      </c>
      <c r="C1000" s="2" t="s">
        <v>2046</v>
      </c>
      <c r="D1000" s="2">
        <v>0</v>
      </c>
      <c r="E1000" s="2">
        <v>18</v>
      </c>
      <c r="F1000" s="2">
        <v>4</v>
      </c>
      <c r="G1000" s="2">
        <v>2</v>
      </c>
      <c r="H1000" s="2">
        <v>6</v>
      </c>
      <c r="I1000" s="3">
        <v>12</v>
      </c>
      <c r="J1000" s="2">
        <v>6</v>
      </c>
      <c r="K1000" s="2">
        <v>6</v>
      </c>
      <c r="L1000" s="2">
        <v>0</v>
      </c>
      <c r="M1000" s="2">
        <v>14</v>
      </c>
      <c r="N1000" s="2">
        <v>16</v>
      </c>
      <c r="O1000" s="2">
        <v>0</v>
      </c>
      <c r="P1000" s="3">
        <v>12</v>
      </c>
      <c r="Q1000" s="2">
        <v>7</v>
      </c>
      <c r="R1000" s="2">
        <v>115</v>
      </c>
      <c r="S1000" s="2">
        <v>1</v>
      </c>
      <c r="T1000" s="2">
        <v>7</v>
      </c>
      <c r="U1000" s="2">
        <v>0</v>
      </c>
      <c r="V1000" s="1">
        <f t="shared" si="382"/>
        <v>57</v>
      </c>
      <c r="W1000" s="2">
        <v>2</v>
      </c>
      <c r="X1000" s="2">
        <v>6</v>
      </c>
      <c r="Y1000" s="2">
        <v>0</v>
      </c>
      <c r="Z1000" s="2">
        <f t="shared" si="372"/>
        <v>8</v>
      </c>
      <c r="AA1000" s="2">
        <f t="shared" si="373"/>
        <v>65</v>
      </c>
      <c r="AB1000" s="2">
        <v>3117</v>
      </c>
      <c r="AC1000" s="20">
        <f t="shared" ref="AC1000:AC1011" si="383">AA1000/AB1000*100</f>
        <v>2.08533846647417</v>
      </c>
      <c r="AD1000" s="2" t="s">
        <v>58</v>
      </c>
      <c r="AE1000" s="2">
        <v>100</v>
      </c>
      <c r="AF1000" s="21">
        <f t="shared" ref="AF1000:AF1012" si="384">188/AE1000*AC1000</f>
        <v>3.92043631697145</v>
      </c>
      <c r="AG1000" s="4">
        <f t="shared" ref="AG1000:AG1012" si="385">V1000/AB1000*100</f>
        <v>1.82868142444658</v>
      </c>
      <c r="AH1000" s="4">
        <f t="shared" ref="AH1000:AH1012" si="386">Z1000/AB1000*100</f>
        <v>0.256657042027591</v>
      </c>
      <c r="AI1000" s="2">
        <v>2489</v>
      </c>
      <c r="AJ1000" s="2">
        <v>378</v>
      </c>
      <c r="AK1000" s="2">
        <v>53</v>
      </c>
      <c r="AL1000" s="2">
        <v>117</v>
      </c>
      <c r="AM1000" s="2">
        <v>45</v>
      </c>
      <c r="AN1000" s="2">
        <v>1</v>
      </c>
      <c r="AO1000" s="2">
        <v>0</v>
      </c>
      <c r="AP1000" s="2">
        <f t="shared" si="379"/>
        <v>2985</v>
      </c>
      <c r="AQ1000" s="2">
        <f t="shared" si="380"/>
        <v>95.7651588065448</v>
      </c>
      <c r="AR1000" s="5">
        <f t="shared" si="381"/>
        <v>180.038498556304</v>
      </c>
    </row>
    <row r="1001" spans="1:44">
      <c r="A1001" s="2">
        <v>20260401</v>
      </c>
      <c r="B1001" s="2" t="s">
        <v>2047</v>
      </c>
      <c r="C1001" s="2" t="s">
        <v>2048</v>
      </c>
      <c r="D1001" s="2">
        <v>14</v>
      </c>
      <c r="E1001" s="2">
        <v>24</v>
      </c>
      <c r="F1001" s="2">
        <v>28</v>
      </c>
      <c r="G1001" s="2">
        <v>8</v>
      </c>
      <c r="H1001" s="2">
        <v>24</v>
      </c>
      <c r="I1001" s="3">
        <v>24</v>
      </c>
      <c r="J1001" s="2">
        <v>9</v>
      </c>
      <c r="K1001" s="2">
        <v>11</v>
      </c>
      <c r="L1001" s="2">
        <v>2</v>
      </c>
      <c r="M1001" s="2">
        <v>14</v>
      </c>
      <c r="N1001" s="2">
        <v>46</v>
      </c>
      <c r="O1001" s="2">
        <v>45</v>
      </c>
      <c r="P1001" s="3">
        <v>26</v>
      </c>
      <c r="Q1001" s="2">
        <v>44</v>
      </c>
      <c r="R1001" s="2">
        <v>124</v>
      </c>
      <c r="S1001" s="2">
        <v>3</v>
      </c>
      <c r="T1001" s="2">
        <v>22</v>
      </c>
      <c r="U1001" s="2">
        <v>1</v>
      </c>
      <c r="V1001" s="1">
        <f t="shared" si="382"/>
        <v>137</v>
      </c>
      <c r="W1001" s="2">
        <v>1</v>
      </c>
      <c r="X1001" s="2">
        <v>2</v>
      </c>
      <c r="Y1001" s="2">
        <v>0</v>
      </c>
      <c r="Z1001" s="2">
        <f t="shared" si="372"/>
        <v>4</v>
      </c>
      <c r="AA1001" s="2">
        <f t="shared" si="373"/>
        <v>141</v>
      </c>
      <c r="AB1001" s="2">
        <v>3717</v>
      </c>
      <c r="AC1001" s="20">
        <f t="shared" si="383"/>
        <v>3.79338175948345</v>
      </c>
      <c r="AD1001" s="2" t="s">
        <v>58</v>
      </c>
      <c r="AE1001" s="2">
        <v>100</v>
      </c>
      <c r="AF1001" s="21">
        <f t="shared" si="384"/>
        <v>7.13155770782889</v>
      </c>
      <c r="AG1001" s="4">
        <f t="shared" si="385"/>
        <v>3.68576809254775</v>
      </c>
      <c r="AH1001" s="4">
        <f t="shared" si="386"/>
        <v>0.107613666935701</v>
      </c>
      <c r="AI1001" s="2">
        <v>3358</v>
      </c>
      <c r="AJ1001" s="2">
        <v>507</v>
      </c>
      <c r="AK1001" s="2">
        <v>76</v>
      </c>
      <c r="AL1001" s="2">
        <v>77</v>
      </c>
      <c r="AM1001" s="2">
        <v>195</v>
      </c>
      <c r="AN1001" s="2">
        <v>5</v>
      </c>
      <c r="AO1001" s="2">
        <v>0</v>
      </c>
      <c r="AP1001" s="2">
        <f t="shared" si="379"/>
        <v>3947</v>
      </c>
      <c r="AQ1001" s="2">
        <f t="shared" si="380"/>
        <v>106.187785848803</v>
      </c>
      <c r="AR1001" s="5">
        <f t="shared" si="381"/>
        <v>199.633037395749</v>
      </c>
    </row>
    <row r="1002" spans="1:44">
      <c r="A1002" s="2">
        <v>20260401</v>
      </c>
      <c r="B1002" s="2" t="s">
        <v>2049</v>
      </c>
      <c r="C1002" s="2" t="s">
        <v>2050</v>
      </c>
      <c r="D1002" s="2">
        <v>0</v>
      </c>
      <c r="E1002" s="2">
        <v>12</v>
      </c>
      <c r="F1002" s="2">
        <v>2</v>
      </c>
      <c r="G1002" s="2">
        <v>3</v>
      </c>
      <c r="H1002" s="2">
        <v>11</v>
      </c>
      <c r="I1002" s="3">
        <v>11</v>
      </c>
      <c r="J1002" s="2">
        <v>6</v>
      </c>
      <c r="K1002" s="2">
        <v>5</v>
      </c>
      <c r="L1002" s="2">
        <v>0</v>
      </c>
      <c r="M1002" s="2">
        <v>10</v>
      </c>
      <c r="N1002" s="2">
        <v>28</v>
      </c>
      <c r="O1002" s="2">
        <v>2</v>
      </c>
      <c r="P1002" s="3">
        <v>14</v>
      </c>
      <c r="Q1002" s="2">
        <v>3</v>
      </c>
      <c r="R1002" s="2">
        <v>81</v>
      </c>
      <c r="S1002" s="2">
        <v>2</v>
      </c>
      <c r="T1002" s="2">
        <v>17</v>
      </c>
      <c r="U1002" s="2">
        <v>0</v>
      </c>
      <c r="V1002" s="1">
        <f t="shared" si="382"/>
        <v>75</v>
      </c>
      <c r="W1002" s="2">
        <v>0</v>
      </c>
      <c r="X1002" s="2">
        <v>2</v>
      </c>
      <c r="Y1002" s="2">
        <v>0</v>
      </c>
      <c r="Z1002" s="2">
        <f t="shared" ref="Z1002:Z1011" si="387">Y1002+X1002+W1002+U1002</f>
        <v>2</v>
      </c>
      <c r="AA1002" s="2">
        <f t="shared" si="373"/>
        <v>77</v>
      </c>
      <c r="AB1002" s="2">
        <v>3088</v>
      </c>
      <c r="AC1002" s="20">
        <f t="shared" si="383"/>
        <v>2.49352331606218</v>
      </c>
      <c r="AD1002" s="2" t="s">
        <v>58</v>
      </c>
      <c r="AE1002" s="2">
        <v>100</v>
      </c>
      <c r="AF1002" s="21">
        <f t="shared" si="384"/>
        <v>4.68782383419689</v>
      </c>
      <c r="AG1002" s="4">
        <f t="shared" si="385"/>
        <v>2.42875647668394</v>
      </c>
      <c r="AH1002" s="4">
        <f t="shared" si="386"/>
        <v>0.0647668393782383</v>
      </c>
      <c r="AI1002" s="2">
        <v>2486</v>
      </c>
      <c r="AJ1002" s="2">
        <v>395</v>
      </c>
      <c r="AK1002" s="2">
        <v>77</v>
      </c>
      <c r="AL1002" s="2">
        <v>64</v>
      </c>
      <c r="AM1002" s="2">
        <v>23</v>
      </c>
      <c r="AN1002" s="2">
        <v>3</v>
      </c>
      <c r="AO1002" s="2">
        <v>0</v>
      </c>
      <c r="AP1002" s="2">
        <f t="shared" si="379"/>
        <v>2948</v>
      </c>
      <c r="AQ1002" s="2">
        <f t="shared" si="380"/>
        <v>95.4663212435233</v>
      </c>
      <c r="AR1002" s="5">
        <f t="shared" si="381"/>
        <v>179.476683937824</v>
      </c>
    </row>
    <row r="1003" spans="1:44">
      <c r="A1003" s="2">
        <v>20260402</v>
      </c>
      <c r="B1003" s="2" t="s">
        <v>2051</v>
      </c>
      <c r="C1003" s="2" t="s">
        <v>2052</v>
      </c>
      <c r="D1003" s="2">
        <v>1</v>
      </c>
      <c r="E1003" s="2">
        <v>23</v>
      </c>
      <c r="F1003" s="2">
        <v>2</v>
      </c>
      <c r="G1003" s="2">
        <v>5</v>
      </c>
      <c r="H1003" s="2">
        <v>7</v>
      </c>
      <c r="I1003" s="3">
        <v>21</v>
      </c>
      <c r="J1003" s="2">
        <v>9</v>
      </c>
      <c r="K1003" s="2">
        <v>2</v>
      </c>
      <c r="L1003" s="2">
        <v>0</v>
      </c>
      <c r="M1003" s="2">
        <v>19</v>
      </c>
      <c r="N1003" s="2">
        <v>16</v>
      </c>
      <c r="O1003" s="2">
        <v>1</v>
      </c>
      <c r="P1003" s="3">
        <v>19</v>
      </c>
      <c r="Q1003" s="2">
        <v>2</v>
      </c>
      <c r="R1003" s="2">
        <v>144</v>
      </c>
      <c r="S1003" s="2">
        <v>2</v>
      </c>
      <c r="T1003" s="2">
        <v>14</v>
      </c>
      <c r="U1003" s="2">
        <v>0</v>
      </c>
      <c r="V1003" s="1">
        <f t="shared" si="382"/>
        <v>93</v>
      </c>
      <c r="W1003" s="2">
        <v>1</v>
      </c>
      <c r="X1003" s="2">
        <v>2</v>
      </c>
      <c r="Y1003" s="2">
        <v>0</v>
      </c>
      <c r="Z1003" s="2">
        <f t="shared" si="387"/>
        <v>3</v>
      </c>
      <c r="AA1003" s="2">
        <f t="shared" si="373"/>
        <v>96</v>
      </c>
      <c r="AB1003" s="2">
        <v>4066</v>
      </c>
      <c r="AC1003" s="20">
        <f t="shared" si="383"/>
        <v>2.36104279390064</v>
      </c>
      <c r="AD1003" s="2" t="s">
        <v>58</v>
      </c>
      <c r="AE1003" s="2">
        <v>100</v>
      </c>
      <c r="AF1003" s="21">
        <f t="shared" si="384"/>
        <v>4.4387604525332</v>
      </c>
      <c r="AG1003" s="4">
        <f t="shared" si="385"/>
        <v>2.28726020659124</v>
      </c>
      <c r="AH1003" s="4">
        <f t="shared" si="386"/>
        <v>0.073782587309395</v>
      </c>
      <c r="AI1003" s="2">
        <v>4190</v>
      </c>
      <c r="AJ1003" s="2">
        <v>607</v>
      </c>
      <c r="AK1003" s="2">
        <v>104</v>
      </c>
      <c r="AL1003" s="2">
        <v>175</v>
      </c>
      <c r="AM1003" s="2">
        <v>93</v>
      </c>
      <c r="AN1003" s="2">
        <v>5</v>
      </c>
      <c r="AO1003" s="2">
        <v>0</v>
      </c>
      <c r="AP1003" s="2">
        <f t="shared" si="379"/>
        <v>4977</v>
      </c>
      <c r="AQ1003" s="2">
        <f t="shared" si="380"/>
        <v>122.405312346286</v>
      </c>
      <c r="AR1003" s="5">
        <f t="shared" si="381"/>
        <v>230.121987211018</v>
      </c>
    </row>
    <row r="1004" spans="1:44">
      <c r="A1004" s="2">
        <v>20260402</v>
      </c>
      <c r="B1004" s="2" t="s">
        <v>2053</v>
      </c>
      <c r="C1004" s="2" t="s">
        <v>2054</v>
      </c>
      <c r="D1004" s="2">
        <v>1</v>
      </c>
      <c r="E1004" s="2">
        <v>22</v>
      </c>
      <c r="F1004" s="2">
        <v>2</v>
      </c>
      <c r="G1004" s="2">
        <v>9</v>
      </c>
      <c r="H1004" s="2">
        <v>23</v>
      </c>
      <c r="I1004" s="3">
        <v>25</v>
      </c>
      <c r="J1004" s="2">
        <v>18</v>
      </c>
      <c r="K1004" s="2">
        <v>3</v>
      </c>
      <c r="L1004" s="2">
        <v>1</v>
      </c>
      <c r="M1004" s="2">
        <v>23</v>
      </c>
      <c r="N1004" s="2">
        <v>34</v>
      </c>
      <c r="O1004" s="2">
        <v>0</v>
      </c>
      <c r="P1004" s="3">
        <v>26</v>
      </c>
      <c r="Q1004" s="2">
        <v>3</v>
      </c>
      <c r="R1004" s="2">
        <v>229</v>
      </c>
      <c r="S1004" s="2">
        <v>4</v>
      </c>
      <c r="T1004" s="2">
        <v>31</v>
      </c>
      <c r="U1004" s="2">
        <v>1</v>
      </c>
      <c r="V1004" s="1">
        <f t="shared" si="382"/>
        <v>155</v>
      </c>
      <c r="W1004" s="2">
        <v>2</v>
      </c>
      <c r="X1004" s="2">
        <v>2</v>
      </c>
      <c r="Y1004" s="2">
        <v>0</v>
      </c>
      <c r="Z1004" s="2">
        <f t="shared" si="387"/>
        <v>5</v>
      </c>
      <c r="AA1004" s="2">
        <f t="shared" ref="AA1004:AA1018" si="388">G1004+H1004+I1004+J1004+K1004+L1004+M1004+P1004+T1004+U1004</f>
        <v>160</v>
      </c>
      <c r="AB1004" s="2">
        <v>6155</v>
      </c>
      <c r="AC1004" s="20">
        <f t="shared" si="383"/>
        <v>2.59951259138911</v>
      </c>
      <c r="AD1004" s="2" t="s">
        <v>58</v>
      </c>
      <c r="AE1004" s="2">
        <v>100</v>
      </c>
      <c r="AF1004" s="21">
        <f t="shared" si="384"/>
        <v>4.88708367181153</v>
      </c>
      <c r="AG1004" s="4">
        <f t="shared" si="385"/>
        <v>2.5182778229082</v>
      </c>
      <c r="AH1004" s="4">
        <f t="shared" si="386"/>
        <v>0.0812347684809098</v>
      </c>
      <c r="AI1004" s="2">
        <v>4318</v>
      </c>
      <c r="AJ1004" s="2">
        <v>575</v>
      </c>
      <c r="AK1004" s="2">
        <v>92</v>
      </c>
      <c r="AL1004" s="2">
        <v>77</v>
      </c>
      <c r="AM1004" s="2">
        <v>78</v>
      </c>
      <c r="AN1004" s="2">
        <v>3</v>
      </c>
      <c r="AO1004" s="2">
        <v>0</v>
      </c>
      <c r="AP1004" s="2">
        <f t="shared" si="379"/>
        <v>4973</v>
      </c>
      <c r="AQ1004" s="2">
        <f t="shared" si="380"/>
        <v>80.7961007311129</v>
      </c>
      <c r="AR1004" s="5">
        <f t="shared" si="381"/>
        <v>151.896669374492</v>
      </c>
    </row>
    <row r="1005" spans="1:44">
      <c r="A1005" s="2">
        <v>20260402</v>
      </c>
      <c r="B1005" s="2" t="s">
        <v>2055</v>
      </c>
      <c r="C1005" s="2" t="s">
        <v>2056</v>
      </c>
      <c r="D1005" s="2">
        <v>0</v>
      </c>
      <c r="E1005" s="2">
        <v>8</v>
      </c>
      <c r="F1005" s="2">
        <v>2</v>
      </c>
      <c r="G1005" s="2">
        <v>4</v>
      </c>
      <c r="H1005" s="2">
        <v>33</v>
      </c>
      <c r="I1005" s="3">
        <v>31</v>
      </c>
      <c r="J1005" s="2">
        <v>16</v>
      </c>
      <c r="K1005" s="2">
        <v>8</v>
      </c>
      <c r="L1005" s="2">
        <v>0</v>
      </c>
      <c r="M1005" s="2">
        <v>31</v>
      </c>
      <c r="N1005" s="2">
        <v>44</v>
      </c>
      <c r="O1005" s="2">
        <v>2</v>
      </c>
      <c r="P1005" s="3">
        <v>31</v>
      </c>
      <c r="Q1005" s="2">
        <v>2</v>
      </c>
      <c r="R1005" s="2">
        <v>225</v>
      </c>
      <c r="S1005" s="2">
        <v>3</v>
      </c>
      <c r="T1005" s="2">
        <v>15</v>
      </c>
      <c r="U1005" s="2">
        <v>2</v>
      </c>
      <c r="V1005" s="1">
        <f t="shared" si="382"/>
        <v>160</v>
      </c>
      <c r="W1005" s="2">
        <v>4</v>
      </c>
      <c r="X1005" s="2">
        <v>5</v>
      </c>
      <c r="Y1005" s="2">
        <v>0</v>
      </c>
      <c r="Z1005" s="2">
        <f t="shared" si="387"/>
        <v>11</v>
      </c>
      <c r="AA1005" s="2">
        <f t="shared" si="388"/>
        <v>171</v>
      </c>
      <c r="AB1005" s="2">
        <v>6145</v>
      </c>
      <c r="AC1005" s="20">
        <f t="shared" si="383"/>
        <v>2.78275020341741</v>
      </c>
      <c r="AD1005" s="2" t="s">
        <v>58</v>
      </c>
      <c r="AE1005" s="2">
        <v>100</v>
      </c>
      <c r="AF1005" s="21">
        <f t="shared" si="384"/>
        <v>5.23157038242474</v>
      </c>
      <c r="AG1005" s="4">
        <f t="shared" si="385"/>
        <v>2.60374288039056</v>
      </c>
      <c r="AH1005" s="4">
        <f t="shared" si="386"/>
        <v>0.179007323026851</v>
      </c>
      <c r="AI1005" s="2">
        <v>6233</v>
      </c>
      <c r="AJ1005" s="2">
        <v>777</v>
      </c>
      <c r="AK1005" s="2">
        <v>163</v>
      </c>
      <c r="AL1005" s="2">
        <v>129</v>
      </c>
      <c r="AM1005" s="2">
        <v>94</v>
      </c>
      <c r="AN1005" s="2">
        <v>3</v>
      </c>
      <c r="AO1005" s="2">
        <v>0</v>
      </c>
      <c r="AP1005" s="2">
        <f t="shared" si="379"/>
        <v>7142</v>
      </c>
      <c r="AQ1005" s="2">
        <f t="shared" si="380"/>
        <v>116.224572823434</v>
      </c>
      <c r="AR1005" s="5">
        <f t="shared" si="381"/>
        <v>218.502196908055</v>
      </c>
    </row>
    <row r="1006" spans="1:44">
      <c r="A1006" s="2">
        <v>20260402</v>
      </c>
      <c r="B1006" s="2" t="s">
        <v>2057</v>
      </c>
      <c r="C1006" s="2" t="s">
        <v>2058</v>
      </c>
      <c r="D1006" s="2">
        <v>0</v>
      </c>
      <c r="E1006" s="2">
        <v>8</v>
      </c>
      <c r="F1006" s="2">
        <v>0</v>
      </c>
      <c r="G1006" s="2">
        <v>10</v>
      </c>
      <c r="H1006" s="2">
        <v>24</v>
      </c>
      <c r="I1006" s="3">
        <v>22</v>
      </c>
      <c r="J1006" s="2">
        <v>12</v>
      </c>
      <c r="K1006" s="2">
        <v>4</v>
      </c>
      <c r="L1006" s="2">
        <v>0</v>
      </c>
      <c r="M1006" s="2">
        <v>17</v>
      </c>
      <c r="N1006" s="2">
        <v>21</v>
      </c>
      <c r="O1006" s="2">
        <v>2</v>
      </c>
      <c r="P1006" s="3">
        <v>16</v>
      </c>
      <c r="Q1006" s="2">
        <v>1</v>
      </c>
      <c r="R1006" s="2">
        <v>216</v>
      </c>
      <c r="S1006" s="2">
        <v>2</v>
      </c>
      <c r="T1006" s="2">
        <v>16</v>
      </c>
      <c r="U1006" s="2">
        <v>1</v>
      </c>
      <c r="V1006" s="1">
        <f t="shared" si="382"/>
        <v>114</v>
      </c>
      <c r="W1006" s="2">
        <v>1</v>
      </c>
      <c r="X1006" s="2">
        <v>5</v>
      </c>
      <c r="Y1006" s="2">
        <v>1</v>
      </c>
      <c r="Z1006" s="2">
        <f t="shared" si="387"/>
        <v>8</v>
      </c>
      <c r="AA1006" s="2">
        <f t="shared" si="388"/>
        <v>122</v>
      </c>
      <c r="AB1006" s="2">
        <v>3925</v>
      </c>
      <c r="AC1006" s="20">
        <f t="shared" si="383"/>
        <v>3.10828025477707</v>
      </c>
      <c r="AD1006" s="2" t="s">
        <v>58</v>
      </c>
      <c r="AE1006" s="2">
        <v>100</v>
      </c>
      <c r="AF1006" s="21">
        <f t="shared" si="384"/>
        <v>5.84356687898089</v>
      </c>
      <c r="AG1006" s="4">
        <f t="shared" si="385"/>
        <v>2.90445859872611</v>
      </c>
      <c r="AH1006" s="4">
        <f t="shared" si="386"/>
        <v>0.203821656050955</v>
      </c>
      <c r="AI1006" s="2">
        <v>9456</v>
      </c>
      <c r="AJ1006" s="2">
        <v>1829</v>
      </c>
      <c r="AK1006" s="2">
        <v>227</v>
      </c>
      <c r="AL1006" s="2">
        <v>3157</v>
      </c>
      <c r="AM1006" s="2">
        <v>26404</v>
      </c>
      <c r="AN1006" s="2">
        <v>381</v>
      </c>
      <c r="AO1006" s="2">
        <v>0</v>
      </c>
      <c r="AP1006" s="2">
        <f t="shared" si="379"/>
        <v>14823</v>
      </c>
      <c r="AQ1006" s="2">
        <f t="shared" si="380"/>
        <v>377.656050955414</v>
      </c>
      <c r="AR1006" s="5">
        <f t="shared" si="381"/>
        <v>709.993375796178</v>
      </c>
    </row>
    <row r="1007" spans="1:44">
      <c r="A1007" s="2">
        <v>20260402</v>
      </c>
      <c r="B1007" s="2" t="s">
        <v>2059</v>
      </c>
      <c r="C1007" s="2" t="s">
        <v>2060</v>
      </c>
      <c r="D1007" s="2">
        <v>0</v>
      </c>
      <c r="E1007" s="2">
        <v>6</v>
      </c>
      <c r="F1007" s="2">
        <v>0</v>
      </c>
      <c r="G1007" s="2">
        <v>3</v>
      </c>
      <c r="H1007" s="2">
        <v>9</v>
      </c>
      <c r="I1007" s="3">
        <v>20</v>
      </c>
      <c r="J1007" s="2">
        <v>20</v>
      </c>
      <c r="K1007" s="2">
        <v>0</v>
      </c>
      <c r="L1007" s="2">
        <v>0</v>
      </c>
      <c r="M1007" s="2">
        <v>14</v>
      </c>
      <c r="N1007" s="2">
        <v>45</v>
      </c>
      <c r="O1007" s="2">
        <v>1</v>
      </c>
      <c r="P1007" s="3">
        <v>10</v>
      </c>
      <c r="Q1007" s="2">
        <v>1</v>
      </c>
      <c r="R1007" s="2">
        <v>192</v>
      </c>
      <c r="S1007" s="2">
        <v>5</v>
      </c>
      <c r="T1007" s="2">
        <v>14</v>
      </c>
      <c r="U1007" s="2">
        <v>0</v>
      </c>
      <c r="V1007" s="1">
        <f t="shared" si="382"/>
        <v>84</v>
      </c>
      <c r="W1007" s="2">
        <v>0</v>
      </c>
      <c r="X1007" s="2">
        <v>6</v>
      </c>
      <c r="Y1007" s="2">
        <v>0</v>
      </c>
      <c r="Z1007" s="2">
        <f t="shared" si="387"/>
        <v>6</v>
      </c>
      <c r="AA1007" s="2">
        <f t="shared" si="388"/>
        <v>90</v>
      </c>
      <c r="AB1007" s="2">
        <v>3104</v>
      </c>
      <c r="AC1007" s="20">
        <f t="shared" si="383"/>
        <v>2.89948453608247</v>
      </c>
      <c r="AD1007" s="2" t="s">
        <v>58</v>
      </c>
      <c r="AE1007" s="2">
        <v>100</v>
      </c>
      <c r="AF1007" s="21">
        <f t="shared" si="384"/>
        <v>5.45103092783505</v>
      </c>
      <c r="AG1007" s="4">
        <f t="shared" si="385"/>
        <v>2.70618556701031</v>
      </c>
      <c r="AH1007" s="4">
        <f t="shared" si="386"/>
        <v>0.193298969072165</v>
      </c>
      <c r="AI1007" s="2">
        <v>3467</v>
      </c>
      <c r="AJ1007" s="2">
        <v>401</v>
      </c>
      <c r="AK1007" s="2">
        <v>673</v>
      </c>
      <c r="AL1007" s="2">
        <v>74</v>
      </c>
      <c r="AM1007" s="2">
        <v>75</v>
      </c>
      <c r="AN1007" s="2">
        <v>8</v>
      </c>
      <c r="AO1007" s="2">
        <v>0</v>
      </c>
      <c r="AP1007" s="2">
        <f t="shared" si="379"/>
        <v>3950</v>
      </c>
      <c r="AQ1007" s="2">
        <f t="shared" si="380"/>
        <v>127.255154639175</v>
      </c>
      <c r="AR1007" s="5">
        <f t="shared" si="381"/>
        <v>239.239690721649</v>
      </c>
    </row>
    <row r="1008" spans="1:44">
      <c r="A1008" s="2">
        <v>20260402</v>
      </c>
      <c r="B1008" s="2" t="s">
        <v>2061</v>
      </c>
      <c r="C1008" s="2" t="s">
        <v>2062</v>
      </c>
      <c r="D1008" s="2">
        <v>1</v>
      </c>
      <c r="E1008" s="2">
        <v>31</v>
      </c>
      <c r="F1008" s="2">
        <v>1</v>
      </c>
      <c r="G1008" s="2">
        <v>10</v>
      </c>
      <c r="H1008" s="2">
        <v>27</v>
      </c>
      <c r="I1008" s="3">
        <v>18</v>
      </c>
      <c r="J1008" s="2">
        <v>25</v>
      </c>
      <c r="K1008" s="2">
        <v>3</v>
      </c>
      <c r="L1008" s="2">
        <v>0</v>
      </c>
      <c r="M1008" s="2">
        <v>21</v>
      </c>
      <c r="N1008" s="2">
        <v>38</v>
      </c>
      <c r="O1008" s="2">
        <v>0</v>
      </c>
      <c r="P1008" s="3">
        <v>17</v>
      </c>
      <c r="Q1008" s="2">
        <v>3</v>
      </c>
      <c r="R1008" s="2">
        <v>1840</v>
      </c>
      <c r="S1008" s="2">
        <v>3</v>
      </c>
      <c r="T1008" s="2">
        <v>20</v>
      </c>
      <c r="U1008" s="2">
        <v>1</v>
      </c>
      <c r="V1008" s="1">
        <v>0</v>
      </c>
      <c r="W1008" s="2">
        <v>2</v>
      </c>
      <c r="X1008" s="2">
        <v>2</v>
      </c>
      <c r="Y1008" s="2">
        <v>0</v>
      </c>
      <c r="Z1008" s="2">
        <f t="shared" si="387"/>
        <v>5</v>
      </c>
      <c r="AA1008" s="2">
        <f t="shared" si="388"/>
        <v>142</v>
      </c>
      <c r="AB1008" s="2">
        <v>6155</v>
      </c>
      <c r="AC1008" s="20">
        <f t="shared" si="383"/>
        <v>2.30706742485784</v>
      </c>
      <c r="AD1008" s="2" t="s">
        <v>58</v>
      </c>
      <c r="AE1008" s="2">
        <v>100</v>
      </c>
      <c r="AF1008" s="21">
        <f t="shared" si="384"/>
        <v>4.33728675873274</v>
      </c>
      <c r="AG1008" s="4">
        <f t="shared" si="385"/>
        <v>0</v>
      </c>
      <c r="AH1008" s="4">
        <f t="shared" si="386"/>
        <v>0.0812347684809098</v>
      </c>
      <c r="AI1008" s="2">
        <v>4459</v>
      </c>
      <c r="AJ1008" s="2">
        <v>590</v>
      </c>
      <c r="AK1008" s="2">
        <v>146</v>
      </c>
      <c r="AL1008" s="2">
        <v>130</v>
      </c>
      <c r="AM1008" s="2">
        <v>93</v>
      </c>
      <c r="AN1008" s="2">
        <v>7</v>
      </c>
      <c r="AO1008" s="2">
        <v>0</v>
      </c>
      <c r="AP1008" s="2">
        <f t="shared" si="379"/>
        <v>5186</v>
      </c>
      <c r="AQ1008" s="2">
        <f t="shared" si="380"/>
        <v>84.2567018683997</v>
      </c>
      <c r="AR1008" s="5">
        <f t="shared" si="381"/>
        <v>158.402599512591</v>
      </c>
    </row>
    <row r="1009" spans="1:44">
      <c r="A1009" s="2">
        <v>20260402</v>
      </c>
      <c r="B1009" s="2" t="s">
        <v>2063</v>
      </c>
      <c r="C1009" s="2" t="s">
        <v>2064</v>
      </c>
      <c r="D1009" s="2">
        <v>0</v>
      </c>
      <c r="E1009" s="2">
        <v>8</v>
      </c>
      <c r="F1009" s="2">
        <v>3</v>
      </c>
      <c r="G1009" s="2">
        <v>4</v>
      </c>
      <c r="H1009" s="2">
        <v>12</v>
      </c>
      <c r="I1009" s="3">
        <v>7</v>
      </c>
      <c r="J1009" s="2">
        <v>13</v>
      </c>
      <c r="K1009" s="2">
        <v>2</v>
      </c>
      <c r="L1009" s="2">
        <v>0</v>
      </c>
      <c r="M1009" s="2">
        <v>26</v>
      </c>
      <c r="N1009" s="2">
        <v>23</v>
      </c>
      <c r="O1009" s="2">
        <v>0</v>
      </c>
      <c r="P1009" s="3">
        <v>9</v>
      </c>
      <c r="Q1009" s="2">
        <v>0</v>
      </c>
      <c r="R1009" s="2">
        <v>817</v>
      </c>
      <c r="S1009" s="2">
        <v>1</v>
      </c>
      <c r="T1009" s="2">
        <v>6</v>
      </c>
      <c r="U1009" s="2">
        <v>1</v>
      </c>
      <c r="V1009" s="1">
        <f>AA1009-Y1009-X1009-W1009-U1009</f>
        <v>74</v>
      </c>
      <c r="W1009" s="2">
        <v>4</v>
      </c>
      <c r="X1009" s="2">
        <v>1</v>
      </c>
      <c r="Y1009" s="2">
        <v>0</v>
      </c>
      <c r="Z1009" s="2">
        <f t="shared" si="387"/>
        <v>6</v>
      </c>
      <c r="AA1009" s="2">
        <f t="shared" ref="AA1009:AA1014" si="389">G1009+H1009+I1009+J1009+K1009+L1009+M1009+P1009+T1009+U1009</f>
        <v>80</v>
      </c>
      <c r="AB1009" s="2">
        <v>3106</v>
      </c>
      <c r="AC1009" s="20">
        <f t="shared" si="383"/>
        <v>2.5756600128783</v>
      </c>
      <c r="AD1009" s="2" t="s">
        <v>58</v>
      </c>
      <c r="AE1009" s="2">
        <v>100</v>
      </c>
      <c r="AF1009" s="21">
        <f t="shared" si="384"/>
        <v>4.8422408242112</v>
      </c>
      <c r="AG1009" s="4">
        <f t="shared" si="385"/>
        <v>2.38248551191243</v>
      </c>
      <c r="AH1009" s="4">
        <f t="shared" si="386"/>
        <v>0.193174500965873</v>
      </c>
      <c r="AI1009" s="2">
        <v>2119</v>
      </c>
      <c r="AJ1009" s="2">
        <v>221</v>
      </c>
      <c r="AK1009" s="2">
        <v>56</v>
      </c>
      <c r="AL1009" s="2">
        <v>35</v>
      </c>
      <c r="AM1009" s="2">
        <v>54</v>
      </c>
      <c r="AN1009" s="2">
        <v>1</v>
      </c>
      <c r="AO1009" s="2">
        <v>0</v>
      </c>
      <c r="AP1009" s="2">
        <f t="shared" si="379"/>
        <v>2376</v>
      </c>
      <c r="AQ1009" s="2">
        <f t="shared" si="380"/>
        <v>76.4971023824855</v>
      </c>
      <c r="AR1009" s="5">
        <f t="shared" si="381"/>
        <v>143.814552479073</v>
      </c>
    </row>
    <row r="1010" spans="1:44">
      <c r="A1010" s="2">
        <v>20260402</v>
      </c>
      <c r="B1010" s="2" t="s">
        <v>2065</v>
      </c>
      <c r="C1010" s="2" t="s">
        <v>2066</v>
      </c>
      <c r="D1010" s="2">
        <v>0</v>
      </c>
      <c r="E1010" s="2">
        <v>8</v>
      </c>
      <c r="F1010" s="2">
        <v>4</v>
      </c>
      <c r="G1010" s="2">
        <v>1</v>
      </c>
      <c r="H1010" s="2">
        <v>8</v>
      </c>
      <c r="I1010" s="3">
        <v>20</v>
      </c>
      <c r="J1010" s="2">
        <v>12</v>
      </c>
      <c r="K1010" s="2">
        <v>0</v>
      </c>
      <c r="L1010" s="2">
        <v>1</v>
      </c>
      <c r="M1010" s="2">
        <v>11</v>
      </c>
      <c r="N1010" s="2">
        <v>4</v>
      </c>
      <c r="O1010" s="2">
        <v>0</v>
      </c>
      <c r="P1010" s="3">
        <v>17</v>
      </c>
      <c r="Q1010" s="2">
        <v>1</v>
      </c>
      <c r="R1010" s="2">
        <v>34</v>
      </c>
      <c r="S1010" s="2">
        <v>1</v>
      </c>
      <c r="T1010" s="2">
        <v>2</v>
      </c>
      <c r="U1010" s="2">
        <v>0</v>
      </c>
      <c r="V1010" s="1">
        <f t="shared" ref="V1010:V1017" si="390">AA1010-Y1010-X1010-W1010-U1010</f>
        <v>57</v>
      </c>
      <c r="W1010" s="2">
        <v>1</v>
      </c>
      <c r="X1010" s="2">
        <v>14</v>
      </c>
      <c r="Y1010" s="2">
        <v>0</v>
      </c>
      <c r="Z1010" s="2">
        <f t="shared" ref="Z1010:Z1020" si="391">Y1010+X1010+W1010+U1010</f>
        <v>15</v>
      </c>
      <c r="AA1010" s="2">
        <f t="shared" si="389"/>
        <v>72</v>
      </c>
      <c r="AB1010" s="2">
        <v>1687</v>
      </c>
      <c r="AC1010" s="20">
        <f t="shared" si="383"/>
        <v>4.2679312388856</v>
      </c>
      <c r="AD1010" s="2" t="s">
        <v>257</v>
      </c>
      <c r="AE1010" s="2">
        <v>188</v>
      </c>
      <c r="AF1010" s="21">
        <f t="shared" si="384"/>
        <v>4.2679312388856</v>
      </c>
      <c r="AG1010" s="4">
        <f t="shared" si="385"/>
        <v>3.3787788974511</v>
      </c>
      <c r="AH1010" s="4">
        <f t="shared" si="386"/>
        <v>0.889152341434499</v>
      </c>
      <c r="AI1010" s="2">
        <v>904</v>
      </c>
      <c r="AJ1010" s="2">
        <v>269</v>
      </c>
      <c r="AK1010" s="2">
        <v>14</v>
      </c>
      <c r="AL1010" s="2">
        <v>14</v>
      </c>
      <c r="AM1010" s="2">
        <v>14</v>
      </c>
      <c r="AN1010" s="2">
        <v>1</v>
      </c>
      <c r="AO1010" s="2">
        <v>0</v>
      </c>
      <c r="AP1010" s="2">
        <f t="shared" si="379"/>
        <v>1188</v>
      </c>
      <c r="AQ1010" s="2">
        <f t="shared" si="380"/>
        <v>70.4208654416123</v>
      </c>
      <c r="AR1010" s="5">
        <f t="shared" si="381"/>
        <v>132.391227030231</v>
      </c>
    </row>
    <row r="1011" spans="1:44">
      <c r="A1011" s="2">
        <v>20260402</v>
      </c>
      <c r="B1011" s="2" t="s">
        <v>2067</v>
      </c>
      <c r="C1011" s="2" t="s">
        <v>2068</v>
      </c>
      <c r="D1011" s="2">
        <v>0</v>
      </c>
      <c r="E1011" s="2">
        <v>3</v>
      </c>
      <c r="F1011" s="2">
        <v>4</v>
      </c>
      <c r="G1011" s="2">
        <v>0</v>
      </c>
      <c r="H1011" s="2">
        <v>3</v>
      </c>
      <c r="I1011" s="3">
        <v>11</v>
      </c>
      <c r="J1011" s="2">
        <v>3</v>
      </c>
      <c r="K1011" s="2">
        <v>2</v>
      </c>
      <c r="L1011" s="2">
        <v>0</v>
      </c>
      <c r="M1011" s="2">
        <v>8</v>
      </c>
      <c r="N1011" s="2">
        <v>5</v>
      </c>
      <c r="O1011" s="2">
        <v>4</v>
      </c>
      <c r="P1011" s="3">
        <v>28</v>
      </c>
      <c r="Q1011" s="2">
        <v>2</v>
      </c>
      <c r="R1011" s="2">
        <v>7</v>
      </c>
      <c r="S1011" s="2">
        <v>1</v>
      </c>
      <c r="T1011" s="2">
        <v>1</v>
      </c>
      <c r="U1011" s="2">
        <v>0</v>
      </c>
      <c r="V1011" s="1">
        <f t="shared" si="390"/>
        <v>41</v>
      </c>
      <c r="W1011" s="2">
        <v>2</v>
      </c>
      <c r="X1011" s="2">
        <v>13</v>
      </c>
      <c r="Y1011" s="2">
        <v>0</v>
      </c>
      <c r="Z1011" s="2">
        <f t="shared" si="391"/>
        <v>15</v>
      </c>
      <c r="AA1011" s="2">
        <f t="shared" si="389"/>
        <v>56</v>
      </c>
      <c r="AB1011" s="2">
        <v>3405</v>
      </c>
      <c r="AC1011" s="20">
        <f t="shared" si="383"/>
        <v>1.6446402349486</v>
      </c>
      <c r="AD1011" s="2" t="s">
        <v>257</v>
      </c>
      <c r="AE1011" s="2">
        <v>188</v>
      </c>
      <c r="AF1011" s="21">
        <f t="shared" si="384"/>
        <v>1.6446402349486</v>
      </c>
      <c r="AG1011" s="4">
        <f t="shared" si="385"/>
        <v>1.20411160058737</v>
      </c>
      <c r="AH1011" s="4">
        <f t="shared" si="386"/>
        <v>0.440528634361234</v>
      </c>
      <c r="AI1011" s="2">
        <v>660</v>
      </c>
      <c r="AJ1011" s="2">
        <v>222</v>
      </c>
      <c r="AK1011" s="2">
        <v>14</v>
      </c>
      <c r="AL1011" s="2">
        <v>13</v>
      </c>
      <c r="AM1011" s="2">
        <v>16</v>
      </c>
      <c r="AN1011" s="2">
        <v>3</v>
      </c>
      <c r="AO1011" s="2">
        <v>0</v>
      </c>
      <c r="AP1011" s="2">
        <f t="shared" si="379"/>
        <v>898</v>
      </c>
      <c r="AQ1011" s="2">
        <f t="shared" si="380"/>
        <v>26.3729809104258</v>
      </c>
      <c r="AR1011" s="5">
        <f t="shared" si="381"/>
        <v>49.5812041116006</v>
      </c>
    </row>
    <row r="1012" spans="1:44">
      <c r="A1012" s="2">
        <v>20260402</v>
      </c>
      <c r="B1012" s="8" t="s">
        <v>2069</v>
      </c>
      <c r="C1012" s="2" t="s">
        <v>2070</v>
      </c>
      <c r="D1012" s="2">
        <v>0</v>
      </c>
      <c r="E1012" s="2">
        <v>2</v>
      </c>
      <c r="F1012" s="2">
        <v>7</v>
      </c>
      <c r="G1012" s="2">
        <v>4</v>
      </c>
      <c r="H1012" s="2">
        <v>2</v>
      </c>
      <c r="I1012" s="3">
        <v>30</v>
      </c>
      <c r="J1012" s="2">
        <v>12</v>
      </c>
      <c r="K1012" s="2">
        <v>4</v>
      </c>
      <c r="L1012" s="2">
        <v>0</v>
      </c>
      <c r="M1012" s="2">
        <v>22</v>
      </c>
      <c r="N1012" s="2">
        <v>2</v>
      </c>
      <c r="O1012" s="2">
        <v>0</v>
      </c>
      <c r="P1012" s="3">
        <v>21</v>
      </c>
      <c r="Q1012" s="2">
        <v>4</v>
      </c>
      <c r="R1012" s="2">
        <v>33</v>
      </c>
      <c r="S1012" s="2">
        <v>2</v>
      </c>
      <c r="T1012" s="2">
        <v>4</v>
      </c>
      <c r="U1012" s="2">
        <v>0</v>
      </c>
      <c r="V1012" s="1">
        <f t="shared" si="390"/>
        <v>76</v>
      </c>
      <c r="W1012" s="2">
        <v>1</v>
      </c>
      <c r="X1012" s="2">
        <v>22</v>
      </c>
      <c r="Y1012" s="2">
        <v>0</v>
      </c>
      <c r="Z1012" s="2">
        <f t="shared" si="391"/>
        <v>23</v>
      </c>
      <c r="AA1012" s="2">
        <f t="shared" si="389"/>
        <v>99</v>
      </c>
      <c r="AB1012" s="2">
        <v>3215</v>
      </c>
      <c r="AC1012" s="20">
        <f t="shared" ref="AC1012:AC1020" si="392">AA1012/AB1012*100</f>
        <v>3.07931570762053</v>
      </c>
      <c r="AD1012" s="2" t="s">
        <v>257</v>
      </c>
      <c r="AE1012" s="2">
        <v>188</v>
      </c>
      <c r="AF1012" s="21">
        <f t="shared" si="384"/>
        <v>3.07931570762053</v>
      </c>
      <c r="AG1012" s="4">
        <f t="shared" si="385"/>
        <v>2.36391912908243</v>
      </c>
      <c r="AH1012" s="4">
        <f t="shared" si="386"/>
        <v>0.715396578538103</v>
      </c>
      <c r="AI1012" s="2">
        <v>939</v>
      </c>
      <c r="AJ1012" s="2">
        <v>296</v>
      </c>
      <c r="AK1012" s="2">
        <v>13</v>
      </c>
      <c r="AL1012" s="2">
        <v>17</v>
      </c>
      <c r="AM1012" s="2">
        <v>14</v>
      </c>
      <c r="AN1012" s="2">
        <v>2</v>
      </c>
      <c r="AO1012" s="2">
        <v>0</v>
      </c>
      <c r="AP1012" s="2">
        <f t="shared" ref="AP1012:AP1019" si="393">AI1012+AJ1012+AL1012+AN1012</f>
        <v>1254</v>
      </c>
      <c r="AQ1012" s="2">
        <f t="shared" ref="AQ1012:AQ1019" si="394">AP1012/AB1012*100</f>
        <v>39.00466562986</v>
      </c>
      <c r="AR1012" s="5">
        <f t="shared" ref="AR1012:AR1019" si="395">AQ1012*1.88</f>
        <v>73.3287713841368</v>
      </c>
    </row>
    <row r="1013" spans="1:44">
      <c r="A1013" s="2">
        <v>20260402</v>
      </c>
      <c r="B1013" s="8" t="s">
        <v>2071</v>
      </c>
      <c r="C1013" s="2" t="s">
        <v>2072</v>
      </c>
      <c r="D1013" s="2">
        <v>0</v>
      </c>
      <c r="E1013" s="2">
        <v>0</v>
      </c>
      <c r="F1013" s="2">
        <v>0</v>
      </c>
      <c r="G1013" s="2">
        <v>1</v>
      </c>
      <c r="H1013" s="2">
        <v>0</v>
      </c>
      <c r="I1013" s="3">
        <v>14</v>
      </c>
      <c r="J1013" s="2">
        <v>2</v>
      </c>
      <c r="K1013" s="2">
        <v>5</v>
      </c>
      <c r="L1013" s="2">
        <v>1</v>
      </c>
      <c r="M1013" s="2">
        <v>7</v>
      </c>
      <c r="N1013" s="2">
        <v>3</v>
      </c>
      <c r="O1013" s="2">
        <v>0</v>
      </c>
      <c r="P1013" s="3">
        <v>9</v>
      </c>
      <c r="Q1013" s="2">
        <v>0</v>
      </c>
      <c r="R1013" s="2">
        <v>1</v>
      </c>
      <c r="S1013" s="2">
        <v>0</v>
      </c>
      <c r="T1013" s="2">
        <v>1</v>
      </c>
      <c r="U1013" s="2">
        <v>0</v>
      </c>
      <c r="V1013" s="1">
        <f t="shared" si="390"/>
        <v>31</v>
      </c>
      <c r="W1013" s="2">
        <v>0</v>
      </c>
      <c r="X1013" s="2">
        <v>9</v>
      </c>
      <c r="Y1013" s="2">
        <v>0</v>
      </c>
      <c r="Z1013" s="2">
        <f t="shared" si="391"/>
        <v>9</v>
      </c>
      <c r="AA1013" s="2">
        <f t="shared" si="389"/>
        <v>40</v>
      </c>
      <c r="AB1013" s="2">
        <v>2127</v>
      </c>
      <c r="AC1013" s="20">
        <f t="shared" si="392"/>
        <v>1.88058298072402</v>
      </c>
      <c r="AD1013" s="2" t="s">
        <v>257</v>
      </c>
      <c r="AE1013" s="2">
        <v>150</v>
      </c>
      <c r="AF1013" s="21">
        <f t="shared" ref="AF1013:AF1020" si="396">188/AE1013*AC1013</f>
        <v>2.35699733584078</v>
      </c>
      <c r="AG1013" s="4">
        <f t="shared" ref="AG1013:AG1031" si="397">V1013/AB1013*100</f>
        <v>1.45745181006112</v>
      </c>
      <c r="AH1013" s="4">
        <f t="shared" ref="AH1013:AH1031" si="398">Z1013/AB1013*100</f>
        <v>0.423131170662906</v>
      </c>
      <c r="AI1013" s="2">
        <v>1015</v>
      </c>
      <c r="AJ1013" s="2">
        <v>196</v>
      </c>
      <c r="AK1013" s="2">
        <v>54</v>
      </c>
      <c r="AL1013" s="2">
        <v>10</v>
      </c>
      <c r="AM1013" s="2">
        <v>5</v>
      </c>
      <c r="AN1013" s="2">
        <v>1</v>
      </c>
      <c r="AO1013" s="2">
        <v>0</v>
      </c>
      <c r="AP1013" s="2">
        <f t="shared" si="393"/>
        <v>1222</v>
      </c>
      <c r="AQ1013" s="2">
        <f t="shared" si="394"/>
        <v>57.4518100611189</v>
      </c>
      <c r="AR1013" s="5">
        <f t="shared" si="395"/>
        <v>108.009402914904</v>
      </c>
    </row>
    <row r="1014" spans="1:44">
      <c r="A1014" s="2">
        <v>20260402</v>
      </c>
      <c r="B1014" s="8" t="s">
        <v>2073</v>
      </c>
      <c r="C1014" s="2" t="s">
        <v>2074</v>
      </c>
      <c r="D1014" s="2">
        <v>0</v>
      </c>
      <c r="E1014" s="2">
        <v>1</v>
      </c>
      <c r="F1014" s="2">
        <v>1</v>
      </c>
      <c r="G1014" s="2">
        <v>1</v>
      </c>
      <c r="H1014" s="2">
        <v>2</v>
      </c>
      <c r="I1014" s="3">
        <v>5</v>
      </c>
      <c r="J1014" s="2">
        <v>5</v>
      </c>
      <c r="K1014" s="2">
        <v>1</v>
      </c>
      <c r="L1014" s="2">
        <v>0</v>
      </c>
      <c r="M1014" s="2">
        <v>11</v>
      </c>
      <c r="N1014" s="2">
        <v>2</v>
      </c>
      <c r="O1014" s="2">
        <v>7</v>
      </c>
      <c r="P1014" s="3">
        <v>5</v>
      </c>
      <c r="Q1014" s="2">
        <v>0</v>
      </c>
      <c r="R1014" s="2">
        <v>7</v>
      </c>
      <c r="S1014" s="2">
        <v>0</v>
      </c>
      <c r="T1014" s="2">
        <v>0</v>
      </c>
      <c r="U1014" s="2">
        <v>0</v>
      </c>
      <c r="V1014" s="1">
        <f t="shared" si="390"/>
        <v>26</v>
      </c>
      <c r="W1014" s="2">
        <v>0</v>
      </c>
      <c r="X1014" s="2">
        <v>4</v>
      </c>
      <c r="Y1014" s="2">
        <v>0</v>
      </c>
      <c r="Z1014" s="2">
        <f t="shared" si="391"/>
        <v>4</v>
      </c>
      <c r="AA1014" s="2">
        <f t="shared" si="389"/>
        <v>30</v>
      </c>
      <c r="AB1014" s="2">
        <v>2067</v>
      </c>
      <c r="AC1014" s="20">
        <f t="shared" si="392"/>
        <v>1.45137880986938</v>
      </c>
      <c r="AD1014" s="2" t="s">
        <v>257</v>
      </c>
      <c r="AE1014" s="2">
        <v>150</v>
      </c>
      <c r="AF1014" s="21">
        <f t="shared" si="396"/>
        <v>1.81906144170295</v>
      </c>
      <c r="AG1014" s="4">
        <f t="shared" si="397"/>
        <v>1.25786163522013</v>
      </c>
      <c r="AH1014" s="4">
        <f t="shared" si="398"/>
        <v>0.19351717464925</v>
      </c>
      <c r="AI1014" s="2">
        <v>615</v>
      </c>
      <c r="AJ1014" s="2">
        <v>167</v>
      </c>
      <c r="AK1014" s="2">
        <v>74</v>
      </c>
      <c r="AL1014" s="2">
        <v>7</v>
      </c>
      <c r="AM1014" s="2">
        <v>9</v>
      </c>
      <c r="AN1014" s="2">
        <v>1</v>
      </c>
      <c r="AO1014" s="2">
        <v>0</v>
      </c>
      <c r="AP1014" s="2">
        <f t="shared" si="393"/>
        <v>790</v>
      </c>
      <c r="AQ1014" s="2">
        <f t="shared" si="394"/>
        <v>38.2196419932269</v>
      </c>
      <c r="AR1014" s="5">
        <f t="shared" si="395"/>
        <v>71.8529269472666</v>
      </c>
    </row>
    <row r="1015" spans="1:44">
      <c r="A1015" s="2">
        <v>20260402</v>
      </c>
      <c r="B1015" s="8" t="s">
        <v>2075</v>
      </c>
      <c r="C1015" s="2" t="s">
        <v>2076</v>
      </c>
      <c r="D1015" s="2">
        <v>1</v>
      </c>
      <c r="E1015" s="2">
        <v>2</v>
      </c>
      <c r="F1015" s="2">
        <v>3</v>
      </c>
      <c r="G1015" s="2">
        <v>2</v>
      </c>
      <c r="H1015" s="2">
        <v>0</v>
      </c>
      <c r="I1015" s="3">
        <v>17</v>
      </c>
      <c r="J1015" s="2">
        <v>3</v>
      </c>
      <c r="K1015" s="2">
        <v>2</v>
      </c>
      <c r="L1015" s="2">
        <v>0</v>
      </c>
      <c r="M1015" s="2">
        <v>5</v>
      </c>
      <c r="N1015" s="2">
        <v>2</v>
      </c>
      <c r="O1015" s="2">
        <v>13</v>
      </c>
      <c r="P1015" s="3">
        <v>10</v>
      </c>
      <c r="Q1015" s="2">
        <v>3</v>
      </c>
      <c r="R1015" s="2">
        <v>7</v>
      </c>
      <c r="S1015" s="2">
        <v>2</v>
      </c>
      <c r="T1015" s="2">
        <v>0</v>
      </c>
      <c r="U1015" s="2">
        <v>0</v>
      </c>
      <c r="V1015" s="1">
        <f t="shared" si="390"/>
        <v>26</v>
      </c>
      <c r="W1015" s="2">
        <v>1</v>
      </c>
      <c r="X1015" s="2">
        <v>12</v>
      </c>
      <c r="Y1015" s="2">
        <v>0</v>
      </c>
      <c r="Z1015" s="2">
        <f t="shared" si="391"/>
        <v>13</v>
      </c>
      <c r="AA1015" s="2">
        <f t="shared" si="388"/>
        <v>39</v>
      </c>
      <c r="AB1015" s="2">
        <v>4105</v>
      </c>
      <c r="AC1015" s="20">
        <f t="shared" si="392"/>
        <v>0.950060901339829</v>
      </c>
      <c r="AD1015" s="2" t="s">
        <v>257</v>
      </c>
      <c r="AE1015" s="2">
        <v>150</v>
      </c>
      <c r="AF1015" s="21">
        <f t="shared" si="396"/>
        <v>1.19074299634592</v>
      </c>
      <c r="AG1015" s="4">
        <f t="shared" si="397"/>
        <v>0.633373934226553</v>
      </c>
      <c r="AH1015" s="4">
        <f t="shared" si="398"/>
        <v>0.316686967113276</v>
      </c>
      <c r="AI1015" s="2">
        <v>1454</v>
      </c>
      <c r="AJ1015" s="2">
        <v>305</v>
      </c>
      <c r="AK1015" s="2">
        <v>188</v>
      </c>
      <c r="AL1015" s="2">
        <v>23</v>
      </c>
      <c r="AM1015" s="2">
        <v>7</v>
      </c>
      <c r="AN1015" s="2">
        <v>0</v>
      </c>
      <c r="AO1015" s="2">
        <v>0</v>
      </c>
      <c r="AP1015" s="2">
        <f t="shared" si="393"/>
        <v>1782</v>
      </c>
      <c r="AQ1015" s="2">
        <f t="shared" si="394"/>
        <v>43.4104750304507</v>
      </c>
      <c r="AR1015" s="5">
        <f t="shared" si="395"/>
        <v>81.6116930572473</v>
      </c>
    </row>
    <row r="1016" spans="1:44">
      <c r="A1016" s="2">
        <v>20260402</v>
      </c>
      <c r="B1016" s="8" t="s">
        <v>2077</v>
      </c>
      <c r="C1016" s="2" t="s">
        <v>2078</v>
      </c>
      <c r="D1016" s="2">
        <v>0</v>
      </c>
      <c r="E1016" s="2">
        <v>4</v>
      </c>
      <c r="F1016" s="2">
        <v>3</v>
      </c>
      <c r="G1016" s="2">
        <v>3</v>
      </c>
      <c r="H1016" s="2">
        <v>1</v>
      </c>
      <c r="I1016" s="3">
        <v>14</v>
      </c>
      <c r="J1016" s="2">
        <v>7</v>
      </c>
      <c r="K1016" s="2">
        <v>3</v>
      </c>
      <c r="L1016" s="2">
        <v>0</v>
      </c>
      <c r="M1016" s="2">
        <v>7</v>
      </c>
      <c r="N1016" s="2">
        <v>9</v>
      </c>
      <c r="O1016" s="2">
        <v>4</v>
      </c>
      <c r="P1016" s="3">
        <v>11</v>
      </c>
      <c r="Q1016" s="2">
        <v>2</v>
      </c>
      <c r="R1016" s="2">
        <v>20</v>
      </c>
      <c r="S1016" s="2">
        <v>1</v>
      </c>
      <c r="T1016" s="2">
        <v>2</v>
      </c>
      <c r="U1016" s="2">
        <v>0</v>
      </c>
      <c r="V1016" s="1">
        <f t="shared" si="390"/>
        <v>39</v>
      </c>
      <c r="W1016" s="2">
        <v>0</v>
      </c>
      <c r="X1016" s="2">
        <v>9</v>
      </c>
      <c r="Y1016" s="2">
        <v>0</v>
      </c>
      <c r="Z1016" s="2">
        <f t="shared" si="391"/>
        <v>9</v>
      </c>
      <c r="AA1016" s="2">
        <f t="shared" si="388"/>
        <v>48</v>
      </c>
      <c r="AB1016" s="2">
        <v>4105</v>
      </c>
      <c r="AC1016" s="20">
        <f t="shared" si="392"/>
        <v>1.16930572472594</v>
      </c>
      <c r="AD1016" s="2" t="s">
        <v>257</v>
      </c>
      <c r="AE1016" s="2">
        <v>150</v>
      </c>
      <c r="AF1016" s="21">
        <f t="shared" si="396"/>
        <v>1.46552984165652</v>
      </c>
      <c r="AG1016" s="4">
        <f t="shared" si="397"/>
        <v>0.950060901339829</v>
      </c>
      <c r="AH1016" s="4">
        <f t="shared" si="398"/>
        <v>0.219244823386114</v>
      </c>
      <c r="AI1016" s="2">
        <v>1405</v>
      </c>
      <c r="AJ1016" s="2">
        <v>292</v>
      </c>
      <c r="AK1016" s="2">
        <v>168</v>
      </c>
      <c r="AL1016" s="2">
        <v>8</v>
      </c>
      <c r="AM1016" s="2">
        <v>12</v>
      </c>
      <c r="AN1016" s="2">
        <v>3</v>
      </c>
      <c r="AO1016" s="2">
        <v>0</v>
      </c>
      <c r="AP1016" s="2">
        <f t="shared" ref="AP1016:AP1032" si="399">AI1016+AJ1016+AL1016+AN1016</f>
        <v>1708</v>
      </c>
      <c r="AQ1016" s="2">
        <f t="shared" ref="AQ1016:AQ1032" si="400">AP1016/AB1016*100</f>
        <v>41.6077953714982</v>
      </c>
      <c r="AR1016" s="5">
        <f t="shared" ref="AR1016:AR1032" si="401">AQ1016*1.88</f>
        <v>78.2226552984166</v>
      </c>
    </row>
    <row r="1017" spans="1:44">
      <c r="A1017" s="2">
        <v>20260402</v>
      </c>
      <c r="B1017" s="8" t="s">
        <v>2079</v>
      </c>
      <c r="C1017" s="2" t="s">
        <v>2080</v>
      </c>
      <c r="D1017" s="2">
        <v>0</v>
      </c>
      <c r="E1017" s="2">
        <v>0</v>
      </c>
      <c r="F1017" s="2">
        <v>2</v>
      </c>
      <c r="G1017" s="2">
        <v>4</v>
      </c>
      <c r="H1017" s="2">
        <v>1</v>
      </c>
      <c r="I1017" s="3">
        <v>11</v>
      </c>
      <c r="J1017" s="2">
        <v>3</v>
      </c>
      <c r="K1017" s="2">
        <v>0</v>
      </c>
      <c r="L1017" s="2">
        <v>0</v>
      </c>
      <c r="M1017" s="2">
        <v>7</v>
      </c>
      <c r="N1017" s="2">
        <v>2</v>
      </c>
      <c r="O1017" s="2">
        <v>4</v>
      </c>
      <c r="P1017" s="3">
        <v>9</v>
      </c>
      <c r="Q1017" s="2">
        <v>0</v>
      </c>
      <c r="R1017" s="2">
        <v>8</v>
      </c>
      <c r="S1017" s="2">
        <v>0</v>
      </c>
      <c r="T1017" s="2">
        <v>1</v>
      </c>
      <c r="U1017" s="2">
        <v>0</v>
      </c>
      <c r="V1017" s="1">
        <f t="shared" si="390"/>
        <v>27</v>
      </c>
      <c r="W1017" s="2">
        <v>1</v>
      </c>
      <c r="X1017" s="2">
        <v>8</v>
      </c>
      <c r="Y1017" s="2">
        <v>0</v>
      </c>
      <c r="Z1017" s="2">
        <f t="shared" ref="Z1017:Z1033" si="402">Y1017+X1017+W1017+U1017</f>
        <v>9</v>
      </c>
      <c r="AA1017" s="2">
        <f t="shared" ref="AA1017:AA1033" si="403">G1017+H1017+I1017+J1017+K1017+L1017+M1017+P1017+T1017+U1017</f>
        <v>36</v>
      </c>
      <c r="AB1017" s="2">
        <v>4105</v>
      </c>
      <c r="AC1017" s="20">
        <f t="shared" si="392"/>
        <v>0.876979293544458</v>
      </c>
      <c r="AD1017" s="2" t="s">
        <v>257</v>
      </c>
      <c r="AE1017" s="2">
        <v>150</v>
      </c>
      <c r="AF1017" s="21">
        <f t="shared" si="396"/>
        <v>1.09914738124239</v>
      </c>
      <c r="AG1017" s="4">
        <f t="shared" si="397"/>
        <v>0.657734470158344</v>
      </c>
      <c r="AH1017" s="4">
        <f t="shared" si="398"/>
        <v>0.219244823386114</v>
      </c>
      <c r="AI1017" s="2">
        <v>1208</v>
      </c>
      <c r="AJ1017" s="2">
        <v>260</v>
      </c>
      <c r="AK1017" s="2">
        <v>184</v>
      </c>
      <c r="AL1017" s="2">
        <v>25</v>
      </c>
      <c r="AM1017" s="2">
        <v>33</v>
      </c>
      <c r="AN1017" s="2">
        <v>1</v>
      </c>
      <c r="AO1017" s="2">
        <v>0</v>
      </c>
      <c r="AP1017" s="2">
        <f t="shared" si="399"/>
        <v>1494</v>
      </c>
      <c r="AQ1017" s="2">
        <f t="shared" si="400"/>
        <v>36.394640682095</v>
      </c>
      <c r="AR1017" s="5">
        <f t="shared" si="401"/>
        <v>68.4219244823386</v>
      </c>
    </row>
    <row r="1018" spans="1:44">
      <c r="A1018" s="2">
        <v>20260403</v>
      </c>
      <c r="B1018" s="8" t="s">
        <v>2081</v>
      </c>
      <c r="C1018" s="2" t="s">
        <v>2082</v>
      </c>
      <c r="D1018" s="2">
        <v>5</v>
      </c>
      <c r="E1018" s="2">
        <v>1</v>
      </c>
      <c r="F1018" s="2">
        <v>4</v>
      </c>
      <c r="G1018" s="2">
        <v>7</v>
      </c>
      <c r="H1018" s="2">
        <v>15</v>
      </c>
      <c r="I1018" s="3">
        <v>92</v>
      </c>
      <c r="J1018" s="2">
        <v>241</v>
      </c>
      <c r="K1018" s="2">
        <v>1</v>
      </c>
      <c r="L1018" s="2">
        <v>0</v>
      </c>
      <c r="M1018" s="2">
        <v>9</v>
      </c>
      <c r="N1018" s="2">
        <v>546</v>
      </c>
      <c r="O1018" s="2">
        <v>7</v>
      </c>
      <c r="P1018" s="3">
        <v>18</v>
      </c>
      <c r="Q1018" s="2">
        <v>4</v>
      </c>
      <c r="R1018" s="2">
        <v>24</v>
      </c>
      <c r="S1018" s="2">
        <v>3</v>
      </c>
      <c r="T1018" s="2">
        <v>8</v>
      </c>
      <c r="U1018" s="2">
        <v>0</v>
      </c>
      <c r="V1018" s="1">
        <f t="shared" ref="V1018:V1033" si="404">AA1018-Y1018-X1018-W1018-U1018</f>
        <v>364</v>
      </c>
      <c r="W1018" s="2">
        <v>2</v>
      </c>
      <c r="X1018" s="2">
        <v>25</v>
      </c>
      <c r="Y1018" s="2">
        <v>0</v>
      </c>
      <c r="Z1018" s="2">
        <f t="shared" si="402"/>
        <v>27</v>
      </c>
      <c r="AA1018" s="2">
        <f t="shared" si="403"/>
        <v>391</v>
      </c>
      <c r="AB1018" s="2">
        <v>3490</v>
      </c>
      <c r="AC1018" s="20">
        <f t="shared" si="392"/>
        <v>11.2034383954155</v>
      </c>
      <c r="AD1018" s="2" t="s">
        <v>676</v>
      </c>
      <c r="AE1018" s="2">
        <v>165</v>
      </c>
      <c r="AF1018" s="21">
        <f t="shared" si="396"/>
        <v>12.7651298081098</v>
      </c>
      <c r="AG1018" s="4">
        <f t="shared" si="397"/>
        <v>10.4297994269341</v>
      </c>
      <c r="AH1018" s="4">
        <f t="shared" si="398"/>
        <v>0.773638968481375</v>
      </c>
      <c r="AI1018" s="2">
        <v>2006</v>
      </c>
      <c r="AJ1018" s="2">
        <v>630</v>
      </c>
      <c r="AK1018" s="2">
        <v>75</v>
      </c>
      <c r="AL1018" s="2">
        <v>202</v>
      </c>
      <c r="AM1018" s="2">
        <v>52</v>
      </c>
      <c r="AN1018" s="2">
        <v>9</v>
      </c>
      <c r="AO1018" s="2">
        <v>0</v>
      </c>
      <c r="AP1018" s="2">
        <f t="shared" si="399"/>
        <v>2847</v>
      </c>
      <c r="AQ1018" s="2">
        <f t="shared" si="400"/>
        <v>81.5759312320917</v>
      </c>
      <c r="AR1018" s="5">
        <f t="shared" si="401"/>
        <v>153.362750716332</v>
      </c>
    </row>
    <row r="1019" spans="1:44">
      <c r="A1019" s="2">
        <v>20260403</v>
      </c>
      <c r="B1019" s="2" t="s">
        <v>2083</v>
      </c>
      <c r="C1019" s="2" t="s">
        <v>2084</v>
      </c>
      <c r="D1019" s="2">
        <v>3</v>
      </c>
      <c r="E1019" s="2">
        <v>3</v>
      </c>
      <c r="F1019" s="2">
        <v>3</v>
      </c>
      <c r="G1019" s="2">
        <v>2</v>
      </c>
      <c r="H1019" s="2">
        <v>3</v>
      </c>
      <c r="I1019" s="3">
        <v>27</v>
      </c>
      <c r="J1019" s="2">
        <v>6</v>
      </c>
      <c r="K1019" s="2">
        <v>1</v>
      </c>
      <c r="L1019" s="2">
        <v>1</v>
      </c>
      <c r="M1019" s="2">
        <v>10</v>
      </c>
      <c r="N1019" s="2">
        <v>14</v>
      </c>
      <c r="O1019" s="2">
        <v>9</v>
      </c>
      <c r="P1019" s="3">
        <v>8</v>
      </c>
      <c r="Q1019" s="2">
        <v>11</v>
      </c>
      <c r="R1019" s="2">
        <v>29</v>
      </c>
      <c r="S1019" s="2">
        <v>4</v>
      </c>
      <c r="T1019" s="2">
        <v>3</v>
      </c>
      <c r="U1019" s="2">
        <v>0</v>
      </c>
      <c r="V1019" s="1">
        <f t="shared" si="404"/>
        <v>42</v>
      </c>
      <c r="W1019" s="2">
        <v>2</v>
      </c>
      <c r="X1019" s="2">
        <v>17</v>
      </c>
      <c r="Y1019" s="2">
        <v>0</v>
      </c>
      <c r="Z1019" s="2">
        <f t="shared" si="402"/>
        <v>19</v>
      </c>
      <c r="AA1019" s="2">
        <f t="shared" si="403"/>
        <v>61</v>
      </c>
      <c r="AB1019" s="2">
        <v>2990</v>
      </c>
      <c r="AC1019" s="20">
        <f t="shared" si="392"/>
        <v>2.04013377926421</v>
      </c>
      <c r="AD1019" s="2" t="s">
        <v>676</v>
      </c>
      <c r="AE1019" s="2">
        <v>165</v>
      </c>
      <c r="AF1019" s="21">
        <f t="shared" si="396"/>
        <v>2.3245160636465</v>
      </c>
      <c r="AG1019" s="4">
        <f t="shared" si="397"/>
        <v>1.40468227424749</v>
      </c>
      <c r="AH1019" s="4">
        <f t="shared" si="398"/>
        <v>0.635451505016722</v>
      </c>
      <c r="AI1019" s="2">
        <v>1079</v>
      </c>
      <c r="AJ1019" s="2">
        <v>316</v>
      </c>
      <c r="AK1019" s="2">
        <v>86</v>
      </c>
      <c r="AL1019" s="2">
        <v>41</v>
      </c>
      <c r="AM1019" s="2">
        <v>9</v>
      </c>
      <c r="AN1019" s="2">
        <v>2</v>
      </c>
      <c r="AO1019" s="2">
        <v>0</v>
      </c>
      <c r="AP1019" s="2">
        <f t="shared" si="399"/>
        <v>1438</v>
      </c>
      <c r="AQ1019" s="2">
        <f t="shared" si="400"/>
        <v>48.0936454849498</v>
      </c>
      <c r="AR1019" s="5">
        <f t="shared" si="401"/>
        <v>90.4160535117057</v>
      </c>
    </row>
    <row r="1020" spans="1:44">
      <c r="A1020" s="2">
        <v>20260403</v>
      </c>
      <c r="B1020" s="2" t="s">
        <v>2085</v>
      </c>
      <c r="C1020" s="2" t="s">
        <v>2086</v>
      </c>
      <c r="D1020" s="2">
        <v>1</v>
      </c>
      <c r="E1020" s="2">
        <v>5</v>
      </c>
      <c r="F1020" s="2">
        <v>2</v>
      </c>
      <c r="G1020" s="2">
        <v>3</v>
      </c>
      <c r="H1020" s="2">
        <v>6</v>
      </c>
      <c r="I1020" s="3">
        <v>11</v>
      </c>
      <c r="J1020" s="2">
        <v>2</v>
      </c>
      <c r="K1020" s="2">
        <v>1</v>
      </c>
      <c r="L1020" s="2">
        <v>0</v>
      </c>
      <c r="M1020" s="2">
        <v>1</v>
      </c>
      <c r="N1020" s="2">
        <v>5</v>
      </c>
      <c r="O1020" s="2">
        <v>8</v>
      </c>
      <c r="P1020" s="3">
        <v>15</v>
      </c>
      <c r="Q1020" s="2">
        <v>1</v>
      </c>
      <c r="R1020" s="2">
        <v>38</v>
      </c>
      <c r="S1020" s="2">
        <v>1</v>
      </c>
      <c r="T1020" s="2">
        <v>5</v>
      </c>
      <c r="U1020" s="2">
        <v>0</v>
      </c>
      <c r="V1020" s="1">
        <f t="shared" si="404"/>
        <v>30</v>
      </c>
      <c r="W1020" s="2">
        <v>5</v>
      </c>
      <c r="X1020" s="2">
        <v>9</v>
      </c>
      <c r="Y1020" s="2">
        <v>0</v>
      </c>
      <c r="Z1020" s="2">
        <f t="shared" si="402"/>
        <v>14</v>
      </c>
      <c r="AA1020" s="2">
        <f t="shared" si="403"/>
        <v>44</v>
      </c>
      <c r="AB1020" s="2">
        <v>2990</v>
      </c>
      <c r="AC1020" s="20">
        <f t="shared" ref="AC1020:AC1031" si="405">AA1020/AB1020*100</f>
        <v>1.47157190635451</v>
      </c>
      <c r="AD1020" s="2" t="s">
        <v>676</v>
      </c>
      <c r="AE1020" s="2">
        <v>165</v>
      </c>
      <c r="AF1020" s="21">
        <f>188/AE1020*AC1032</f>
        <v>3.13679303152987</v>
      </c>
      <c r="AG1020" s="4">
        <f t="shared" si="397"/>
        <v>1.00334448160535</v>
      </c>
      <c r="AH1020" s="4">
        <f t="shared" si="398"/>
        <v>0.468227424749164</v>
      </c>
      <c r="AI1020" s="2">
        <v>1236</v>
      </c>
      <c r="AJ1020" s="2">
        <v>218</v>
      </c>
      <c r="AK1020" s="2">
        <v>102</v>
      </c>
      <c r="AL1020" s="2">
        <v>10</v>
      </c>
      <c r="AM1020" s="2">
        <v>12</v>
      </c>
      <c r="AN1020" s="2">
        <v>0</v>
      </c>
      <c r="AO1020" s="2">
        <v>0</v>
      </c>
      <c r="AP1020" s="2">
        <f t="shared" si="399"/>
        <v>1464</v>
      </c>
      <c r="AQ1020" s="2">
        <f t="shared" si="400"/>
        <v>48.9632107023411</v>
      </c>
      <c r="AR1020" s="5">
        <f t="shared" si="401"/>
        <v>92.0508361204013</v>
      </c>
    </row>
    <row r="1021" spans="1:44">
      <c r="A1021" s="2">
        <v>20260403</v>
      </c>
      <c r="B1021" s="2" t="s">
        <v>2087</v>
      </c>
      <c r="C1021" s="2" t="s">
        <v>2088</v>
      </c>
      <c r="D1021" s="2">
        <v>4</v>
      </c>
      <c r="E1021" s="2">
        <v>11</v>
      </c>
      <c r="F1021" s="2">
        <v>22</v>
      </c>
      <c r="G1021" s="2">
        <v>2</v>
      </c>
      <c r="H1021" s="2">
        <v>3</v>
      </c>
      <c r="I1021" s="3">
        <v>21</v>
      </c>
      <c r="J1021" s="2">
        <v>7</v>
      </c>
      <c r="K1021" s="2">
        <v>3</v>
      </c>
      <c r="L1021" s="2">
        <v>0</v>
      </c>
      <c r="M1021" s="2">
        <v>5</v>
      </c>
      <c r="N1021" s="2">
        <v>4</v>
      </c>
      <c r="O1021" s="2">
        <v>10</v>
      </c>
      <c r="P1021" s="3">
        <v>6</v>
      </c>
      <c r="Q1021" s="2">
        <v>2</v>
      </c>
      <c r="R1021" s="2">
        <v>34</v>
      </c>
      <c r="S1021" s="2">
        <v>1</v>
      </c>
      <c r="T1021" s="2">
        <v>4</v>
      </c>
      <c r="U1021" s="2">
        <v>0</v>
      </c>
      <c r="V1021" s="1">
        <f t="shared" si="404"/>
        <v>39</v>
      </c>
      <c r="W1021" s="2">
        <v>2</v>
      </c>
      <c r="X1021" s="2">
        <v>9</v>
      </c>
      <c r="Y1021" s="2">
        <v>1</v>
      </c>
      <c r="Z1021" s="2">
        <f t="shared" si="402"/>
        <v>12</v>
      </c>
      <c r="AA1021" s="2">
        <f t="shared" si="403"/>
        <v>51</v>
      </c>
      <c r="AB1021" s="2">
        <v>3290</v>
      </c>
      <c r="AC1021" s="20">
        <f t="shared" si="405"/>
        <v>1.55015197568389</v>
      </c>
      <c r="AD1021" s="2" t="s">
        <v>676</v>
      </c>
      <c r="AE1021" s="2">
        <v>165</v>
      </c>
      <c r="AF1021" s="21">
        <f t="shared" ref="AF1021:AF1037" si="406">188/AE1021*AC1021</f>
        <v>1.76623376623377</v>
      </c>
      <c r="AG1021" s="4">
        <f t="shared" si="397"/>
        <v>1.1854103343465</v>
      </c>
      <c r="AH1021" s="4">
        <f t="shared" si="398"/>
        <v>0.364741641337386</v>
      </c>
      <c r="AI1021" s="2">
        <v>31</v>
      </c>
      <c r="AJ1021" s="2">
        <v>12</v>
      </c>
      <c r="AK1021" s="2">
        <v>1</v>
      </c>
      <c r="AL1021" s="2">
        <v>0</v>
      </c>
      <c r="AM1021" s="2">
        <v>0</v>
      </c>
      <c r="AN1021" s="2">
        <v>1</v>
      </c>
      <c r="AO1021" s="2">
        <v>0</v>
      </c>
      <c r="AP1021" s="2">
        <f t="shared" si="399"/>
        <v>44</v>
      </c>
      <c r="AQ1021" s="2">
        <f t="shared" ref="AQ1021:AQ1026" si="407">AP1021/AB1021*100</f>
        <v>1.33738601823708</v>
      </c>
      <c r="AR1021" s="5">
        <f t="shared" si="401"/>
        <v>2.51428571428571</v>
      </c>
    </row>
    <row r="1022" spans="1:44">
      <c r="A1022" s="2">
        <v>20260403</v>
      </c>
      <c r="B1022" s="2" t="s">
        <v>2089</v>
      </c>
      <c r="C1022" s="2" t="s">
        <v>2090</v>
      </c>
      <c r="D1022" s="2">
        <v>0</v>
      </c>
      <c r="E1022" s="2">
        <v>9</v>
      </c>
      <c r="F1022" s="2">
        <v>10</v>
      </c>
      <c r="G1022" s="2">
        <v>2</v>
      </c>
      <c r="H1022" s="2">
        <v>1</v>
      </c>
      <c r="I1022" s="3">
        <v>13</v>
      </c>
      <c r="J1022" s="2">
        <v>5</v>
      </c>
      <c r="K1022" s="2">
        <v>0</v>
      </c>
      <c r="L1022" s="2">
        <v>0</v>
      </c>
      <c r="M1022" s="2">
        <v>4</v>
      </c>
      <c r="N1022" s="2">
        <v>5</v>
      </c>
      <c r="O1022" s="2">
        <v>11</v>
      </c>
      <c r="P1022" s="3">
        <v>6</v>
      </c>
      <c r="Q1022" s="2">
        <v>4</v>
      </c>
      <c r="R1022" s="2">
        <v>25</v>
      </c>
      <c r="S1022" s="2">
        <v>1</v>
      </c>
      <c r="T1022" s="2">
        <v>4</v>
      </c>
      <c r="U1022" s="2">
        <v>0</v>
      </c>
      <c r="V1022" s="1">
        <f t="shared" si="404"/>
        <v>20</v>
      </c>
      <c r="W1022" s="2">
        <v>5</v>
      </c>
      <c r="X1022" s="2">
        <v>10</v>
      </c>
      <c r="Y1022" s="2">
        <v>0</v>
      </c>
      <c r="Z1022" s="2">
        <f t="shared" si="402"/>
        <v>15</v>
      </c>
      <c r="AA1022" s="2">
        <f t="shared" si="403"/>
        <v>35</v>
      </c>
      <c r="AB1022" s="2">
        <v>2990</v>
      </c>
      <c r="AC1022" s="20">
        <f t="shared" si="405"/>
        <v>1.17056856187291</v>
      </c>
      <c r="AD1022" s="2" t="s">
        <v>676</v>
      </c>
      <c r="AE1022" s="2">
        <v>165</v>
      </c>
      <c r="AF1022" s="21">
        <f t="shared" si="406"/>
        <v>1.33373872504307</v>
      </c>
      <c r="AG1022" s="4">
        <f t="shared" si="397"/>
        <v>0.668896321070234</v>
      </c>
      <c r="AH1022" s="4">
        <f t="shared" si="398"/>
        <v>0.501672240802676</v>
      </c>
      <c r="AI1022" s="2">
        <v>800</v>
      </c>
      <c r="AJ1022" s="2">
        <v>204</v>
      </c>
      <c r="AK1022" s="2">
        <v>37</v>
      </c>
      <c r="AL1022" s="2">
        <v>12</v>
      </c>
      <c r="AM1022" s="2">
        <v>1</v>
      </c>
      <c r="AN1022" s="2">
        <v>4</v>
      </c>
      <c r="AO1022" s="2">
        <v>0</v>
      </c>
      <c r="AP1022" s="2">
        <f t="shared" si="399"/>
        <v>1020</v>
      </c>
      <c r="AQ1022" s="2">
        <f t="shared" si="407"/>
        <v>34.1137123745819</v>
      </c>
      <c r="AR1022" s="5">
        <f t="shared" si="401"/>
        <v>64.133779264214</v>
      </c>
    </row>
    <row r="1023" spans="1:44">
      <c r="A1023" s="2">
        <v>20260403</v>
      </c>
      <c r="B1023" s="2" t="s">
        <v>2091</v>
      </c>
      <c r="C1023" s="2" t="s">
        <v>2092</v>
      </c>
      <c r="D1023" s="2">
        <v>2</v>
      </c>
      <c r="E1023" s="2">
        <v>40</v>
      </c>
      <c r="F1023" s="2">
        <v>63</v>
      </c>
      <c r="G1023" s="2">
        <v>7</v>
      </c>
      <c r="H1023" s="2">
        <v>5</v>
      </c>
      <c r="I1023" s="3">
        <v>24</v>
      </c>
      <c r="J1023" s="2">
        <v>19</v>
      </c>
      <c r="K1023" s="2">
        <v>9</v>
      </c>
      <c r="L1023" s="2">
        <v>0</v>
      </c>
      <c r="M1023" s="2">
        <v>9</v>
      </c>
      <c r="N1023" s="2">
        <v>10</v>
      </c>
      <c r="O1023" s="2">
        <v>36</v>
      </c>
      <c r="P1023" s="3">
        <v>12</v>
      </c>
      <c r="Q1023" s="2">
        <v>38</v>
      </c>
      <c r="R1023" s="2">
        <v>83</v>
      </c>
      <c r="S1023" s="2">
        <v>4</v>
      </c>
      <c r="T1023" s="2">
        <v>3</v>
      </c>
      <c r="U1023" s="2">
        <v>1</v>
      </c>
      <c r="V1023" s="1">
        <f t="shared" si="404"/>
        <v>77</v>
      </c>
      <c r="W1023" s="2">
        <v>0</v>
      </c>
      <c r="X1023" s="2">
        <v>11</v>
      </c>
      <c r="Y1023" s="2">
        <v>0</v>
      </c>
      <c r="Z1023" s="2">
        <f t="shared" si="402"/>
        <v>12</v>
      </c>
      <c r="AA1023" s="2">
        <f t="shared" si="403"/>
        <v>89</v>
      </c>
      <c r="AB1023" s="2">
        <v>3590</v>
      </c>
      <c r="AC1023" s="20">
        <f t="shared" si="405"/>
        <v>2.47910863509749</v>
      </c>
      <c r="AD1023" s="2" t="s">
        <v>676</v>
      </c>
      <c r="AE1023" s="2">
        <v>165</v>
      </c>
      <c r="AF1023" s="21">
        <f t="shared" si="406"/>
        <v>2.82468135392926</v>
      </c>
      <c r="AG1023" s="4">
        <f t="shared" si="397"/>
        <v>2.14484679665738</v>
      </c>
      <c r="AH1023" s="4">
        <f t="shared" si="398"/>
        <v>0.334261838440111</v>
      </c>
      <c r="AI1023" s="2">
        <v>1108</v>
      </c>
      <c r="AJ1023" s="2">
        <v>305</v>
      </c>
      <c r="AK1023" s="2">
        <v>21</v>
      </c>
      <c r="AL1023" s="2">
        <v>29</v>
      </c>
      <c r="AM1023" s="2">
        <v>53</v>
      </c>
      <c r="AN1023" s="2">
        <v>1</v>
      </c>
      <c r="AO1023" s="2">
        <v>0</v>
      </c>
      <c r="AP1023" s="2">
        <f t="shared" si="399"/>
        <v>1443</v>
      </c>
      <c r="AQ1023" s="2">
        <f t="shared" si="407"/>
        <v>40.1949860724234</v>
      </c>
      <c r="AR1023" s="5">
        <f t="shared" si="401"/>
        <v>75.566573816156</v>
      </c>
    </row>
    <row r="1024" spans="1:44">
      <c r="A1024" s="2">
        <v>20260403</v>
      </c>
      <c r="B1024" s="2" t="s">
        <v>2093</v>
      </c>
      <c r="C1024" s="2" t="s">
        <v>2094</v>
      </c>
      <c r="D1024" s="2">
        <v>2</v>
      </c>
      <c r="E1024" s="2">
        <v>5</v>
      </c>
      <c r="F1024" s="2">
        <v>9</v>
      </c>
      <c r="G1024" s="2">
        <v>2</v>
      </c>
      <c r="H1024" s="2">
        <v>3</v>
      </c>
      <c r="I1024" s="3">
        <v>39</v>
      </c>
      <c r="J1024" s="2">
        <v>6</v>
      </c>
      <c r="K1024" s="2">
        <v>2</v>
      </c>
      <c r="L1024" s="2">
        <v>0</v>
      </c>
      <c r="M1024" s="2">
        <v>6</v>
      </c>
      <c r="N1024" s="2">
        <v>6</v>
      </c>
      <c r="O1024" s="2">
        <v>20</v>
      </c>
      <c r="P1024" s="3">
        <v>9</v>
      </c>
      <c r="Q1024" s="2">
        <v>4</v>
      </c>
      <c r="R1024" s="2">
        <v>41</v>
      </c>
      <c r="S1024" s="2">
        <v>1</v>
      </c>
      <c r="T1024" s="2">
        <v>3</v>
      </c>
      <c r="U1024" s="2">
        <v>0</v>
      </c>
      <c r="V1024" s="1">
        <f t="shared" si="404"/>
        <v>70</v>
      </c>
      <c r="W1024" s="2">
        <v>0</v>
      </c>
      <c r="X1024" s="2">
        <v>0</v>
      </c>
      <c r="Y1024" s="2">
        <v>0</v>
      </c>
      <c r="Z1024" s="2">
        <f t="shared" si="402"/>
        <v>0</v>
      </c>
      <c r="AA1024" s="2">
        <f t="shared" si="403"/>
        <v>70</v>
      </c>
      <c r="AB1024" s="2">
        <v>3250</v>
      </c>
      <c r="AC1024" s="20">
        <f t="shared" si="405"/>
        <v>2.15384615384615</v>
      </c>
      <c r="AD1024" s="2" t="s">
        <v>676</v>
      </c>
      <c r="AE1024" s="2">
        <v>165</v>
      </c>
      <c r="AF1024" s="21">
        <f t="shared" si="406"/>
        <v>2.45407925407925</v>
      </c>
      <c r="AG1024" s="4">
        <f t="shared" si="397"/>
        <v>2.15384615384615</v>
      </c>
      <c r="AH1024" s="4">
        <f t="shared" si="398"/>
        <v>0</v>
      </c>
      <c r="AI1024" s="2">
        <v>41</v>
      </c>
      <c r="AJ1024" s="2">
        <v>11</v>
      </c>
      <c r="AK1024" s="2">
        <v>0</v>
      </c>
      <c r="AL1024" s="2">
        <v>3</v>
      </c>
      <c r="AM1024" s="2">
        <v>0</v>
      </c>
      <c r="AN1024" s="2">
        <v>0</v>
      </c>
      <c r="AO1024" s="2">
        <v>0</v>
      </c>
      <c r="AP1024" s="2">
        <f t="shared" si="399"/>
        <v>55</v>
      </c>
      <c r="AQ1024" s="2">
        <f t="shared" si="407"/>
        <v>1.69230769230769</v>
      </c>
      <c r="AR1024" s="5">
        <f t="shared" si="401"/>
        <v>3.18153846153846</v>
      </c>
    </row>
    <row r="1025" spans="1:44">
      <c r="A1025" s="2">
        <v>20260403</v>
      </c>
      <c r="B1025" s="2" t="s">
        <v>2095</v>
      </c>
      <c r="C1025" s="2" t="s">
        <v>2096</v>
      </c>
      <c r="D1025" s="2">
        <v>2</v>
      </c>
      <c r="E1025" s="2">
        <v>5</v>
      </c>
      <c r="F1025" s="2">
        <v>9</v>
      </c>
      <c r="G1025" s="2">
        <v>2</v>
      </c>
      <c r="H1025" s="2">
        <v>5</v>
      </c>
      <c r="I1025" s="3">
        <v>13</v>
      </c>
      <c r="J1025" s="2">
        <v>15</v>
      </c>
      <c r="K1025" s="2">
        <v>5</v>
      </c>
      <c r="L1025" s="2">
        <v>0</v>
      </c>
      <c r="M1025" s="2">
        <v>6</v>
      </c>
      <c r="N1025" s="2">
        <v>16</v>
      </c>
      <c r="O1025" s="2">
        <v>14</v>
      </c>
      <c r="P1025" s="3">
        <v>3</v>
      </c>
      <c r="Q1025" s="2">
        <v>7</v>
      </c>
      <c r="R1025" s="2">
        <v>270</v>
      </c>
      <c r="S1025" s="2">
        <v>10</v>
      </c>
      <c r="T1025" s="2">
        <v>7</v>
      </c>
      <c r="U1025" s="2">
        <v>0</v>
      </c>
      <c r="V1025" s="1">
        <f t="shared" si="404"/>
        <v>50</v>
      </c>
      <c r="W1025" s="2">
        <v>2</v>
      </c>
      <c r="X1025" s="2">
        <v>3</v>
      </c>
      <c r="Y1025" s="2">
        <v>1</v>
      </c>
      <c r="Z1025" s="2">
        <f t="shared" si="402"/>
        <v>6</v>
      </c>
      <c r="AA1025" s="2">
        <f t="shared" si="403"/>
        <v>56</v>
      </c>
      <c r="AB1025" s="2">
        <v>3260</v>
      </c>
      <c r="AC1025" s="20">
        <f t="shared" si="405"/>
        <v>1.71779141104294</v>
      </c>
      <c r="AD1025" s="2" t="s">
        <v>676</v>
      </c>
      <c r="AE1025" s="2">
        <v>165</v>
      </c>
      <c r="AF1025" s="21">
        <f t="shared" si="406"/>
        <v>1.95724112288529</v>
      </c>
      <c r="AG1025" s="4">
        <f t="shared" si="397"/>
        <v>1.53374233128834</v>
      </c>
      <c r="AH1025" s="4">
        <f t="shared" si="398"/>
        <v>0.184049079754601</v>
      </c>
      <c r="AI1025" s="2">
        <v>1789</v>
      </c>
      <c r="AJ1025" s="2">
        <v>250</v>
      </c>
      <c r="AK1025" s="2">
        <v>37</v>
      </c>
      <c r="AL1025" s="2">
        <v>33</v>
      </c>
      <c r="AM1025" s="2">
        <v>8</v>
      </c>
      <c r="AN1025" s="2">
        <v>2</v>
      </c>
      <c r="AO1025" s="2">
        <v>0</v>
      </c>
      <c r="AP1025" s="2">
        <f t="shared" si="399"/>
        <v>2074</v>
      </c>
      <c r="AQ1025" s="2">
        <f t="shared" si="407"/>
        <v>63.6196319018405</v>
      </c>
      <c r="AR1025" s="5">
        <f t="shared" si="401"/>
        <v>119.60490797546</v>
      </c>
    </row>
    <row r="1026" spans="1:44">
      <c r="A1026" s="2">
        <v>20260403</v>
      </c>
      <c r="B1026" s="2" t="s">
        <v>2097</v>
      </c>
      <c r="C1026" s="2" t="s">
        <v>2098</v>
      </c>
      <c r="D1026" s="2">
        <v>1</v>
      </c>
      <c r="E1026" s="2">
        <v>32</v>
      </c>
      <c r="F1026" s="2">
        <v>7</v>
      </c>
      <c r="G1026" s="2">
        <v>2</v>
      </c>
      <c r="H1026" s="2">
        <v>2</v>
      </c>
      <c r="I1026" s="3">
        <v>11</v>
      </c>
      <c r="J1026" s="2">
        <v>7</v>
      </c>
      <c r="K1026" s="2">
        <v>3</v>
      </c>
      <c r="L1026" s="2">
        <v>0</v>
      </c>
      <c r="M1026" s="2">
        <v>2</v>
      </c>
      <c r="N1026" s="2">
        <v>25</v>
      </c>
      <c r="O1026" s="2">
        <v>7</v>
      </c>
      <c r="P1026" s="3">
        <v>4</v>
      </c>
      <c r="Q1026" s="2">
        <v>10</v>
      </c>
      <c r="R1026" s="2">
        <v>221</v>
      </c>
      <c r="S1026" s="2">
        <v>10</v>
      </c>
      <c r="T1026" s="2">
        <v>5</v>
      </c>
      <c r="U1026" s="2">
        <v>0</v>
      </c>
      <c r="V1026" s="1">
        <f t="shared" si="404"/>
        <v>36</v>
      </c>
      <c r="W1026" s="2">
        <v>0</v>
      </c>
      <c r="X1026" s="2">
        <v>0</v>
      </c>
      <c r="Y1026" s="2">
        <v>0</v>
      </c>
      <c r="Z1026" s="2">
        <f t="shared" si="402"/>
        <v>0</v>
      </c>
      <c r="AA1026" s="2">
        <f t="shared" si="403"/>
        <v>36</v>
      </c>
      <c r="AB1026" s="2">
        <v>3130</v>
      </c>
      <c r="AC1026" s="20">
        <f t="shared" si="405"/>
        <v>1.15015974440895</v>
      </c>
      <c r="AD1026" s="2" t="s">
        <v>676</v>
      </c>
      <c r="AE1026" s="2">
        <v>165</v>
      </c>
      <c r="AF1026" s="21">
        <f t="shared" si="406"/>
        <v>1.31048504211444</v>
      </c>
      <c r="AG1026" s="4">
        <f t="shared" si="397"/>
        <v>1.15015974440895</v>
      </c>
      <c r="AH1026" s="4">
        <f t="shared" si="398"/>
        <v>0</v>
      </c>
      <c r="AI1026" s="2">
        <v>1278</v>
      </c>
      <c r="AJ1026" s="2">
        <v>226</v>
      </c>
      <c r="AK1026" s="2">
        <v>42</v>
      </c>
      <c r="AL1026" s="2">
        <v>21</v>
      </c>
      <c r="AM1026" s="2">
        <v>23</v>
      </c>
      <c r="AN1026" s="2">
        <v>2</v>
      </c>
      <c r="AO1026" s="2">
        <v>0</v>
      </c>
      <c r="AP1026" s="2">
        <f t="shared" si="399"/>
        <v>1527</v>
      </c>
      <c r="AQ1026" s="2">
        <f t="shared" si="407"/>
        <v>48.7859424920128</v>
      </c>
      <c r="AR1026" s="5">
        <f t="shared" si="401"/>
        <v>91.717571884984</v>
      </c>
    </row>
    <row r="1027" spans="1:44">
      <c r="A1027" s="2">
        <v>20260403</v>
      </c>
      <c r="B1027" s="2" t="s">
        <v>2099</v>
      </c>
      <c r="C1027" s="2" t="s">
        <v>2100</v>
      </c>
      <c r="D1027" s="2">
        <v>0</v>
      </c>
      <c r="E1027" s="2">
        <v>5</v>
      </c>
      <c r="F1027" s="2">
        <v>1</v>
      </c>
      <c r="G1027" s="2">
        <v>9</v>
      </c>
      <c r="H1027" s="2">
        <v>4</v>
      </c>
      <c r="I1027" s="3">
        <v>23</v>
      </c>
      <c r="J1027" s="2">
        <v>12</v>
      </c>
      <c r="K1027" s="2">
        <v>2</v>
      </c>
      <c r="L1027" s="2">
        <v>0</v>
      </c>
      <c r="M1027" s="2">
        <v>4</v>
      </c>
      <c r="N1027" s="2">
        <v>3</v>
      </c>
      <c r="O1027" s="2">
        <v>8</v>
      </c>
      <c r="P1027" s="3">
        <v>13</v>
      </c>
      <c r="Q1027" s="2">
        <v>3</v>
      </c>
      <c r="R1027" s="2">
        <v>138</v>
      </c>
      <c r="S1027" s="2">
        <v>1</v>
      </c>
      <c r="T1027" s="2">
        <v>13</v>
      </c>
      <c r="U1027" s="2">
        <v>0</v>
      </c>
      <c r="V1027" s="1">
        <f t="shared" si="404"/>
        <v>70</v>
      </c>
      <c r="W1027" s="2">
        <v>2</v>
      </c>
      <c r="X1027" s="2">
        <v>8</v>
      </c>
      <c r="Y1027" s="2">
        <v>0</v>
      </c>
      <c r="Z1027" s="2">
        <f t="shared" si="402"/>
        <v>10</v>
      </c>
      <c r="AA1027" s="2">
        <f t="shared" si="403"/>
        <v>80</v>
      </c>
      <c r="AB1027" s="2">
        <v>2990</v>
      </c>
      <c r="AC1027" s="20">
        <f t="shared" si="405"/>
        <v>2.67558528428094</v>
      </c>
      <c r="AD1027" s="2" t="s">
        <v>676</v>
      </c>
      <c r="AE1027" s="2">
        <v>165</v>
      </c>
      <c r="AF1027" s="21">
        <f t="shared" si="406"/>
        <v>3.04854565724131</v>
      </c>
      <c r="AG1027" s="4">
        <f t="shared" si="397"/>
        <v>2.34113712374582</v>
      </c>
      <c r="AH1027" s="4">
        <f t="shared" si="398"/>
        <v>0.334448160535117</v>
      </c>
      <c r="AI1027" s="2">
        <v>29</v>
      </c>
      <c r="AJ1027" s="2">
        <v>6</v>
      </c>
      <c r="AK1027" s="2">
        <v>0</v>
      </c>
      <c r="AL1027" s="2">
        <v>0</v>
      </c>
      <c r="AM1027" s="2">
        <v>1</v>
      </c>
      <c r="AN1027" s="2">
        <v>0</v>
      </c>
      <c r="AO1027" s="2">
        <v>0</v>
      </c>
      <c r="AP1027" s="2">
        <f t="shared" si="399"/>
        <v>35</v>
      </c>
      <c r="AQ1027" s="2">
        <f t="shared" si="400"/>
        <v>1.17056856187291</v>
      </c>
      <c r="AR1027" s="5">
        <f t="shared" si="401"/>
        <v>2.20066889632107</v>
      </c>
    </row>
    <row r="1028" spans="1:44">
      <c r="A1028" s="2">
        <v>20260403</v>
      </c>
      <c r="B1028" s="2" t="s">
        <v>2101</v>
      </c>
      <c r="C1028" s="2" t="s">
        <v>2102</v>
      </c>
      <c r="D1028" s="2">
        <v>4</v>
      </c>
      <c r="E1028" s="2">
        <v>2</v>
      </c>
      <c r="F1028" s="2">
        <v>8</v>
      </c>
      <c r="G1028" s="2">
        <v>9</v>
      </c>
      <c r="H1028" s="2">
        <v>9</v>
      </c>
      <c r="I1028" s="3">
        <v>9</v>
      </c>
      <c r="J1028" s="2">
        <v>13</v>
      </c>
      <c r="K1028" s="2">
        <v>0</v>
      </c>
      <c r="L1028" s="2">
        <v>1</v>
      </c>
      <c r="M1028" s="2">
        <v>3</v>
      </c>
      <c r="N1028" s="2">
        <v>8</v>
      </c>
      <c r="O1028" s="2">
        <v>11</v>
      </c>
      <c r="P1028" s="3">
        <v>17</v>
      </c>
      <c r="Q1028" s="2">
        <v>6</v>
      </c>
      <c r="R1028" s="2">
        <v>87</v>
      </c>
      <c r="S1028" s="2">
        <v>4</v>
      </c>
      <c r="T1028" s="2">
        <v>7</v>
      </c>
      <c r="U1028" s="2">
        <v>1</v>
      </c>
      <c r="V1028" s="1">
        <f t="shared" si="404"/>
        <v>65</v>
      </c>
      <c r="W1028" s="2">
        <v>2</v>
      </c>
      <c r="X1028" s="2">
        <v>1</v>
      </c>
      <c r="Y1028" s="2">
        <v>0</v>
      </c>
      <c r="Z1028" s="2">
        <f t="shared" si="402"/>
        <v>4</v>
      </c>
      <c r="AA1028" s="2">
        <f t="shared" si="403"/>
        <v>69</v>
      </c>
      <c r="AB1028" s="2">
        <v>2990</v>
      </c>
      <c r="AC1028" s="20">
        <f t="shared" si="405"/>
        <v>2.30769230769231</v>
      </c>
      <c r="AD1028" s="2" t="s">
        <v>676</v>
      </c>
      <c r="AE1028" s="2">
        <v>165</v>
      </c>
      <c r="AF1028" s="21">
        <f t="shared" si="406"/>
        <v>2.62937062937063</v>
      </c>
      <c r="AG1028" s="4">
        <f t="shared" si="397"/>
        <v>2.17391304347826</v>
      </c>
      <c r="AH1028" s="4">
        <f t="shared" si="398"/>
        <v>0.133779264214047</v>
      </c>
      <c r="AI1028" s="2">
        <v>1340</v>
      </c>
      <c r="AJ1028" s="2">
        <v>206</v>
      </c>
      <c r="AK1028" s="2">
        <v>32</v>
      </c>
      <c r="AL1028" s="2">
        <v>14</v>
      </c>
      <c r="AM1028" s="2">
        <v>18</v>
      </c>
      <c r="AN1028" s="2">
        <v>1</v>
      </c>
      <c r="AO1028" s="2">
        <v>0</v>
      </c>
      <c r="AP1028" s="2">
        <f t="shared" si="399"/>
        <v>1561</v>
      </c>
      <c r="AQ1028" s="2">
        <f t="shared" si="400"/>
        <v>52.2073578595318</v>
      </c>
      <c r="AR1028" s="5">
        <f t="shared" si="401"/>
        <v>98.1498327759197</v>
      </c>
    </row>
    <row r="1029" spans="1:44">
      <c r="A1029" s="2">
        <v>20260403</v>
      </c>
      <c r="B1029" s="2" t="s">
        <v>2103</v>
      </c>
      <c r="C1029" s="2" t="s">
        <v>2104</v>
      </c>
      <c r="D1029" s="2">
        <v>0</v>
      </c>
      <c r="E1029" s="2">
        <v>27</v>
      </c>
      <c r="F1029" s="2">
        <v>0</v>
      </c>
      <c r="G1029" s="2">
        <v>16</v>
      </c>
      <c r="H1029" s="2">
        <v>17</v>
      </c>
      <c r="I1029" s="3">
        <v>18</v>
      </c>
      <c r="J1029" s="2">
        <v>23</v>
      </c>
      <c r="K1029" s="2">
        <v>2</v>
      </c>
      <c r="L1029" s="2">
        <v>1</v>
      </c>
      <c r="M1029" s="2">
        <v>5</v>
      </c>
      <c r="N1029" s="2">
        <v>87</v>
      </c>
      <c r="O1029" s="2">
        <v>7</v>
      </c>
      <c r="P1029" s="3">
        <v>13</v>
      </c>
      <c r="Q1029" s="2">
        <v>6</v>
      </c>
      <c r="R1029" s="2">
        <v>202</v>
      </c>
      <c r="S1029" s="2">
        <v>2</v>
      </c>
      <c r="T1029" s="2">
        <v>37</v>
      </c>
      <c r="U1029" s="2">
        <v>0</v>
      </c>
      <c r="V1029" s="1">
        <f t="shared" si="404"/>
        <v>132</v>
      </c>
      <c r="W1029" s="2">
        <v>0</v>
      </c>
      <c r="X1029" s="2">
        <v>0</v>
      </c>
      <c r="Y1029" s="2">
        <v>0</v>
      </c>
      <c r="Z1029" s="2">
        <f t="shared" si="402"/>
        <v>0</v>
      </c>
      <c r="AA1029" s="2">
        <f t="shared" si="403"/>
        <v>132</v>
      </c>
      <c r="AB1029" s="2">
        <v>3117</v>
      </c>
      <c r="AC1029" s="20">
        <f t="shared" ref="AC1029:AC1035" si="408">AA1029/AB1029*100</f>
        <v>4.23484119345525</v>
      </c>
      <c r="AD1029" s="2" t="s">
        <v>58</v>
      </c>
      <c r="AE1029" s="2">
        <v>100</v>
      </c>
      <c r="AF1029" s="21">
        <f t="shared" si="406"/>
        <v>7.96150144369586</v>
      </c>
      <c r="AG1029" s="4">
        <f t="shared" si="397"/>
        <v>4.23484119345525</v>
      </c>
      <c r="AH1029" s="4">
        <f t="shared" si="398"/>
        <v>0</v>
      </c>
      <c r="AI1029" s="2">
        <v>496</v>
      </c>
      <c r="AJ1029" s="2">
        <v>80</v>
      </c>
      <c r="AK1029" s="2">
        <v>9</v>
      </c>
      <c r="AL1029" s="2">
        <v>18</v>
      </c>
      <c r="AM1029" s="2">
        <v>8</v>
      </c>
      <c r="AN1029" s="2">
        <v>1</v>
      </c>
      <c r="AO1029" s="2">
        <v>0</v>
      </c>
      <c r="AP1029" s="2">
        <f t="shared" si="399"/>
        <v>595</v>
      </c>
      <c r="AQ1029" s="2">
        <f t="shared" si="400"/>
        <v>19.0888675008021</v>
      </c>
      <c r="AR1029" s="5">
        <f t="shared" si="401"/>
        <v>35.8870709015079</v>
      </c>
    </row>
    <row r="1030" spans="1:44">
      <c r="A1030" s="2">
        <v>20260403</v>
      </c>
      <c r="B1030" s="2" t="s">
        <v>2105</v>
      </c>
      <c r="C1030" s="2" t="s">
        <v>2106</v>
      </c>
      <c r="D1030" s="2">
        <v>2</v>
      </c>
      <c r="E1030" s="2">
        <v>14</v>
      </c>
      <c r="F1030" s="2">
        <v>2</v>
      </c>
      <c r="G1030" s="2">
        <v>15</v>
      </c>
      <c r="H1030" s="2">
        <v>45</v>
      </c>
      <c r="I1030" s="3">
        <v>33</v>
      </c>
      <c r="J1030" s="2">
        <v>32</v>
      </c>
      <c r="K1030" s="2">
        <v>8</v>
      </c>
      <c r="L1030" s="2">
        <v>1</v>
      </c>
      <c r="M1030" s="2">
        <v>14</v>
      </c>
      <c r="N1030" s="2">
        <v>40</v>
      </c>
      <c r="O1030" s="2">
        <v>0</v>
      </c>
      <c r="P1030" s="3">
        <v>38</v>
      </c>
      <c r="Q1030" s="2">
        <v>8</v>
      </c>
      <c r="R1030" s="2">
        <v>163</v>
      </c>
      <c r="S1030" s="2">
        <v>12</v>
      </c>
      <c r="T1030" s="2">
        <v>94</v>
      </c>
      <c r="U1030" s="2">
        <v>1</v>
      </c>
      <c r="V1030" s="1">
        <f t="shared" si="404"/>
        <v>273</v>
      </c>
      <c r="W1030" s="2">
        <v>0</v>
      </c>
      <c r="X1030" s="2">
        <v>7</v>
      </c>
      <c r="Y1030" s="2">
        <v>0</v>
      </c>
      <c r="Z1030" s="2">
        <f t="shared" si="402"/>
        <v>8</v>
      </c>
      <c r="AA1030" s="2">
        <f t="shared" si="403"/>
        <v>281</v>
      </c>
      <c r="AB1030" s="2">
        <v>6145</v>
      </c>
      <c r="AC1030" s="20">
        <f t="shared" si="408"/>
        <v>4.57282343368592</v>
      </c>
      <c r="AD1030" s="2" t="s">
        <v>58</v>
      </c>
      <c r="AE1030" s="2">
        <v>100</v>
      </c>
      <c r="AF1030" s="21">
        <f t="shared" si="406"/>
        <v>8.59690805532954</v>
      </c>
      <c r="AG1030" s="4">
        <f t="shared" si="397"/>
        <v>4.4426362896664</v>
      </c>
      <c r="AH1030" s="4">
        <f t="shared" si="398"/>
        <v>0.130187144019528</v>
      </c>
      <c r="AI1030" s="2">
        <v>7516</v>
      </c>
      <c r="AJ1030" s="2">
        <v>1453</v>
      </c>
      <c r="AK1030" s="2">
        <v>87</v>
      </c>
      <c r="AL1030" s="2">
        <v>295</v>
      </c>
      <c r="AM1030" s="2">
        <v>216</v>
      </c>
      <c r="AN1030" s="2">
        <v>18</v>
      </c>
      <c r="AO1030" s="2">
        <v>0</v>
      </c>
      <c r="AP1030" s="2">
        <f t="shared" ref="AP1030:AP1042" si="409">AI1030+AJ1030+AL1030+AN1030</f>
        <v>9282</v>
      </c>
      <c r="AQ1030" s="2">
        <f t="shared" si="400"/>
        <v>151.049633848657</v>
      </c>
      <c r="AR1030" s="5">
        <f t="shared" si="401"/>
        <v>283.973311635476</v>
      </c>
    </row>
    <row r="1031" spans="1:44">
      <c r="A1031" s="2">
        <v>20260403</v>
      </c>
      <c r="B1031" s="2" t="s">
        <v>2107</v>
      </c>
      <c r="C1031" s="2" t="s">
        <v>2108</v>
      </c>
      <c r="D1031" s="2">
        <v>6</v>
      </c>
      <c r="E1031" s="2">
        <v>39</v>
      </c>
      <c r="F1031" s="2">
        <v>17</v>
      </c>
      <c r="G1031" s="2">
        <v>13</v>
      </c>
      <c r="H1031" s="2">
        <v>36</v>
      </c>
      <c r="I1031" s="3">
        <v>44</v>
      </c>
      <c r="J1031" s="2">
        <v>17</v>
      </c>
      <c r="K1031" s="2">
        <v>6</v>
      </c>
      <c r="L1031" s="2">
        <v>2</v>
      </c>
      <c r="M1031" s="2">
        <v>5</v>
      </c>
      <c r="N1031" s="2">
        <v>68</v>
      </c>
      <c r="O1031" s="2">
        <v>34</v>
      </c>
      <c r="P1031" s="3">
        <v>38</v>
      </c>
      <c r="Q1031" s="2">
        <v>23</v>
      </c>
      <c r="R1031" s="2">
        <v>121</v>
      </c>
      <c r="S1031" s="2">
        <v>3</v>
      </c>
      <c r="T1031" s="2">
        <v>60</v>
      </c>
      <c r="U1031" s="2">
        <v>0</v>
      </c>
      <c r="V1031" s="1">
        <f t="shared" ref="V1031:V1038" si="410">AA1031-Y1031-X1031-W1031-U1031</f>
        <v>220</v>
      </c>
      <c r="W1031" s="2">
        <v>1</v>
      </c>
      <c r="X1031" s="2">
        <v>0</v>
      </c>
      <c r="Y1031" s="2">
        <v>0</v>
      </c>
      <c r="Z1031" s="2">
        <f t="shared" si="402"/>
        <v>1</v>
      </c>
      <c r="AA1031" s="2">
        <f t="shared" si="403"/>
        <v>221</v>
      </c>
      <c r="AB1031" s="2">
        <v>6555</v>
      </c>
      <c r="AC1031" s="20">
        <f t="shared" si="408"/>
        <v>3.37147215865751</v>
      </c>
      <c r="AD1031" s="2" t="s">
        <v>58</v>
      </c>
      <c r="AE1031" s="2">
        <v>100</v>
      </c>
      <c r="AF1031" s="21">
        <f t="shared" si="406"/>
        <v>6.33836765827612</v>
      </c>
      <c r="AG1031" s="4">
        <f t="shared" si="397"/>
        <v>3.35621662852784</v>
      </c>
      <c r="AH1031" s="4">
        <f t="shared" si="398"/>
        <v>0.015255530129672</v>
      </c>
      <c r="AI1031" s="2">
        <v>7110</v>
      </c>
      <c r="AJ1031" s="2">
        <v>1130</v>
      </c>
      <c r="AK1031" s="2">
        <v>72</v>
      </c>
      <c r="AL1031" s="2">
        <v>216</v>
      </c>
      <c r="AM1031" s="2">
        <v>213</v>
      </c>
      <c r="AN1031" s="2">
        <v>4</v>
      </c>
      <c r="AO1031" s="2">
        <v>0</v>
      </c>
      <c r="AP1031" s="2">
        <f t="shared" si="409"/>
        <v>8460</v>
      </c>
      <c r="AQ1031" s="2">
        <f>AP1031/AB1030*100</f>
        <v>137.672904800651</v>
      </c>
      <c r="AR1031" s="5">
        <f t="shared" si="401"/>
        <v>258.825061025224</v>
      </c>
    </row>
    <row r="1032" spans="1:44">
      <c r="A1032" s="2">
        <v>20260403</v>
      </c>
      <c r="B1032" s="2" t="s">
        <v>2109</v>
      </c>
      <c r="C1032" s="2" t="s">
        <v>2110</v>
      </c>
      <c r="D1032" s="2">
        <v>1</v>
      </c>
      <c r="E1032" s="2">
        <v>5</v>
      </c>
      <c r="F1032" s="2">
        <v>1</v>
      </c>
      <c r="G1032" s="2">
        <v>13</v>
      </c>
      <c r="H1032" s="2">
        <v>26</v>
      </c>
      <c r="I1032" s="3">
        <v>22</v>
      </c>
      <c r="J1032" s="2">
        <v>21</v>
      </c>
      <c r="K1032" s="2">
        <v>2</v>
      </c>
      <c r="L1032" s="2">
        <v>2</v>
      </c>
      <c r="M1032" s="2">
        <v>10</v>
      </c>
      <c r="N1032" s="2">
        <v>23</v>
      </c>
      <c r="O1032" s="2">
        <v>0</v>
      </c>
      <c r="P1032" s="3">
        <v>24</v>
      </c>
      <c r="Q1032" s="2">
        <v>1</v>
      </c>
      <c r="R1032" s="2">
        <v>137</v>
      </c>
      <c r="S1032" s="2">
        <v>9</v>
      </c>
      <c r="T1032" s="2">
        <v>49</v>
      </c>
      <c r="U1032" s="2">
        <v>1</v>
      </c>
      <c r="V1032" s="1">
        <f t="shared" si="410"/>
        <v>158</v>
      </c>
      <c r="W1032" s="2">
        <v>3</v>
      </c>
      <c r="X1032" s="2">
        <v>8</v>
      </c>
      <c r="Y1032" s="2">
        <v>0</v>
      </c>
      <c r="Z1032" s="2">
        <f t="shared" ref="Z1032:Z1040" si="411">Y1032+X1032+W1032+U1032</f>
        <v>12</v>
      </c>
      <c r="AA1032" s="2">
        <f t="shared" ref="AA1032:AA1040" si="412">G1032+H1032+I1032+J1032+K1032+L1032+M1032+P1032+T1032+U1032</f>
        <v>170</v>
      </c>
      <c r="AB1032" s="2">
        <v>6175</v>
      </c>
      <c r="AC1032" s="20">
        <f t="shared" ref="AC1032:AC1040" si="413">AA1032/AB1032*100</f>
        <v>2.75303643724696</v>
      </c>
      <c r="AD1032" s="2" t="s">
        <v>58</v>
      </c>
      <c r="AE1032" s="2">
        <v>100</v>
      </c>
      <c r="AF1032" s="21">
        <f t="shared" ref="AF1032:AF1040" si="414">188/AE1032*AC1032</f>
        <v>5.17570850202429</v>
      </c>
      <c r="AG1032" s="4">
        <f t="shared" ref="AG1032:AG1040" si="415">V1032/AB1032*100</f>
        <v>2.5587044534413</v>
      </c>
      <c r="AH1032" s="4">
        <f t="shared" ref="AH1032:AH1040" si="416">Z1032/AB1032*100</f>
        <v>0.194331983805668</v>
      </c>
      <c r="AI1032" s="2">
        <v>4459</v>
      </c>
      <c r="AJ1032" s="2">
        <v>590</v>
      </c>
      <c r="AK1032" s="2">
        <v>146</v>
      </c>
      <c r="AL1032" s="2">
        <v>130</v>
      </c>
      <c r="AM1032" s="2">
        <v>93</v>
      </c>
      <c r="AN1032" s="2">
        <v>7</v>
      </c>
      <c r="AO1032" s="2">
        <v>0</v>
      </c>
      <c r="AP1032" s="2">
        <f t="shared" si="409"/>
        <v>5186</v>
      </c>
      <c r="AQ1032" s="2">
        <f t="shared" ref="AQ1032:AQ1039" si="417">AP1032/AB1031*100</f>
        <v>79.115179252479</v>
      </c>
      <c r="AR1032" s="5">
        <f t="shared" ref="AR1032:AR1039" si="418">AQ1032*1.88</f>
        <v>148.736536994661</v>
      </c>
    </row>
    <row r="1033" spans="1:44">
      <c r="A1033" s="2">
        <v>20260403</v>
      </c>
      <c r="B1033" s="2" t="s">
        <v>2111</v>
      </c>
      <c r="C1033" s="2" t="s">
        <v>2112</v>
      </c>
      <c r="D1033" s="2">
        <v>7</v>
      </c>
      <c r="E1033" s="2">
        <v>20</v>
      </c>
      <c r="F1033" s="2">
        <v>17</v>
      </c>
      <c r="G1033" s="2">
        <v>27</v>
      </c>
      <c r="H1033" s="2">
        <v>33</v>
      </c>
      <c r="I1033" s="3">
        <v>18</v>
      </c>
      <c r="J1033" s="2">
        <v>33</v>
      </c>
      <c r="K1033" s="2">
        <v>31</v>
      </c>
      <c r="L1033" s="2">
        <v>0</v>
      </c>
      <c r="M1033" s="2">
        <v>8</v>
      </c>
      <c r="N1033" s="2">
        <v>50</v>
      </c>
      <c r="O1033" s="2">
        <v>44</v>
      </c>
      <c r="P1033" s="3">
        <v>26</v>
      </c>
      <c r="Q1033" s="2">
        <v>12</v>
      </c>
      <c r="R1033" s="2">
        <v>152</v>
      </c>
      <c r="S1033" s="2">
        <v>4</v>
      </c>
      <c r="T1033" s="2">
        <v>68</v>
      </c>
      <c r="U1033" s="2">
        <v>5</v>
      </c>
      <c r="V1033" s="1">
        <f t="shared" si="410"/>
        <v>239</v>
      </c>
      <c r="W1033" s="2">
        <v>1</v>
      </c>
      <c r="X1033" s="2">
        <v>4</v>
      </c>
      <c r="Y1033" s="2">
        <v>0</v>
      </c>
      <c r="Z1033" s="2">
        <f t="shared" si="411"/>
        <v>10</v>
      </c>
      <c r="AA1033" s="2">
        <f t="shared" si="412"/>
        <v>249</v>
      </c>
      <c r="AB1033" s="2">
        <v>6222</v>
      </c>
      <c r="AC1033" s="20">
        <f t="shared" si="413"/>
        <v>4.00192864030858</v>
      </c>
      <c r="AD1033" s="2" t="s">
        <v>58</v>
      </c>
      <c r="AE1033" s="2">
        <v>100</v>
      </c>
      <c r="AF1033" s="21">
        <f t="shared" si="414"/>
        <v>7.52362584378013</v>
      </c>
      <c r="AG1033" s="4">
        <f t="shared" si="415"/>
        <v>3.84120861459338</v>
      </c>
      <c r="AH1033" s="4">
        <f t="shared" si="416"/>
        <v>0.160720025715204</v>
      </c>
      <c r="AI1033" s="2">
        <v>4416</v>
      </c>
      <c r="AJ1033" s="2">
        <v>930</v>
      </c>
      <c r="AK1033" s="2">
        <v>55</v>
      </c>
      <c r="AL1033" s="2">
        <v>154</v>
      </c>
      <c r="AM1033" s="2">
        <v>83</v>
      </c>
      <c r="AN1033" s="2">
        <v>3</v>
      </c>
      <c r="AO1033" s="2">
        <v>0</v>
      </c>
      <c r="AP1033" s="2">
        <f t="shared" si="409"/>
        <v>5503</v>
      </c>
      <c r="AQ1033" s="2">
        <f t="shared" si="417"/>
        <v>89.1174089068826</v>
      </c>
      <c r="AR1033" s="5">
        <f t="shared" si="418"/>
        <v>167.540728744939</v>
      </c>
    </row>
    <row r="1034" spans="1:44">
      <c r="A1034" s="2">
        <v>20260404</v>
      </c>
      <c r="B1034" s="2" t="s">
        <v>2113</v>
      </c>
      <c r="C1034" s="2" t="s">
        <v>2114</v>
      </c>
      <c r="D1034" s="2">
        <v>4</v>
      </c>
      <c r="E1034" s="2">
        <v>15</v>
      </c>
      <c r="F1034" s="2">
        <v>3</v>
      </c>
      <c r="G1034" s="2">
        <v>17</v>
      </c>
      <c r="H1034" s="2">
        <v>27</v>
      </c>
      <c r="I1034" s="3">
        <v>34</v>
      </c>
      <c r="J1034" s="2">
        <v>32</v>
      </c>
      <c r="K1034" s="2">
        <v>10</v>
      </c>
      <c r="L1034" s="2">
        <v>2</v>
      </c>
      <c r="M1034" s="2">
        <v>11</v>
      </c>
      <c r="N1034" s="2">
        <v>40</v>
      </c>
      <c r="O1034" s="2">
        <v>1</v>
      </c>
      <c r="P1034" s="3">
        <v>29</v>
      </c>
      <c r="Q1034" s="2">
        <v>3</v>
      </c>
      <c r="R1034" s="2">
        <v>137</v>
      </c>
      <c r="S1034" s="2">
        <v>4</v>
      </c>
      <c r="T1034" s="2">
        <v>52</v>
      </c>
      <c r="U1034" s="2">
        <v>1</v>
      </c>
      <c r="V1034" s="1">
        <f t="shared" si="410"/>
        <v>209</v>
      </c>
      <c r="W1034" s="2">
        <v>2</v>
      </c>
      <c r="X1034" s="2">
        <v>3</v>
      </c>
      <c r="Y1034" s="2">
        <v>0</v>
      </c>
      <c r="Z1034" s="2">
        <f t="shared" si="411"/>
        <v>6</v>
      </c>
      <c r="AA1034" s="2">
        <f t="shared" si="412"/>
        <v>215</v>
      </c>
      <c r="AB1034" s="2">
        <v>6175</v>
      </c>
      <c r="AC1034" s="20">
        <f t="shared" si="413"/>
        <v>3.48178137651822</v>
      </c>
      <c r="AD1034" s="2" t="s">
        <v>58</v>
      </c>
      <c r="AE1034" s="2">
        <v>100</v>
      </c>
      <c r="AF1034" s="21">
        <f t="shared" si="414"/>
        <v>6.54574898785425</v>
      </c>
      <c r="AG1034" s="4">
        <f t="shared" si="415"/>
        <v>3.38461538461538</v>
      </c>
      <c r="AH1034" s="4">
        <f t="shared" si="416"/>
        <v>0.097165991902834</v>
      </c>
      <c r="AI1034" s="2">
        <v>4738</v>
      </c>
      <c r="AJ1034" s="2">
        <v>1046</v>
      </c>
      <c r="AK1034" s="2">
        <v>64</v>
      </c>
      <c r="AL1034" s="2">
        <v>189</v>
      </c>
      <c r="AM1034" s="2">
        <v>73</v>
      </c>
      <c r="AN1034" s="2">
        <v>10</v>
      </c>
      <c r="AO1034" s="2">
        <v>0</v>
      </c>
      <c r="AP1034" s="2">
        <f t="shared" si="409"/>
        <v>5983</v>
      </c>
      <c r="AQ1034" s="2">
        <f t="shared" si="417"/>
        <v>96.1587913854066</v>
      </c>
      <c r="AR1034" s="5">
        <f t="shared" si="418"/>
        <v>180.778527804564</v>
      </c>
    </row>
    <row r="1035" spans="1:44">
      <c r="A1035" s="2">
        <v>20260404</v>
      </c>
      <c r="B1035" s="2" t="s">
        <v>2115</v>
      </c>
      <c r="C1035" s="2" t="s">
        <v>2116</v>
      </c>
      <c r="D1035" s="2">
        <v>2</v>
      </c>
      <c r="E1035" s="2">
        <v>7</v>
      </c>
      <c r="F1035" s="2">
        <v>2</v>
      </c>
      <c r="G1035" s="2">
        <v>15</v>
      </c>
      <c r="H1035" s="2">
        <v>28</v>
      </c>
      <c r="I1035" s="3">
        <v>40</v>
      </c>
      <c r="J1035" s="2">
        <v>24</v>
      </c>
      <c r="K1035" s="2">
        <v>6</v>
      </c>
      <c r="L1035" s="2">
        <v>0</v>
      </c>
      <c r="M1035" s="2">
        <v>16</v>
      </c>
      <c r="N1035" s="2">
        <v>34</v>
      </c>
      <c r="O1035" s="2">
        <v>0</v>
      </c>
      <c r="P1035" s="3">
        <v>32</v>
      </c>
      <c r="Q1035" s="2">
        <v>4</v>
      </c>
      <c r="R1035" s="2">
        <v>153</v>
      </c>
      <c r="S1035" s="2">
        <v>6</v>
      </c>
      <c r="T1035" s="2">
        <v>46</v>
      </c>
      <c r="U1035" s="2">
        <v>0</v>
      </c>
      <c r="V1035" s="1">
        <f t="shared" si="410"/>
        <v>188</v>
      </c>
      <c r="W1035" s="2">
        <v>1</v>
      </c>
      <c r="X1035" s="2">
        <v>18</v>
      </c>
      <c r="Y1035" s="2">
        <v>0</v>
      </c>
      <c r="Z1035" s="2">
        <f t="shared" si="411"/>
        <v>19</v>
      </c>
      <c r="AA1035" s="2">
        <f t="shared" si="412"/>
        <v>207</v>
      </c>
      <c r="AB1035" s="2">
        <v>6175</v>
      </c>
      <c r="AC1035" s="20">
        <f t="shared" si="413"/>
        <v>3.35222672064777</v>
      </c>
      <c r="AD1035" s="2" t="s">
        <v>58</v>
      </c>
      <c r="AE1035" s="2">
        <v>100</v>
      </c>
      <c r="AF1035" s="21">
        <f t="shared" si="414"/>
        <v>6.30218623481781</v>
      </c>
      <c r="AG1035" s="4">
        <f t="shared" si="415"/>
        <v>3.04453441295547</v>
      </c>
      <c r="AH1035" s="4">
        <f t="shared" si="416"/>
        <v>0.307692307692308</v>
      </c>
      <c r="AI1035" s="2">
        <v>928</v>
      </c>
      <c r="AJ1035" s="2">
        <v>200</v>
      </c>
      <c r="AK1035" s="2">
        <v>24</v>
      </c>
      <c r="AL1035" s="2">
        <v>31</v>
      </c>
      <c r="AM1035" s="2">
        <v>21</v>
      </c>
      <c r="AN1035" s="2">
        <v>1</v>
      </c>
      <c r="AO1035" s="2">
        <v>0</v>
      </c>
      <c r="AP1035" s="2">
        <f t="shared" si="409"/>
        <v>1160</v>
      </c>
      <c r="AQ1035" s="2">
        <f t="shared" si="417"/>
        <v>18.7854251012146</v>
      </c>
      <c r="AR1035" s="5">
        <f t="shared" si="418"/>
        <v>35.3165991902834</v>
      </c>
    </row>
    <row r="1036" spans="1:44">
      <c r="A1036" s="2">
        <v>20260404</v>
      </c>
      <c r="B1036" s="2" t="s">
        <v>2117</v>
      </c>
      <c r="C1036" s="2" t="s">
        <v>2118</v>
      </c>
      <c r="D1036" s="2">
        <v>1</v>
      </c>
      <c r="E1036" s="2">
        <v>25</v>
      </c>
      <c r="F1036" s="2">
        <v>4</v>
      </c>
      <c r="G1036" s="2">
        <v>17</v>
      </c>
      <c r="H1036" s="2">
        <v>35</v>
      </c>
      <c r="I1036" s="3">
        <v>25</v>
      </c>
      <c r="J1036" s="2">
        <v>28</v>
      </c>
      <c r="K1036" s="2">
        <v>6</v>
      </c>
      <c r="L1036" s="2">
        <v>2</v>
      </c>
      <c r="M1036" s="2">
        <v>19</v>
      </c>
      <c r="N1036" s="2">
        <v>44</v>
      </c>
      <c r="O1036" s="2">
        <v>2</v>
      </c>
      <c r="P1036" s="3">
        <v>32</v>
      </c>
      <c r="Q1036" s="2">
        <v>8</v>
      </c>
      <c r="R1036" s="2">
        <v>183</v>
      </c>
      <c r="S1036" s="2">
        <v>5</v>
      </c>
      <c r="T1036" s="2">
        <v>78</v>
      </c>
      <c r="U1036" s="2">
        <v>1</v>
      </c>
      <c r="V1036" s="1">
        <f t="shared" si="410"/>
        <v>235</v>
      </c>
      <c r="W1036" s="2">
        <v>0</v>
      </c>
      <c r="X1036" s="2">
        <v>7</v>
      </c>
      <c r="Y1036" s="2">
        <v>0</v>
      </c>
      <c r="Z1036" s="2">
        <f t="shared" si="411"/>
        <v>8</v>
      </c>
      <c r="AA1036" s="2">
        <f t="shared" si="412"/>
        <v>243</v>
      </c>
      <c r="AB1036" s="2">
        <v>6275</v>
      </c>
      <c r="AC1036" s="20">
        <f t="shared" si="413"/>
        <v>3.87250996015936</v>
      </c>
      <c r="AD1036" s="2" t="s">
        <v>58</v>
      </c>
      <c r="AE1036" s="2">
        <v>100</v>
      </c>
      <c r="AF1036" s="21">
        <f t="shared" si="414"/>
        <v>7.2803187250996</v>
      </c>
      <c r="AG1036" s="4">
        <f t="shared" si="415"/>
        <v>3.74501992031872</v>
      </c>
      <c r="AH1036" s="4">
        <f t="shared" si="416"/>
        <v>0.127490039840637</v>
      </c>
      <c r="AI1036" s="2">
        <v>5399</v>
      </c>
      <c r="AJ1036" s="2">
        <v>1149</v>
      </c>
      <c r="AK1036" s="2">
        <v>105</v>
      </c>
      <c r="AL1036" s="2">
        <v>155</v>
      </c>
      <c r="AM1036" s="2">
        <v>70</v>
      </c>
      <c r="AN1036" s="2">
        <v>6</v>
      </c>
      <c r="AO1036" s="2">
        <v>0</v>
      </c>
      <c r="AP1036" s="2">
        <f t="shared" si="409"/>
        <v>6709</v>
      </c>
      <c r="AQ1036" s="2">
        <f t="shared" si="417"/>
        <v>108.647773279352</v>
      </c>
      <c r="AR1036" s="5">
        <f t="shared" si="418"/>
        <v>204.257813765182</v>
      </c>
    </row>
    <row r="1037" spans="1:44">
      <c r="A1037" s="2">
        <v>20260404</v>
      </c>
      <c r="B1037" s="2" t="s">
        <v>2119</v>
      </c>
      <c r="C1037" s="2" t="s">
        <v>2120</v>
      </c>
      <c r="D1037" s="2">
        <v>2</v>
      </c>
      <c r="E1037" s="2">
        <v>18</v>
      </c>
      <c r="F1037" s="2">
        <v>6</v>
      </c>
      <c r="G1037" s="2">
        <v>10</v>
      </c>
      <c r="H1037" s="2">
        <v>30</v>
      </c>
      <c r="I1037" s="3">
        <v>36</v>
      </c>
      <c r="J1037" s="2">
        <v>33</v>
      </c>
      <c r="K1037" s="2">
        <v>8</v>
      </c>
      <c r="L1037" s="2">
        <v>0</v>
      </c>
      <c r="M1037" s="2">
        <v>16</v>
      </c>
      <c r="N1037" s="2">
        <v>44</v>
      </c>
      <c r="O1037" s="2">
        <v>3</v>
      </c>
      <c r="P1037" s="3">
        <v>19</v>
      </c>
      <c r="Q1037" s="2">
        <v>5</v>
      </c>
      <c r="R1037" s="2">
        <v>410</v>
      </c>
      <c r="S1037" s="2">
        <v>5</v>
      </c>
      <c r="T1037" s="2">
        <v>32</v>
      </c>
      <c r="U1037" s="2">
        <v>1</v>
      </c>
      <c r="V1037" s="1">
        <f t="shared" si="410"/>
        <v>172</v>
      </c>
      <c r="W1037" s="2">
        <v>5</v>
      </c>
      <c r="X1037" s="2">
        <v>7</v>
      </c>
      <c r="Y1037" s="2">
        <v>0</v>
      </c>
      <c r="Z1037" s="2">
        <f t="shared" si="411"/>
        <v>13</v>
      </c>
      <c r="AA1037" s="2">
        <f t="shared" si="412"/>
        <v>185</v>
      </c>
      <c r="AB1037" s="2">
        <v>6175</v>
      </c>
      <c r="AC1037" s="20">
        <f t="shared" si="413"/>
        <v>2.99595141700405</v>
      </c>
      <c r="AD1037" s="2" t="s">
        <v>58</v>
      </c>
      <c r="AE1037" s="2">
        <v>100</v>
      </c>
      <c r="AF1037" s="21">
        <f t="shared" si="414"/>
        <v>5.63238866396761</v>
      </c>
      <c r="AG1037" s="4">
        <f t="shared" si="415"/>
        <v>2.78542510121457</v>
      </c>
      <c r="AH1037" s="4">
        <f t="shared" si="416"/>
        <v>0.210526315789474</v>
      </c>
      <c r="AI1037" s="2">
        <v>5054</v>
      </c>
      <c r="AJ1037" s="2">
        <v>991</v>
      </c>
      <c r="AK1037" s="2">
        <v>52</v>
      </c>
      <c r="AL1037" s="2">
        <v>140</v>
      </c>
      <c r="AM1037" s="2">
        <v>70</v>
      </c>
      <c r="AN1037" s="2">
        <v>11</v>
      </c>
      <c r="AO1037" s="2">
        <v>0</v>
      </c>
      <c r="AP1037" s="2">
        <f t="shared" si="409"/>
        <v>6196</v>
      </c>
      <c r="AQ1037" s="2">
        <f t="shared" si="417"/>
        <v>98.7410358565737</v>
      </c>
      <c r="AR1037" s="5">
        <f t="shared" si="418"/>
        <v>185.633147410359</v>
      </c>
    </row>
    <row r="1038" spans="1:44">
      <c r="A1038" s="2">
        <v>20260404</v>
      </c>
      <c r="B1038" s="2" t="s">
        <v>2121</v>
      </c>
      <c r="C1038" s="2" t="s">
        <v>2122</v>
      </c>
      <c r="D1038" s="2">
        <v>1</v>
      </c>
      <c r="E1038" s="2">
        <v>13</v>
      </c>
      <c r="F1038" s="2">
        <v>12</v>
      </c>
      <c r="G1038" s="2">
        <v>6</v>
      </c>
      <c r="H1038" s="2">
        <v>11</v>
      </c>
      <c r="I1038" s="3">
        <v>11</v>
      </c>
      <c r="J1038" s="2">
        <v>7</v>
      </c>
      <c r="K1038" s="2">
        <v>5</v>
      </c>
      <c r="L1038" s="2">
        <v>0</v>
      </c>
      <c r="M1038" s="2">
        <v>8</v>
      </c>
      <c r="N1038" s="2">
        <v>23</v>
      </c>
      <c r="O1038" s="2">
        <v>0</v>
      </c>
      <c r="P1038" s="3">
        <v>8</v>
      </c>
      <c r="Q1038" s="2">
        <v>3</v>
      </c>
      <c r="R1038" s="2">
        <v>409</v>
      </c>
      <c r="S1038" s="2">
        <v>1</v>
      </c>
      <c r="T1038" s="2">
        <v>8</v>
      </c>
      <c r="U1038" s="2">
        <v>0</v>
      </c>
      <c r="V1038" s="1">
        <f t="shared" si="410"/>
        <v>58</v>
      </c>
      <c r="W1038" s="2">
        <v>1</v>
      </c>
      <c r="X1038" s="2">
        <v>5</v>
      </c>
      <c r="Y1038" s="2">
        <v>0</v>
      </c>
      <c r="Z1038" s="2">
        <f t="shared" ref="Z1038:Z1044" si="419">Y1038+X1038+W1038+U1038</f>
        <v>6</v>
      </c>
      <c r="AA1038" s="2">
        <f t="shared" ref="AA1038:AA1044" si="420">G1038+H1038+I1038+J1038+K1038+L1038+M1038+P1038+T1038+U1038</f>
        <v>64</v>
      </c>
      <c r="AB1038" s="2">
        <v>3128</v>
      </c>
      <c r="AC1038" s="20">
        <f t="shared" si="413"/>
        <v>2.0460358056266</v>
      </c>
      <c r="AD1038" s="2" t="s">
        <v>58</v>
      </c>
      <c r="AE1038" s="2">
        <v>100</v>
      </c>
      <c r="AF1038" s="21">
        <f t="shared" si="414"/>
        <v>3.846547314578</v>
      </c>
      <c r="AG1038" s="4">
        <f t="shared" si="415"/>
        <v>1.8542199488491</v>
      </c>
      <c r="AH1038" s="4">
        <f t="shared" si="416"/>
        <v>0.191815856777494</v>
      </c>
      <c r="AI1038" s="5">
        <v>2491</v>
      </c>
      <c r="AJ1038" s="2">
        <v>331</v>
      </c>
      <c r="AK1038" s="2">
        <v>48</v>
      </c>
      <c r="AL1038" s="2">
        <v>71</v>
      </c>
      <c r="AM1038" s="2">
        <v>59</v>
      </c>
      <c r="AN1038" s="2">
        <v>3</v>
      </c>
      <c r="AO1038" s="2">
        <v>0</v>
      </c>
      <c r="AP1038" s="2">
        <f t="shared" si="409"/>
        <v>2896</v>
      </c>
      <c r="AQ1038" s="2">
        <f t="shared" si="417"/>
        <v>46.8987854251012</v>
      </c>
      <c r="AR1038" s="5">
        <f t="shared" si="418"/>
        <v>88.1697165991903</v>
      </c>
    </row>
    <row r="1039" spans="1:44">
      <c r="A1039" s="2">
        <v>20260404</v>
      </c>
      <c r="B1039" s="2" t="s">
        <v>2123</v>
      </c>
      <c r="C1039" s="2" t="s">
        <v>2124</v>
      </c>
      <c r="D1039" s="2">
        <v>4</v>
      </c>
      <c r="E1039" s="2">
        <v>26</v>
      </c>
      <c r="F1039" s="2">
        <v>8</v>
      </c>
      <c r="G1039" s="2">
        <v>13</v>
      </c>
      <c r="H1039" s="2">
        <v>28</v>
      </c>
      <c r="I1039" s="3">
        <v>30</v>
      </c>
      <c r="J1039" s="2">
        <v>29</v>
      </c>
      <c r="K1039" s="2">
        <v>7</v>
      </c>
      <c r="L1039" s="2">
        <v>3</v>
      </c>
      <c r="M1039" s="2">
        <v>25</v>
      </c>
      <c r="N1039" s="2">
        <v>86</v>
      </c>
      <c r="O1039" s="2">
        <v>9</v>
      </c>
      <c r="P1039" s="3">
        <v>18</v>
      </c>
      <c r="Q1039" s="2">
        <v>16</v>
      </c>
      <c r="R1039" s="2">
        <v>704</v>
      </c>
      <c r="S1039" s="2">
        <v>4</v>
      </c>
      <c r="T1039" s="2">
        <v>38</v>
      </c>
      <c r="U1039" s="2">
        <v>6</v>
      </c>
      <c r="V1039" s="1">
        <f t="shared" ref="V1039:V1044" si="421">AA1039-Y1039-X1039-W1039-U1039</f>
        <v>177</v>
      </c>
      <c r="W1039" s="2">
        <v>5</v>
      </c>
      <c r="X1039" s="2">
        <v>9</v>
      </c>
      <c r="Y1039" s="2">
        <v>0</v>
      </c>
      <c r="Z1039" s="2">
        <f t="shared" si="419"/>
        <v>20</v>
      </c>
      <c r="AA1039" s="2">
        <f t="shared" si="420"/>
        <v>197</v>
      </c>
      <c r="AB1039" s="2">
        <v>6475</v>
      </c>
      <c r="AC1039" s="20">
        <f t="shared" si="413"/>
        <v>3.04247104247104</v>
      </c>
      <c r="AD1039" s="2" t="s">
        <v>58</v>
      </c>
      <c r="AE1039" s="2">
        <v>100</v>
      </c>
      <c r="AF1039" s="21">
        <f t="shared" si="414"/>
        <v>5.71984555984556</v>
      </c>
      <c r="AG1039" s="4">
        <f t="shared" si="415"/>
        <v>2.73359073359073</v>
      </c>
      <c r="AH1039" s="4">
        <f t="shared" si="416"/>
        <v>0.308880308880309</v>
      </c>
      <c r="AI1039" s="5">
        <v>2319</v>
      </c>
      <c r="AJ1039" s="2">
        <v>313</v>
      </c>
      <c r="AK1039" s="2">
        <v>45</v>
      </c>
      <c r="AL1039" s="2">
        <v>106</v>
      </c>
      <c r="AM1039" s="2">
        <v>116</v>
      </c>
      <c r="AN1039" s="2">
        <v>3</v>
      </c>
      <c r="AO1039" s="2">
        <v>0</v>
      </c>
      <c r="AP1039" s="2">
        <f t="shared" si="409"/>
        <v>2741</v>
      </c>
      <c r="AQ1039" s="2">
        <f t="shared" si="417"/>
        <v>87.6278772378517</v>
      </c>
      <c r="AR1039" s="5">
        <f t="shared" si="418"/>
        <v>164.740409207161</v>
      </c>
    </row>
    <row r="1040" spans="1:44">
      <c r="A1040" s="2">
        <v>20260404</v>
      </c>
      <c r="B1040" s="2" t="s">
        <v>2125</v>
      </c>
      <c r="C1040" s="2" t="s">
        <v>2126</v>
      </c>
      <c r="D1040" s="2">
        <v>0</v>
      </c>
      <c r="E1040" s="2">
        <v>8</v>
      </c>
      <c r="F1040" s="2">
        <v>3</v>
      </c>
      <c r="G1040" s="2">
        <v>7</v>
      </c>
      <c r="H1040" s="2">
        <v>10</v>
      </c>
      <c r="I1040" s="3">
        <v>11</v>
      </c>
      <c r="J1040" s="2">
        <v>13</v>
      </c>
      <c r="K1040" s="2">
        <v>2</v>
      </c>
      <c r="L1040" s="2">
        <v>0</v>
      </c>
      <c r="M1040" s="2">
        <v>7</v>
      </c>
      <c r="N1040" s="2">
        <v>30</v>
      </c>
      <c r="O1040" s="2">
        <v>2</v>
      </c>
      <c r="P1040" s="3">
        <v>7</v>
      </c>
      <c r="Q1040" s="2">
        <v>3</v>
      </c>
      <c r="R1040" s="2">
        <v>416</v>
      </c>
      <c r="S1040" s="2">
        <v>1</v>
      </c>
      <c r="T1040" s="2">
        <v>9</v>
      </c>
      <c r="U1040" s="2">
        <v>0</v>
      </c>
      <c r="V1040" s="1">
        <f t="shared" si="421"/>
        <v>61</v>
      </c>
      <c r="W1040" s="2">
        <v>2</v>
      </c>
      <c r="X1040" s="2">
        <v>3</v>
      </c>
      <c r="Y1040" s="2">
        <v>0</v>
      </c>
      <c r="Z1040" s="2">
        <f t="shared" si="419"/>
        <v>5</v>
      </c>
      <c r="AA1040" s="2">
        <f t="shared" si="420"/>
        <v>66</v>
      </c>
      <c r="AB1040" s="2">
        <v>3117</v>
      </c>
      <c r="AC1040" s="20">
        <f t="shared" si="413"/>
        <v>2.11742059672762</v>
      </c>
      <c r="AD1040" s="2" t="s">
        <v>58</v>
      </c>
      <c r="AE1040" s="2">
        <v>100</v>
      </c>
      <c r="AF1040" s="21">
        <f t="shared" si="414"/>
        <v>3.98075072184793</v>
      </c>
      <c r="AG1040" s="4">
        <f t="shared" si="415"/>
        <v>1.95700994546038</v>
      </c>
      <c r="AH1040" s="4">
        <f t="shared" si="416"/>
        <v>0.160410651267244</v>
      </c>
      <c r="AI1040" s="5"/>
      <c r="AP1040" s="2">
        <f t="shared" ref="AP1040:AP1055" si="422">AI1040+AJ1040+AL1040+AN1040</f>
        <v>0</v>
      </c>
      <c r="AQ1040" s="2">
        <f t="shared" ref="AQ1040:AQ1055" si="423">AP1040/AB1039*100</f>
        <v>0</v>
      </c>
      <c r="AR1040" s="5">
        <f t="shared" ref="AR1040:AR1058" si="424">AQ1040*1.88</f>
        <v>0</v>
      </c>
    </row>
    <row r="1041" spans="1:44">
      <c r="A1041" s="2">
        <v>20260404</v>
      </c>
      <c r="B1041" s="2" t="s">
        <v>2127</v>
      </c>
      <c r="C1041" s="2" t="s">
        <v>2128</v>
      </c>
      <c r="D1041" s="2">
        <v>0</v>
      </c>
      <c r="E1041" s="2">
        <v>5</v>
      </c>
      <c r="F1041" s="2">
        <v>5</v>
      </c>
      <c r="G1041" s="2">
        <v>2</v>
      </c>
      <c r="H1041" s="2">
        <v>7</v>
      </c>
      <c r="I1041" s="3">
        <v>16</v>
      </c>
      <c r="J1041" s="2">
        <v>14</v>
      </c>
      <c r="K1041" s="2">
        <v>1</v>
      </c>
      <c r="L1041" s="2">
        <v>2</v>
      </c>
      <c r="M1041" s="2">
        <v>10</v>
      </c>
      <c r="N1041" s="2">
        <v>17</v>
      </c>
      <c r="O1041" s="2">
        <v>1</v>
      </c>
      <c r="P1041" s="3">
        <v>14</v>
      </c>
      <c r="Q1041" s="2">
        <v>5</v>
      </c>
      <c r="R1041" s="2">
        <v>11</v>
      </c>
      <c r="S1041" s="2">
        <v>3</v>
      </c>
      <c r="T1041" s="2">
        <v>4</v>
      </c>
      <c r="U1041" s="2">
        <v>0</v>
      </c>
      <c r="V1041" s="1">
        <f t="shared" si="421"/>
        <v>50</v>
      </c>
      <c r="W1041" s="2">
        <v>8</v>
      </c>
      <c r="X1041" s="2">
        <v>12</v>
      </c>
      <c r="Y1041" s="2">
        <v>0</v>
      </c>
      <c r="Z1041" s="2">
        <f t="shared" si="419"/>
        <v>20</v>
      </c>
      <c r="AA1041" s="2">
        <f t="shared" si="420"/>
        <v>70</v>
      </c>
      <c r="AB1041" s="2">
        <v>1677</v>
      </c>
      <c r="AC1041" s="20">
        <f t="shared" ref="AC1041:AC1055" si="425">AA1041/AB1041*100</f>
        <v>4.17412045319022</v>
      </c>
      <c r="AD1041" s="2" t="s">
        <v>229</v>
      </c>
      <c r="AE1041" s="2">
        <v>188</v>
      </c>
      <c r="AF1041" s="21">
        <f t="shared" ref="AF1041:AF1054" si="426">188/AE1041*AC1041</f>
        <v>4.17412045319022</v>
      </c>
      <c r="AG1041" s="4">
        <f t="shared" ref="AG1041:AG1054" si="427">V1041/AB1041*100</f>
        <v>2.98151460942159</v>
      </c>
      <c r="AH1041" s="4">
        <f t="shared" ref="AH1041:AH1054" si="428">Z1041/AB1041*100</f>
        <v>1.19260584376863</v>
      </c>
      <c r="AI1041" s="5">
        <v>3161</v>
      </c>
      <c r="AJ1041" s="2">
        <v>197</v>
      </c>
      <c r="AK1041" s="2">
        <v>12</v>
      </c>
      <c r="AL1041" s="2">
        <v>50</v>
      </c>
      <c r="AM1041" s="2">
        <v>54</v>
      </c>
      <c r="AN1041" s="2">
        <v>2</v>
      </c>
      <c r="AO1041" s="2">
        <v>0</v>
      </c>
      <c r="AP1041" s="2">
        <f t="shared" si="422"/>
        <v>3410</v>
      </c>
      <c r="AQ1041" s="2">
        <f t="shared" si="423"/>
        <v>109.400064164261</v>
      </c>
      <c r="AR1041" s="5">
        <f t="shared" si="424"/>
        <v>205.67212062881</v>
      </c>
    </row>
    <row r="1042" spans="1:44">
      <c r="A1042" s="2">
        <v>20260404</v>
      </c>
      <c r="B1042" s="2" t="s">
        <v>2129</v>
      </c>
      <c r="C1042" s="2" t="s">
        <v>2130</v>
      </c>
      <c r="D1042" s="2">
        <v>3</v>
      </c>
      <c r="E1042" s="2">
        <v>0</v>
      </c>
      <c r="F1042" s="2">
        <v>20</v>
      </c>
      <c r="G1042" s="2">
        <v>4</v>
      </c>
      <c r="H1042" s="2">
        <v>3</v>
      </c>
      <c r="I1042" s="3">
        <v>44</v>
      </c>
      <c r="J1042" s="2">
        <v>16</v>
      </c>
      <c r="K1042" s="2">
        <v>4</v>
      </c>
      <c r="L1042" s="2">
        <v>1</v>
      </c>
      <c r="M1042" s="2">
        <v>6</v>
      </c>
      <c r="N1042" s="2">
        <v>26</v>
      </c>
      <c r="O1042" s="2">
        <v>18</v>
      </c>
      <c r="P1042" s="3">
        <v>11</v>
      </c>
      <c r="Q1042" s="2">
        <v>9</v>
      </c>
      <c r="R1042" s="2">
        <v>6</v>
      </c>
      <c r="S1042" s="2">
        <v>1</v>
      </c>
      <c r="T1042" s="2">
        <v>6</v>
      </c>
      <c r="U1042" s="2">
        <v>0</v>
      </c>
      <c r="V1042" s="1">
        <f t="shared" si="421"/>
        <v>78</v>
      </c>
      <c r="W1042" s="2">
        <v>8</v>
      </c>
      <c r="X1042" s="2">
        <v>9</v>
      </c>
      <c r="Y1042" s="2">
        <v>0</v>
      </c>
      <c r="Z1042" s="2">
        <f t="shared" si="419"/>
        <v>17</v>
      </c>
      <c r="AA1042" s="2">
        <f t="shared" si="420"/>
        <v>95</v>
      </c>
      <c r="AB1042" s="2">
        <v>1677</v>
      </c>
      <c r="AC1042" s="20">
        <f t="shared" si="425"/>
        <v>5.66487775790101</v>
      </c>
      <c r="AD1042" s="2" t="s">
        <v>229</v>
      </c>
      <c r="AE1042" s="2">
        <v>188</v>
      </c>
      <c r="AF1042" s="21">
        <f t="shared" si="426"/>
        <v>5.66487775790101</v>
      </c>
      <c r="AG1042" s="4">
        <f t="shared" si="427"/>
        <v>4.65116279069767</v>
      </c>
      <c r="AH1042" s="4">
        <f t="shared" si="428"/>
        <v>1.01371496720334</v>
      </c>
      <c r="AI1042" s="5"/>
      <c r="AP1042" s="2">
        <f t="shared" si="422"/>
        <v>0</v>
      </c>
      <c r="AQ1042" s="2">
        <f t="shared" si="423"/>
        <v>0</v>
      </c>
      <c r="AR1042" s="5">
        <f t="shared" si="424"/>
        <v>0</v>
      </c>
    </row>
    <row r="1043" spans="1:44">
      <c r="A1043" s="2">
        <v>20260404</v>
      </c>
      <c r="B1043" s="2" t="s">
        <v>2131</v>
      </c>
      <c r="C1043" s="2" t="s">
        <v>2132</v>
      </c>
      <c r="D1043" s="2">
        <v>3</v>
      </c>
      <c r="E1043" s="2">
        <v>3</v>
      </c>
      <c r="F1043" s="2">
        <v>3</v>
      </c>
      <c r="G1043" s="2">
        <v>4</v>
      </c>
      <c r="H1043" s="2">
        <v>5</v>
      </c>
      <c r="I1043" s="3">
        <v>24</v>
      </c>
      <c r="J1043" s="2">
        <v>26</v>
      </c>
      <c r="K1043" s="2">
        <v>2</v>
      </c>
      <c r="L1043" s="2">
        <v>0</v>
      </c>
      <c r="M1043" s="2">
        <v>5</v>
      </c>
      <c r="N1043" s="2">
        <v>11</v>
      </c>
      <c r="O1043" s="2">
        <v>14</v>
      </c>
      <c r="P1043" s="3">
        <v>9</v>
      </c>
      <c r="Q1043" s="2">
        <v>4</v>
      </c>
      <c r="R1043" s="2">
        <v>10</v>
      </c>
      <c r="S1043" s="2">
        <v>5</v>
      </c>
      <c r="T1043" s="2">
        <v>4</v>
      </c>
      <c r="U1043" s="2">
        <v>0</v>
      </c>
      <c r="V1043" s="1">
        <f t="shared" si="421"/>
        <v>67</v>
      </c>
      <c r="W1043" s="2">
        <v>5</v>
      </c>
      <c r="X1043" s="2">
        <v>7</v>
      </c>
      <c r="Y1043" s="2">
        <v>0</v>
      </c>
      <c r="Z1043" s="2">
        <f t="shared" si="419"/>
        <v>12</v>
      </c>
      <c r="AA1043" s="2">
        <f t="shared" si="420"/>
        <v>79</v>
      </c>
      <c r="AB1043" s="2">
        <v>2077</v>
      </c>
      <c r="AC1043" s="20">
        <f t="shared" si="425"/>
        <v>3.80356283100626</v>
      </c>
      <c r="AD1043" s="2" t="s">
        <v>229</v>
      </c>
      <c r="AE1043" s="2">
        <v>188</v>
      </c>
      <c r="AF1043" s="21">
        <f t="shared" si="426"/>
        <v>3.80356283100626</v>
      </c>
      <c r="AG1043" s="4">
        <f t="shared" si="427"/>
        <v>3.2258064516129</v>
      </c>
      <c r="AH1043" s="4">
        <f t="shared" si="428"/>
        <v>0.577756379393356</v>
      </c>
      <c r="AI1043" s="5">
        <v>1964</v>
      </c>
      <c r="AJ1043" s="2">
        <v>184</v>
      </c>
      <c r="AK1043" s="2">
        <v>12</v>
      </c>
      <c r="AL1043" s="2">
        <v>55</v>
      </c>
      <c r="AM1043" s="2">
        <v>83</v>
      </c>
      <c r="AN1043" s="2">
        <v>5</v>
      </c>
      <c r="AO1043" s="2">
        <v>0</v>
      </c>
      <c r="AP1043" s="2">
        <f t="shared" si="422"/>
        <v>2208</v>
      </c>
      <c r="AQ1043" s="2">
        <f t="shared" si="423"/>
        <v>131.663685152057</v>
      </c>
      <c r="AR1043" s="5">
        <f t="shared" si="424"/>
        <v>247.527728085868</v>
      </c>
    </row>
    <row r="1044" spans="1:44">
      <c r="A1044" s="2">
        <v>20260404</v>
      </c>
      <c r="B1044" s="2" t="s">
        <v>2133</v>
      </c>
      <c r="C1044" s="2" t="s">
        <v>2134</v>
      </c>
      <c r="D1044" s="2">
        <v>1</v>
      </c>
      <c r="E1044" s="2">
        <v>1</v>
      </c>
      <c r="F1044" s="2">
        <v>6</v>
      </c>
      <c r="G1044" s="2">
        <v>6</v>
      </c>
      <c r="H1044" s="2">
        <v>11</v>
      </c>
      <c r="I1044" s="3">
        <v>52</v>
      </c>
      <c r="J1044" s="2">
        <v>14</v>
      </c>
      <c r="K1044" s="2">
        <v>0</v>
      </c>
      <c r="L1044" s="2">
        <v>0</v>
      </c>
      <c r="M1044" s="2">
        <v>7</v>
      </c>
      <c r="N1044" s="2">
        <v>1</v>
      </c>
      <c r="O1044" s="2">
        <v>12</v>
      </c>
      <c r="P1044" s="3">
        <v>12</v>
      </c>
      <c r="Q1044" s="2">
        <v>7</v>
      </c>
      <c r="R1044" s="2">
        <v>7</v>
      </c>
      <c r="S1044" s="2">
        <v>0</v>
      </c>
      <c r="T1044" s="2">
        <v>0</v>
      </c>
      <c r="U1044" s="2">
        <v>0</v>
      </c>
      <c r="V1044" s="1">
        <f t="shared" si="421"/>
        <v>89</v>
      </c>
      <c r="W1044" s="2">
        <v>3</v>
      </c>
      <c r="X1044" s="2">
        <v>10</v>
      </c>
      <c r="Y1044" s="2">
        <v>0</v>
      </c>
      <c r="Z1044" s="2">
        <f t="shared" si="419"/>
        <v>13</v>
      </c>
      <c r="AA1044" s="2">
        <f t="shared" si="420"/>
        <v>102</v>
      </c>
      <c r="AB1044" s="2">
        <v>2207</v>
      </c>
      <c r="AC1044" s="20">
        <f t="shared" si="425"/>
        <v>4.62165835976439</v>
      </c>
      <c r="AD1044" s="2" t="s">
        <v>229</v>
      </c>
      <c r="AE1044" s="2">
        <v>188</v>
      </c>
      <c r="AF1044" s="21">
        <f t="shared" si="426"/>
        <v>4.62165835976439</v>
      </c>
      <c r="AG1044" s="4">
        <f t="shared" si="427"/>
        <v>4.03262347077481</v>
      </c>
      <c r="AH1044" s="4">
        <f t="shared" si="428"/>
        <v>0.589034888989579</v>
      </c>
      <c r="AI1044" s="5">
        <v>2000</v>
      </c>
      <c r="AJ1044" s="2">
        <v>272</v>
      </c>
      <c r="AK1044" s="2">
        <v>6</v>
      </c>
      <c r="AL1044" s="2">
        <v>112</v>
      </c>
      <c r="AM1044" s="2">
        <v>67</v>
      </c>
      <c r="AN1044" s="2">
        <v>6</v>
      </c>
      <c r="AO1044" s="2">
        <v>0</v>
      </c>
      <c r="AP1044" s="2">
        <f t="shared" si="422"/>
        <v>2390</v>
      </c>
      <c r="AQ1044" s="2">
        <f t="shared" si="423"/>
        <v>115.069812229177</v>
      </c>
      <c r="AR1044" s="5">
        <f t="shared" si="424"/>
        <v>216.331246990852</v>
      </c>
    </row>
    <row r="1045" spans="1:44">
      <c r="A1045" s="2">
        <v>20260404</v>
      </c>
      <c r="B1045" s="2" t="s">
        <v>2135</v>
      </c>
      <c r="C1045" s="2" t="s">
        <v>2136</v>
      </c>
      <c r="D1045" s="2">
        <v>27</v>
      </c>
      <c r="E1045" s="2">
        <f>38+18</f>
        <v>56</v>
      </c>
      <c r="F1045" s="2">
        <v>7</v>
      </c>
      <c r="G1045" s="2">
        <v>4</v>
      </c>
      <c r="H1045" s="2">
        <v>8</v>
      </c>
      <c r="I1045" s="3">
        <f>144+3</f>
        <v>147</v>
      </c>
      <c r="J1045" s="2">
        <v>22</v>
      </c>
      <c r="K1045" s="2">
        <v>3</v>
      </c>
      <c r="L1045" s="2">
        <v>0</v>
      </c>
      <c r="M1045" s="2">
        <v>3</v>
      </c>
      <c r="N1045" s="2">
        <v>16</v>
      </c>
      <c r="O1045" s="2">
        <v>19</v>
      </c>
      <c r="P1045" s="3">
        <v>5</v>
      </c>
      <c r="Q1045" s="2">
        <v>10</v>
      </c>
      <c r="R1045" s="2">
        <v>19</v>
      </c>
      <c r="S1045" s="2">
        <v>4</v>
      </c>
      <c r="T1045" s="2">
        <v>15</v>
      </c>
      <c r="U1045" s="2">
        <v>1</v>
      </c>
      <c r="V1045" s="1">
        <f t="shared" ref="V1045:V1054" si="429">AA1045-Y1045-X1045-W1045-U1045</f>
        <v>197</v>
      </c>
      <c r="W1045" s="2">
        <v>0</v>
      </c>
      <c r="X1045" s="2">
        <v>10</v>
      </c>
      <c r="Y1045" s="2">
        <v>0</v>
      </c>
      <c r="Z1045" s="2">
        <f t="shared" ref="Z1045:Z1054" si="430">Y1045+X1045+W1045+U1045</f>
        <v>11</v>
      </c>
      <c r="AA1045" s="2">
        <f t="shared" ref="AA1045:AA1054" si="431">G1045+H1045+I1045+J1045+K1045+L1045+M1045+P1045+T1045+U1045</f>
        <v>208</v>
      </c>
      <c r="AB1045" s="2">
        <v>1793</v>
      </c>
      <c r="AC1045" s="20">
        <f t="shared" si="425"/>
        <v>11.6006692693809</v>
      </c>
      <c r="AD1045" s="2" t="s">
        <v>229</v>
      </c>
      <c r="AE1045" s="2">
        <v>188</v>
      </c>
      <c r="AF1045" s="21">
        <f t="shared" si="426"/>
        <v>11.6006692693809</v>
      </c>
      <c r="AG1045" s="4">
        <f t="shared" si="427"/>
        <v>10.9871723368656</v>
      </c>
      <c r="AH1045" s="4">
        <f t="shared" si="428"/>
        <v>0.613496932515337</v>
      </c>
      <c r="AI1045" s="5">
        <v>2363</v>
      </c>
      <c r="AJ1045" s="2">
        <v>273</v>
      </c>
      <c r="AK1045" s="2">
        <v>6</v>
      </c>
      <c r="AL1045" s="2">
        <v>161</v>
      </c>
      <c r="AM1045" s="2">
        <v>162</v>
      </c>
      <c r="AN1045" s="2">
        <v>3</v>
      </c>
      <c r="AO1045" s="2">
        <v>0</v>
      </c>
      <c r="AP1045" s="2">
        <f t="shared" si="422"/>
        <v>2800</v>
      </c>
      <c r="AQ1045" s="2">
        <f t="shared" si="423"/>
        <v>126.86905301314</v>
      </c>
      <c r="AR1045" s="5">
        <f t="shared" si="424"/>
        <v>238.513819664703</v>
      </c>
    </row>
    <row r="1046" spans="1:44">
      <c r="A1046" s="2">
        <v>20260404</v>
      </c>
      <c r="B1046" s="2" t="s">
        <v>2137</v>
      </c>
      <c r="C1046" s="2" t="s">
        <v>2138</v>
      </c>
      <c r="D1046" s="2">
        <v>1</v>
      </c>
      <c r="E1046" s="2">
        <v>1</v>
      </c>
      <c r="F1046" s="2">
        <v>4</v>
      </c>
      <c r="G1046" s="2">
        <v>2</v>
      </c>
      <c r="H1046" s="2">
        <v>1</v>
      </c>
      <c r="I1046" s="3">
        <v>8</v>
      </c>
      <c r="J1046" s="2">
        <v>10</v>
      </c>
      <c r="K1046" s="2">
        <v>0</v>
      </c>
      <c r="L1046" s="2">
        <v>0</v>
      </c>
      <c r="M1046" s="2">
        <v>0</v>
      </c>
      <c r="N1046" s="2">
        <v>12</v>
      </c>
      <c r="O1046" s="2">
        <v>8</v>
      </c>
      <c r="P1046" s="3">
        <v>8</v>
      </c>
      <c r="Q1046" s="2">
        <v>1</v>
      </c>
      <c r="R1046" s="2">
        <v>3</v>
      </c>
      <c r="S1046" s="2">
        <v>1</v>
      </c>
      <c r="T1046" s="2">
        <v>3</v>
      </c>
      <c r="U1046" s="2">
        <v>0</v>
      </c>
      <c r="V1046" s="1">
        <f t="shared" si="429"/>
        <v>26</v>
      </c>
      <c r="W1046" s="2">
        <v>2</v>
      </c>
      <c r="X1046" s="2">
        <v>4</v>
      </c>
      <c r="Y1046" s="2">
        <v>0</v>
      </c>
      <c r="Z1046" s="2">
        <f t="shared" si="430"/>
        <v>6</v>
      </c>
      <c r="AA1046" s="2">
        <f t="shared" si="431"/>
        <v>32</v>
      </c>
      <c r="AB1046" s="2">
        <v>1278</v>
      </c>
      <c r="AC1046" s="20">
        <f t="shared" si="425"/>
        <v>2.50391236306729</v>
      </c>
      <c r="AD1046" s="2" t="s">
        <v>58</v>
      </c>
      <c r="AE1046" s="2">
        <v>188</v>
      </c>
      <c r="AF1046" s="21">
        <f t="shared" si="426"/>
        <v>2.50391236306729</v>
      </c>
      <c r="AG1046" s="4">
        <f t="shared" si="427"/>
        <v>2.03442879499218</v>
      </c>
      <c r="AH1046" s="4">
        <f t="shared" si="428"/>
        <v>0.469483568075117</v>
      </c>
      <c r="AI1046" s="5">
        <v>1438</v>
      </c>
      <c r="AJ1046" s="2">
        <v>114</v>
      </c>
      <c r="AK1046" s="2">
        <v>15</v>
      </c>
      <c r="AL1046" s="2">
        <v>27</v>
      </c>
      <c r="AM1046" s="2">
        <v>27</v>
      </c>
      <c r="AN1046" s="2">
        <v>0</v>
      </c>
      <c r="AO1046" s="2">
        <v>0</v>
      </c>
      <c r="AP1046" s="2">
        <f t="shared" si="422"/>
        <v>1579</v>
      </c>
      <c r="AQ1046" s="2">
        <f t="shared" si="423"/>
        <v>88.0646960401562</v>
      </c>
      <c r="AR1046" s="5">
        <f t="shared" si="424"/>
        <v>165.561628555494</v>
      </c>
    </row>
    <row r="1047" spans="1:44">
      <c r="A1047" s="2">
        <v>20260404</v>
      </c>
      <c r="B1047" s="2" t="s">
        <v>2139</v>
      </c>
      <c r="C1047" s="2" t="s">
        <v>2140</v>
      </c>
      <c r="D1047" s="2">
        <v>31</v>
      </c>
      <c r="E1047" s="2">
        <v>22</v>
      </c>
      <c r="F1047" s="2">
        <v>9</v>
      </c>
      <c r="G1047" s="2">
        <v>7</v>
      </c>
      <c r="H1047" s="2">
        <v>16</v>
      </c>
      <c r="I1047" s="3">
        <v>59</v>
      </c>
      <c r="J1047" s="2">
        <v>26</v>
      </c>
      <c r="K1047" s="2">
        <v>3</v>
      </c>
      <c r="L1047" s="2">
        <v>1</v>
      </c>
      <c r="M1047" s="2">
        <v>12</v>
      </c>
      <c r="N1047" s="2">
        <v>25</v>
      </c>
      <c r="O1047" s="2">
        <v>16</v>
      </c>
      <c r="P1047" s="3">
        <v>12</v>
      </c>
      <c r="Q1047" s="2">
        <v>15</v>
      </c>
      <c r="R1047" s="2">
        <v>16</v>
      </c>
      <c r="S1047" s="2">
        <v>0</v>
      </c>
      <c r="T1047" s="2">
        <v>8</v>
      </c>
      <c r="U1047" s="2">
        <v>0</v>
      </c>
      <c r="V1047" s="1">
        <f t="shared" si="429"/>
        <v>116</v>
      </c>
      <c r="W1047" s="2">
        <v>2</v>
      </c>
      <c r="X1047" s="2">
        <v>25</v>
      </c>
      <c r="Y1047" s="2">
        <v>1</v>
      </c>
      <c r="Z1047" s="2">
        <f t="shared" si="430"/>
        <v>28</v>
      </c>
      <c r="AA1047" s="2">
        <f t="shared" si="431"/>
        <v>144</v>
      </c>
      <c r="AB1047" s="2">
        <v>1577</v>
      </c>
      <c r="AC1047" s="20">
        <f t="shared" si="425"/>
        <v>9.13126188966392</v>
      </c>
      <c r="AD1047" s="2" t="s">
        <v>58</v>
      </c>
      <c r="AE1047" s="2">
        <v>188</v>
      </c>
      <c r="AF1047" s="21">
        <f t="shared" si="426"/>
        <v>9.13126188966392</v>
      </c>
      <c r="AG1047" s="4">
        <f t="shared" si="427"/>
        <v>7.35573874445149</v>
      </c>
      <c r="AH1047" s="4">
        <f t="shared" si="428"/>
        <v>1.77552314521243</v>
      </c>
      <c r="AI1047" s="2">
        <v>1426</v>
      </c>
      <c r="AJ1047" s="2">
        <v>189</v>
      </c>
      <c r="AK1047" s="2">
        <v>12</v>
      </c>
      <c r="AL1047" s="2">
        <v>45</v>
      </c>
      <c r="AM1047" s="2">
        <v>41</v>
      </c>
      <c r="AN1047" s="2">
        <v>6</v>
      </c>
      <c r="AO1047" s="2">
        <v>0</v>
      </c>
      <c r="AP1047" s="2">
        <f t="shared" si="422"/>
        <v>1666</v>
      </c>
      <c r="AQ1047" s="2">
        <f t="shared" si="423"/>
        <v>130.359937402191</v>
      </c>
      <c r="AR1047" s="5">
        <f t="shared" si="424"/>
        <v>245.076682316119</v>
      </c>
    </row>
    <row r="1048" spans="1:44">
      <c r="A1048" s="2">
        <v>20260404</v>
      </c>
      <c r="B1048" s="2" t="s">
        <v>2141</v>
      </c>
      <c r="C1048" s="2" t="s">
        <v>2142</v>
      </c>
      <c r="D1048" s="2">
        <v>2</v>
      </c>
      <c r="E1048" s="2">
        <v>6</v>
      </c>
      <c r="F1048" s="2">
        <v>8</v>
      </c>
      <c r="G1048" s="2">
        <v>2</v>
      </c>
      <c r="H1048" s="2">
        <v>5</v>
      </c>
      <c r="I1048" s="3">
        <v>6</v>
      </c>
      <c r="J1048" s="2">
        <v>11</v>
      </c>
      <c r="K1048" s="2">
        <v>2</v>
      </c>
      <c r="L1048" s="2">
        <v>0</v>
      </c>
      <c r="M1048" s="2">
        <v>11</v>
      </c>
      <c r="N1048" s="2">
        <v>9</v>
      </c>
      <c r="O1048" s="2">
        <v>2</v>
      </c>
      <c r="P1048" s="3">
        <v>11</v>
      </c>
      <c r="Q1048" s="2">
        <v>0</v>
      </c>
      <c r="R1048" s="2">
        <v>4</v>
      </c>
      <c r="S1048" s="2">
        <v>0</v>
      </c>
      <c r="T1048" s="2">
        <v>2</v>
      </c>
      <c r="U1048" s="2">
        <v>1</v>
      </c>
      <c r="V1048" s="1">
        <f t="shared" si="429"/>
        <v>46</v>
      </c>
      <c r="W1048" s="2">
        <v>0</v>
      </c>
      <c r="X1048" s="2">
        <v>3</v>
      </c>
      <c r="Y1048" s="2">
        <v>1</v>
      </c>
      <c r="Z1048" s="2">
        <f t="shared" si="430"/>
        <v>5</v>
      </c>
      <c r="AA1048" s="2">
        <f t="shared" si="431"/>
        <v>51</v>
      </c>
      <c r="AB1048" s="2">
        <v>1427</v>
      </c>
      <c r="AC1048" s="20">
        <f t="shared" si="425"/>
        <v>3.5739313244569</v>
      </c>
      <c r="AD1048" s="2" t="s">
        <v>58</v>
      </c>
      <c r="AE1048" s="2">
        <v>188</v>
      </c>
      <c r="AF1048" s="21">
        <f t="shared" si="426"/>
        <v>3.5739313244569</v>
      </c>
      <c r="AG1048" s="4">
        <f t="shared" si="427"/>
        <v>3.22354590049054</v>
      </c>
      <c r="AH1048" s="4">
        <f t="shared" si="428"/>
        <v>0.350385423966363</v>
      </c>
      <c r="AI1048" s="2">
        <v>1145</v>
      </c>
      <c r="AJ1048" s="2">
        <v>153</v>
      </c>
      <c r="AK1048" s="2">
        <v>4</v>
      </c>
      <c r="AL1048" s="2">
        <v>17</v>
      </c>
      <c r="AM1048" s="2">
        <v>18</v>
      </c>
      <c r="AN1048" s="2">
        <v>2</v>
      </c>
      <c r="AO1048" s="2">
        <v>0</v>
      </c>
      <c r="AP1048" s="2">
        <f t="shared" ref="AP1048:AP1054" si="432">AI1048+AJ1048+AL1048+AN1048</f>
        <v>1317</v>
      </c>
      <c r="AQ1048" s="2">
        <f t="shared" si="423"/>
        <v>83.5129993658846</v>
      </c>
      <c r="AR1048" s="5">
        <f t="shared" si="424"/>
        <v>157.004438807863</v>
      </c>
    </row>
    <row r="1049" spans="1:44">
      <c r="A1049" s="2">
        <v>20260404</v>
      </c>
      <c r="B1049" s="2" t="s">
        <v>2143</v>
      </c>
      <c r="C1049" s="2" t="s">
        <v>2144</v>
      </c>
      <c r="D1049" s="2">
        <v>7</v>
      </c>
      <c r="E1049" s="2">
        <v>3</v>
      </c>
      <c r="F1049" s="2">
        <v>9</v>
      </c>
      <c r="G1049" s="2">
        <v>15</v>
      </c>
      <c r="H1049" s="2">
        <v>8</v>
      </c>
      <c r="I1049" s="3">
        <v>33</v>
      </c>
      <c r="J1049" s="2">
        <v>17</v>
      </c>
      <c r="K1049" s="2">
        <v>5</v>
      </c>
      <c r="L1049" s="2">
        <v>2</v>
      </c>
      <c r="M1049" s="2">
        <v>9</v>
      </c>
      <c r="N1049" s="2">
        <v>24</v>
      </c>
      <c r="O1049" s="2">
        <v>16</v>
      </c>
      <c r="P1049" s="3">
        <v>14</v>
      </c>
      <c r="Q1049" s="2">
        <v>6</v>
      </c>
      <c r="R1049" s="2">
        <v>3</v>
      </c>
      <c r="S1049" s="2">
        <v>5</v>
      </c>
      <c r="T1049" s="2">
        <v>2</v>
      </c>
      <c r="U1049" s="2">
        <v>0</v>
      </c>
      <c r="V1049" s="1">
        <f t="shared" si="429"/>
        <v>90</v>
      </c>
      <c r="W1049" s="2">
        <v>0</v>
      </c>
      <c r="X1049" s="2">
        <v>15</v>
      </c>
      <c r="Y1049" s="2">
        <v>0</v>
      </c>
      <c r="Z1049" s="2">
        <f t="shared" si="430"/>
        <v>15</v>
      </c>
      <c r="AA1049" s="2">
        <f t="shared" si="431"/>
        <v>105</v>
      </c>
      <c r="AB1049" s="2">
        <v>2516</v>
      </c>
      <c r="AC1049" s="20">
        <f t="shared" si="425"/>
        <v>4.17329093799682</v>
      </c>
      <c r="AD1049" s="2" t="s">
        <v>58</v>
      </c>
      <c r="AE1049" s="2">
        <v>188</v>
      </c>
      <c r="AF1049" s="21">
        <f t="shared" si="426"/>
        <v>4.17329093799682</v>
      </c>
      <c r="AG1049" s="4">
        <f t="shared" si="427"/>
        <v>3.57710651828299</v>
      </c>
      <c r="AH1049" s="4">
        <f t="shared" si="428"/>
        <v>0.596184419713832</v>
      </c>
      <c r="AI1049" s="2">
        <v>1972</v>
      </c>
      <c r="AJ1049" s="2">
        <v>440</v>
      </c>
      <c r="AK1049" s="2">
        <v>9</v>
      </c>
      <c r="AL1049" s="2">
        <v>39</v>
      </c>
      <c r="AM1049" s="2">
        <v>86</v>
      </c>
      <c r="AN1049" s="2">
        <v>4</v>
      </c>
      <c r="AO1049" s="2">
        <v>0</v>
      </c>
      <c r="AP1049" s="2">
        <f t="shared" si="432"/>
        <v>2455</v>
      </c>
      <c r="AQ1049" s="2">
        <f t="shared" si="423"/>
        <v>172.039243167484</v>
      </c>
      <c r="AR1049" s="5">
        <f t="shared" si="424"/>
        <v>323.43377715487</v>
      </c>
    </row>
    <row r="1050" spans="1:44">
      <c r="A1050" s="2">
        <v>20260404</v>
      </c>
      <c r="B1050" s="2" t="s">
        <v>2145</v>
      </c>
      <c r="C1050" s="2" t="s">
        <v>2146</v>
      </c>
      <c r="D1050" s="2">
        <v>1</v>
      </c>
      <c r="E1050" s="2">
        <v>2</v>
      </c>
      <c r="F1050" s="2">
        <v>1</v>
      </c>
      <c r="G1050" s="2">
        <v>1</v>
      </c>
      <c r="H1050" s="2">
        <v>6</v>
      </c>
      <c r="I1050" s="3">
        <v>33</v>
      </c>
      <c r="J1050" s="2">
        <v>1</v>
      </c>
      <c r="K1050" s="2">
        <v>1</v>
      </c>
      <c r="L1050" s="2">
        <v>0</v>
      </c>
      <c r="M1050" s="2">
        <v>5</v>
      </c>
      <c r="N1050" s="2">
        <v>4</v>
      </c>
      <c r="O1050" s="2">
        <v>12</v>
      </c>
      <c r="P1050" s="3">
        <v>4</v>
      </c>
      <c r="Q1050" s="2">
        <v>5</v>
      </c>
      <c r="R1050" s="2">
        <v>9</v>
      </c>
      <c r="S1050" s="2">
        <v>1</v>
      </c>
      <c r="T1050" s="2">
        <v>2</v>
      </c>
      <c r="U1050" s="2">
        <v>0</v>
      </c>
      <c r="V1050" s="1">
        <f t="shared" si="429"/>
        <v>43</v>
      </c>
      <c r="W1050" s="2">
        <v>0</v>
      </c>
      <c r="X1050" s="2">
        <v>10</v>
      </c>
      <c r="Y1050" s="2">
        <v>0</v>
      </c>
      <c r="Z1050" s="2">
        <f t="shared" si="430"/>
        <v>10</v>
      </c>
      <c r="AA1050" s="2">
        <f t="shared" si="431"/>
        <v>53</v>
      </c>
      <c r="AB1050" s="2">
        <v>1676</v>
      </c>
      <c r="AC1050" s="20">
        <f t="shared" si="425"/>
        <v>3.16229116945107</v>
      </c>
      <c r="AD1050" s="2" t="s">
        <v>229</v>
      </c>
      <c r="AE1050" s="2">
        <v>188</v>
      </c>
      <c r="AF1050" s="21">
        <f t="shared" si="426"/>
        <v>3.16229116945107</v>
      </c>
      <c r="AG1050" s="4">
        <f t="shared" si="427"/>
        <v>2.56563245823389</v>
      </c>
      <c r="AH1050" s="4">
        <f t="shared" si="428"/>
        <v>0.596658711217184</v>
      </c>
      <c r="AI1050" s="2">
        <v>1206</v>
      </c>
      <c r="AJ1050" s="2">
        <v>215</v>
      </c>
      <c r="AK1050" s="2">
        <v>10</v>
      </c>
      <c r="AL1050" s="2">
        <v>35</v>
      </c>
      <c r="AM1050" s="2">
        <v>56</v>
      </c>
      <c r="AN1050" s="2">
        <v>3</v>
      </c>
      <c r="AO1050" s="2">
        <v>0</v>
      </c>
      <c r="AP1050" s="2">
        <f t="shared" si="432"/>
        <v>1459</v>
      </c>
      <c r="AQ1050" s="2">
        <f t="shared" si="423"/>
        <v>57.9888712241653</v>
      </c>
      <c r="AR1050" s="5">
        <f t="shared" si="424"/>
        <v>109.019077901431</v>
      </c>
    </row>
    <row r="1051" spans="1:44">
      <c r="A1051" s="2">
        <v>20260404</v>
      </c>
      <c r="B1051" s="2" t="s">
        <v>2147</v>
      </c>
      <c r="C1051" s="2" t="s">
        <v>2148</v>
      </c>
      <c r="D1051" s="2">
        <v>2</v>
      </c>
      <c r="E1051" s="2">
        <v>1</v>
      </c>
      <c r="F1051" s="2">
        <v>10</v>
      </c>
      <c r="G1051" s="2">
        <v>10</v>
      </c>
      <c r="H1051" s="2">
        <v>6</v>
      </c>
      <c r="I1051" s="3">
        <v>11</v>
      </c>
      <c r="J1051" s="2">
        <v>11</v>
      </c>
      <c r="K1051" s="2">
        <v>1</v>
      </c>
      <c r="L1051" s="2">
        <v>2</v>
      </c>
      <c r="M1051" s="2">
        <v>7</v>
      </c>
      <c r="N1051" s="2">
        <v>6</v>
      </c>
      <c r="O1051" s="2">
        <v>27</v>
      </c>
      <c r="P1051" s="3">
        <v>8</v>
      </c>
      <c r="Q1051" s="2">
        <v>7</v>
      </c>
      <c r="R1051" s="2">
        <v>2</v>
      </c>
      <c r="S1051" s="2">
        <v>2</v>
      </c>
      <c r="T1051" s="2">
        <v>7</v>
      </c>
      <c r="U1051" s="2">
        <v>1</v>
      </c>
      <c r="V1051" s="1">
        <f t="shared" si="429"/>
        <v>63</v>
      </c>
      <c r="W1051" s="2">
        <v>0</v>
      </c>
      <c r="X1051" s="2">
        <v>0</v>
      </c>
      <c r="Y1051" s="2">
        <v>0</v>
      </c>
      <c r="Z1051" s="2">
        <f t="shared" si="430"/>
        <v>1</v>
      </c>
      <c r="AA1051" s="2">
        <f t="shared" si="431"/>
        <v>64</v>
      </c>
      <c r="AB1051" s="2">
        <v>2515</v>
      </c>
      <c r="AC1051" s="20">
        <f t="shared" si="425"/>
        <v>2.54473161033797</v>
      </c>
      <c r="AD1051" s="2" t="s">
        <v>44</v>
      </c>
      <c r="AE1051" s="2">
        <v>188</v>
      </c>
      <c r="AF1051" s="21">
        <f t="shared" si="426"/>
        <v>2.54473161033797</v>
      </c>
      <c r="AG1051" s="4">
        <f t="shared" si="427"/>
        <v>2.50497017892644</v>
      </c>
      <c r="AH1051" s="4">
        <f t="shared" si="428"/>
        <v>0.0397614314115308</v>
      </c>
      <c r="AI1051" s="2">
        <v>1235</v>
      </c>
      <c r="AJ1051" s="2">
        <v>192</v>
      </c>
      <c r="AK1051" s="2">
        <v>8</v>
      </c>
      <c r="AL1051" s="2">
        <v>65</v>
      </c>
      <c r="AM1051" s="2">
        <v>51</v>
      </c>
      <c r="AN1051" s="2">
        <v>7</v>
      </c>
      <c r="AO1051" s="2">
        <v>0</v>
      </c>
      <c r="AP1051" s="2">
        <f t="shared" si="432"/>
        <v>1499</v>
      </c>
      <c r="AQ1051" s="2">
        <f t="shared" si="423"/>
        <v>89.4391408114558</v>
      </c>
      <c r="AR1051" s="5">
        <f t="shared" si="424"/>
        <v>168.145584725537</v>
      </c>
    </row>
    <row r="1052" spans="1:44">
      <c r="A1052" s="2">
        <v>20260405</v>
      </c>
      <c r="B1052" s="2" t="s">
        <v>2149</v>
      </c>
      <c r="C1052" s="2" t="s">
        <v>2150</v>
      </c>
      <c r="D1052" s="2">
        <v>1</v>
      </c>
      <c r="E1052" s="2">
        <v>2134</v>
      </c>
      <c r="F1052" s="2">
        <v>9</v>
      </c>
      <c r="G1052" s="2">
        <v>7</v>
      </c>
      <c r="H1052" s="2">
        <v>3</v>
      </c>
      <c r="I1052" s="3">
        <v>5</v>
      </c>
      <c r="J1052" s="2">
        <v>15</v>
      </c>
      <c r="K1052" s="2">
        <v>0</v>
      </c>
      <c r="L1052" s="2">
        <v>0</v>
      </c>
      <c r="M1052" s="2">
        <v>7</v>
      </c>
      <c r="N1052" s="2">
        <v>6</v>
      </c>
      <c r="O1052" s="2">
        <v>27</v>
      </c>
      <c r="P1052" s="3">
        <v>3</v>
      </c>
      <c r="Q1052" s="2">
        <v>6</v>
      </c>
      <c r="R1052" s="2">
        <v>15</v>
      </c>
      <c r="S1052" s="2">
        <v>0</v>
      </c>
      <c r="T1052" s="2">
        <v>2</v>
      </c>
      <c r="U1052" s="2">
        <v>0</v>
      </c>
      <c r="V1052" s="1">
        <f t="shared" si="429"/>
        <v>42</v>
      </c>
      <c r="W1052" s="2">
        <v>0</v>
      </c>
      <c r="X1052" s="2">
        <v>0</v>
      </c>
      <c r="Y1052" s="2">
        <v>0</v>
      </c>
      <c r="Z1052" s="2">
        <f t="shared" si="430"/>
        <v>0</v>
      </c>
      <c r="AA1052" s="2">
        <f t="shared" si="431"/>
        <v>42</v>
      </c>
      <c r="AB1052" s="2">
        <v>1428</v>
      </c>
      <c r="AC1052" s="20">
        <f t="shared" si="425"/>
        <v>2.94117647058823</v>
      </c>
      <c r="AD1052" s="2" t="s">
        <v>58</v>
      </c>
      <c r="AE1052" s="2">
        <v>188</v>
      </c>
      <c r="AF1052" s="21">
        <f t="shared" si="426"/>
        <v>2.94117647058823</v>
      </c>
      <c r="AG1052" s="4">
        <f t="shared" si="427"/>
        <v>2.94117647058823</v>
      </c>
      <c r="AH1052" s="4">
        <f t="shared" si="428"/>
        <v>0</v>
      </c>
      <c r="AI1052" s="2">
        <v>613</v>
      </c>
      <c r="AJ1052" s="2">
        <v>92</v>
      </c>
      <c r="AK1052" s="2">
        <v>1</v>
      </c>
      <c r="AL1052" s="2">
        <v>19</v>
      </c>
      <c r="AM1052" s="2">
        <v>24</v>
      </c>
      <c r="AN1052" s="2">
        <v>2</v>
      </c>
      <c r="AO1052" s="2">
        <v>0</v>
      </c>
      <c r="AP1052" s="2">
        <f t="shared" ref="AP1052:AP1061" si="433">AI1052+AJ1052+AL1052+AN1052</f>
        <v>726</v>
      </c>
      <c r="AQ1052" s="2">
        <f t="shared" si="423"/>
        <v>28.8667992047714</v>
      </c>
      <c r="AR1052" s="5">
        <f t="shared" si="424"/>
        <v>54.2695825049702</v>
      </c>
    </row>
    <row r="1053" spans="1:44">
      <c r="A1053" s="2">
        <v>20260405</v>
      </c>
      <c r="B1053" s="2" t="s">
        <v>2151</v>
      </c>
      <c r="C1053" s="2" t="s">
        <v>2152</v>
      </c>
      <c r="D1053" s="2">
        <v>0</v>
      </c>
      <c r="E1053" s="2">
        <v>1</v>
      </c>
      <c r="F1053" s="2">
        <v>15</v>
      </c>
      <c r="G1053" s="2">
        <v>7</v>
      </c>
      <c r="H1053" s="2">
        <v>3</v>
      </c>
      <c r="I1053" s="3">
        <v>24</v>
      </c>
      <c r="J1053" s="2">
        <v>8</v>
      </c>
      <c r="K1053" s="2">
        <v>1</v>
      </c>
      <c r="L1053" s="2">
        <v>0</v>
      </c>
      <c r="M1053" s="2">
        <v>8</v>
      </c>
      <c r="N1053" s="2">
        <v>6</v>
      </c>
      <c r="O1053" s="2">
        <v>16</v>
      </c>
      <c r="P1053" s="3">
        <v>10</v>
      </c>
      <c r="Q1053" s="2">
        <v>12</v>
      </c>
      <c r="R1053" s="2">
        <v>5</v>
      </c>
      <c r="S1053" s="2">
        <v>2</v>
      </c>
      <c r="T1053" s="2">
        <v>3</v>
      </c>
      <c r="U1053" s="2">
        <v>0</v>
      </c>
      <c r="V1053" s="1">
        <f t="shared" ref="V1053:V1060" si="434">AA1053-Y1053-X1053-W1053-U1053</f>
        <v>57</v>
      </c>
      <c r="W1053" s="2">
        <v>1</v>
      </c>
      <c r="X1053" s="2">
        <v>6</v>
      </c>
      <c r="Y1053" s="2">
        <v>0</v>
      </c>
      <c r="Z1053" s="2">
        <f t="shared" ref="Z1053:Z1060" si="435">Y1053+X1053+W1053+U1053</f>
        <v>7</v>
      </c>
      <c r="AA1053" s="2">
        <f t="shared" ref="AA1053:AA1060" si="436">G1053+H1053+I1053+J1053+K1053+L1053+M1053+P1053+T1053+U1053</f>
        <v>64</v>
      </c>
      <c r="AB1053" s="2">
        <v>2515</v>
      </c>
      <c r="AC1053" s="20">
        <f t="shared" si="425"/>
        <v>2.54473161033797</v>
      </c>
      <c r="AD1053" s="2" t="s">
        <v>58</v>
      </c>
      <c r="AE1053" s="2">
        <v>188</v>
      </c>
      <c r="AF1053" s="21">
        <f t="shared" ref="AF1053:AF1060" si="437">188/AE1053*AC1053</f>
        <v>2.54473161033797</v>
      </c>
      <c r="AG1053" s="4">
        <f t="shared" ref="AG1053:AG1060" si="438">V1053/AB1053*100</f>
        <v>2.26640159045726</v>
      </c>
      <c r="AH1053" s="4">
        <f t="shared" ref="AH1053:AH1060" si="439">Z1053/AB1053*100</f>
        <v>0.278330019880716</v>
      </c>
      <c r="AI1053" s="2">
        <v>826</v>
      </c>
      <c r="AJ1053" s="2">
        <v>127</v>
      </c>
      <c r="AK1053" s="2">
        <v>4</v>
      </c>
      <c r="AL1053" s="2">
        <v>21</v>
      </c>
      <c r="AM1053" s="2">
        <v>40</v>
      </c>
      <c r="AN1053" s="2">
        <v>13</v>
      </c>
      <c r="AO1053" s="2">
        <v>0</v>
      </c>
      <c r="AP1053" s="2">
        <f t="shared" si="433"/>
        <v>987</v>
      </c>
      <c r="AQ1053" s="2">
        <f t="shared" si="423"/>
        <v>69.1176470588235</v>
      </c>
      <c r="AR1053" s="5">
        <f t="shared" si="424"/>
        <v>129.941176470588</v>
      </c>
    </row>
    <row r="1054" spans="1:44">
      <c r="A1054" s="2">
        <v>20260405</v>
      </c>
      <c r="B1054" s="2" t="s">
        <v>2153</v>
      </c>
      <c r="C1054" s="2" t="s">
        <v>2154</v>
      </c>
      <c r="D1054" s="2">
        <v>0</v>
      </c>
      <c r="E1054" s="2">
        <v>1</v>
      </c>
      <c r="F1054" s="2">
        <v>11</v>
      </c>
      <c r="G1054" s="2">
        <v>5</v>
      </c>
      <c r="H1054" s="2">
        <v>14</v>
      </c>
      <c r="I1054" s="3">
        <v>12</v>
      </c>
      <c r="J1054" s="2">
        <v>6</v>
      </c>
      <c r="K1054" s="2">
        <v>6</v>
      </c>
      <c r="L1054" s="2">
        <v>1</v>
      </c>
      <c r="M1054" s="2">
        <v>7</v>
      </c>
      <c r="N1054" s="2">
        <v>16</v>
      </c>
      <c r="O1054" s="2">
        <v>42</v>
      </c>
      <c r="P1054" s="3">
        <v>13</v>
      </c>
      <c r="Q1054" s="2">
        <v>12</v>
      </c>
      <c r="R1054" s="2">
        <v>9</v>
      </c>
      <c r="S1054" s="2">
        <v>1</v>
      </c>
      <c r="T1054" s="2">
        <v>8</v>
      </c>
      <c r="U1054" s="2">
        <v>0</v>
      </c>
      <c r="V1054" s="1">
        <f t="shared" si="434"/>
        <v>72</v>
      </c>
      <c r="W1054" s="2">
        <v>0</v>
      </c>
      <c r="X1054" s="2">
        <v>0</v>
      </c>
      <c r="Y1054" s="2">
        <v>0</v>
      </c>
      <c r="Z1054" s="2">
        <f t="shared" si="435"/>
        <v>0</v>
      </c>
      <c r="AA1054" s="2">
        <f t="shared" si="436"/>
        <v>72</v>
      </c>
      <c r="AB1054" s="2">
        <v>1607</v>
      </c>
      <c r="AC1054" s="20">
        <f t="shared" si="425"/>
        <v>4.4803982576229</v>
      </c>
      <c r="AD1054" s="2" t="s">
        <v>58</v>
      </c>
      <c r="AE1054" s="2">
        <v>188</v>
      </c>
      <c r="AF1054" s="21">
        <f t="shared" si="437"/>
        <v>4.4803982576229</v>
      </c>
      <c r="AG1054" s="4">
        <f t="shared" si="438"/>
        <v>4.4803982576229</v>
      </c>
      <c r="AH1054" s="4">
        <f t="shared" si="439"/>
        <v>0</v>
      </c>
      <c r="AI1054" s="2">
        <v>789</v>
      </c>
      <c r="AJ1054" s="2">
        <v>105</v>
      </c>
      <c r="AK1054" s="2">
        <v>3</v>
      </c>
      <c r="AL1054" s="2">
        <v>43</v>
      </c>
      <c r="AM1054" s="2">
        <v>163</v>
      </c>
      <c r="AN1054" s="2">
        <v>4</v>
      </c>
      <c r="AO1054" s="2">
        <v>0</v>
      </c>
      <c r="AP1054" s="2">
        <f t="shared" si="433"/>
        <v>941</v>
      </c>
      <c r="AQ1054" s="2">
        <f t="shared" si="423"/>
        <v>37.4155069582505</v>
      </c>
      <c r="AR1054" s="5">
        <f t="shared" si="424"/>
        <v>70.3411530815109</v>
      </c>
    </row>
    <row r="1055" spans="1:44">
      <c r="A1055" s="2">
        <v>20260405</v>
      </c>
      <c r="B1055" s="2" t="s">
        <v>2155</v>
      </c>
      <c r="C1055" s="2" t="s">
        <v>2156</v>
      </c>
      <c r="D1055" s="2">
        <v>1</v>
      </c>
      <c r="E1055" s="2">
        <v>1</v>
      </c>
      <c r="F1055" s="2">
        <v>7</v>
      </c>
      <c r="G1055" s="2">
        <v>8</v>
      </c>
      <c r="H1055" s="2">
        <v>5</v>
      </c>
      <c r="I1055" s="3">
        <v>12</v>
      </c>
      <c r="J1055" s="2">
        <v>18</v>
      </c>
      <c r="K1055" s="2">
        <v>0</v>
      </c>
      <c r="L1055" s="2">
        <v>1</v>
      </c>
      <c r="M1055" s="2">
        <v>6</v>
      </c>
      <c r="N1055" s="2">
        <v>3</v>
      </c>
      <c r="O1055" s="2">
        <v>15</v>
      </c>
      <c r="P1055" s="3">
        <v>5</v>
      </c>
      <c r="Q1055" s="2">
        <v>10</v>
      </c>
      <c r="R1055" s="2">
        <v>3</v>
      </c>
      <c r="S1055" s="2">
        <v>2</v>
      </c>
      <c r="T1055" s="2">
        <v>5</v>
      </c>
      <c r="U1055" s="2">
        <v>0</v>
      </c>
      <c r="V1055" s="1">
        <f t="shared" si="434"/>
        <v>58</v>
      </c>
      <c r="W1055" s="2">
        <v>0</v>
      </c>
      <c r="X1055" s="2">
        <v>0</v>
      </c>
      <c r="Y1055" s="2">
        <v>2</v>
      </c>
      <c r="Z1055" s="2">
        <f t="shared" si="435"/>
        <v>2</v>
      </c>
      <c r="AA1055" s="2">
        <f t="shared" si="436"/>
        <v>60</v>
      </c>
      <c r="AB1055" s="2">
        <v>2515</v>
      </c>
      <c r="AC1055" s="20">
        <f t="shared" si="425"/>
        <v>2.38568588469185</v>
      </c>
      <c r="AD1055" s="2" t="s">
        <v>58</v>
      </c>
      <c r="AE1055" s="2">
        <v>188</v>
      </c>
      <c r="AF1055" s="21">
        <f t="shared" si="437"/>
        <v>2.38568588469185</v>
      </c>
      <c r="AG1055" s="4">
        <f t="shared" si="438"/>
        <v>2.30616302186879</v>
      </c>
      <c r="AH1055" s="4">
        <f t="shared" si="439"/>
        <v>0.0795228628230616</v>
      </c>
      <c r="AI1055" s="2">
        <v>467</v>
      </c>
      <c r="AJ1055" s="2">
        <v>59</v>
      </c>
      <c r="AK1055" s="2">
        <v>0</v>
      </c>
      <c r="AL1055" s="2">
        <v>18</v>
      </c>
      <c r="AM1055" s="2">
        <v>17</v>
      </c>
      <c r="AN1055" s="2">
        <v>3</v>
      </c>
      <c r="AO1055" s="2">
        <v>0</v>
      </c>
      <c r="AP1055" s="2">
        <f t="shared" si="433"/>
        <v>547</v>
      </c>
      <c r="AQ1055" s="2">
        <f t="shared" ref="AQ1055:AQ1063" si="440">AP1055/AB1054*100</f>
        <v>34.0385812072184</v>
      </c>
      <c r="AR1055" s="5">
        <f t="shared" si="424"/>
        <v>63.9925326695706</v>
      </c>
    </row>
    <row r="1056" spans="1:44">
      <c r="A1056" s="2">
        <v>20260405</v>
      </c>
      <c r="B1056" s="2" t="s">
        <v>2157</v>
      </c>
      <c r="C1056" s="2" t="s">
        <v>2158</v>
      </c>
      <c r="D1056" s="2">
        <v>1</v>
      </c>
      <c r="E1056" s="2">
        <v>2107</v>
      </c>
      <c r="F1056" s="2">
        <v>19</v>
      </c>
      <c r="G1056" s="2">
        <v>3</v>
      </c>
      <c r="H1056" s="2">
        <v>3</v>
      </c>
      <c r="I1056" s="3">
        <v>17</v>
      </c>
      <c r="J1056" s="2">
        <v>30</v>
      </c>
      <c r="K1056" s="2">
        <v>3</v>
      </c>
      <c r="L1056" s="2">
        <v>0</v>
      </c>
      <c r="M1056" s="2">
        <v>9</v>
      </c>
      <c r="N1056" s="2">
        <v>17</v>
      </c>
      <c r="O1056" s="2">
        <v>18</v>
      </c>
      <c r="P1056" s="3">
        <v>9</v>
      </c>
      <c r="Q1056" s="2">
        <v>17</v>
      </c>
      <c r="R1056" s="2">
        <v>5</v>
      </c>
      <c r="S1056" s="2">
        <v>0</v>
      </c>
      <c r="T1056" s="2">
        <v>2</v>
      </c>
      <c r="U1056" s="2">
        <v>1</v>
      </c>
      <c r="V1056" s="1">
        <f t="shared" si="434"/>
        <v>71</v>
      </c>
      <c r="W1056" s="2">
        <v>2</v>
      </c>
      <c r="X1056" s="2">
        <v>3</v>
      </c>
      <c r="Y1056" s="2">
        <v>0</v>
      </c>
      <c r="Z1056" s="2">
        <f t="shared" si="435"/>
        <v>6</v>
      </c>
      <c r="AA1056" s="2">
        <f t="shared" si="436"/>
        <v>77</v>
      </c>
      <c r="AB1056" s="2">
        <v>2586</v>
      </c>
      <c r="AC1056" s="20">
        <f t="shared" ref="AC1056:AC1064" si="441">AA1056/AB1056*100</f>
        <v>2.97757153905646</v>
      </c>
      <c r="AD1056" s="2" t="s">
        <v>58</v>
      </c>
      <c r="AE1056" s="2">
        <v>188</v>
      </c>
      <c r="AF1056" s="21">
        <f t="shared" si="437"/>
        <v>2.97757153905646</v>
      </c>
      <c r="AG1056" s="4">
        <f t="shared" si="438"/>
        <v>2.74555297757154</v>
      </c>
      <c r="AH1056" s="4">
        <f t="shared" si="439"/>
        <v>0.232018561484919</v>
      </c>
      <c r="AI1056" s="2">
        <v>29</v>
      </c>
      <c r="AJ1056" s="2">
        <v>5</v>
      </c>
      <c r="AK1056" s="2">
        <v>0</v>
      </c>
      <c r="AL1056" s="2">
        <v>0</v>
      </c>
      <c r="AM1056" s="2">
        <v>1</v>
      </c>
      <c r="AN1056" s="2">
        <v>0</v>
      </c>
      <c r="AO1056" s="2">
        <v>0</v>
      </c>
      <c r="AP1056" s="2">
        <f t="shared" si="433"/>
        <v>34</v>
      </c>
      <c r="AQ1056" s="2">
        <f t="shared" si="440"/>
        <v>1.35188866799205</v>
      </c>
      <c r="AR1056" s="5">
        <f t="shared" si="424"/>
        <v>2.54155069582505</v>
      </c>
    </row>
    <row r="1057" spans="1:44">
      <c r="A1057" s="2">
        <v>20260405</v>
      </c>
      <c r="B1057" s="2" t="s">
        <v>2159</v>
      </c>
      <c r="C1057" s="2" t="s">
        <v>2160</v>
      </c>
      <c r="D1057" s="2">
        <v>2</v>
      </c>
      <c r="E1057" s="2">
        <v>0</v>
      </c>
      <c r="F1057" s="2">
        <v>8</v>
      </c>
      <c r="G1057" s="2">
        <v>3</v>
      </c>
      <c r="H1057" s="2">
        <v>5</v>
      </c>
      <c r="I1057" s="3">
        <v>9</v>
      </c>
      <c r="J1057" s="2">
        <v>12</v>
      </c>
      <c r="K1057" s="2">
        <v>3</v>
      </c>
      <c r="L1057" s="2">
        <v>0</v>
      </c>
      <c r="M1057" s="2">
        <v>9</v>
      </c>
      <c r="N1057" s="2">
        <v>9</v>
      </c>
      <c r="O1057" s="2">
        <v>15</v>
      </c>
      <c r="P1057" s="3">
        <v>3</v>
      </c>
      <c r="Q1057" s="2">
        <v>5</v>
      </c>
      <c r="R1057" s="2">
        <v>0</v>
      </c>
      <c r="S1057" s="2">
        <v>0</v>
      </c>
      <c r="T1057" s="2">
        <v>3</v>
      </c>
      <c r="U1057" s="2">
        <v>0</v>
      </c>
      <c r="V1057" s="1">
        <f t="shared" si="434"/>
        <v>45</v>
      </c>
      <c r="W1057" s="2">
        <v>2</v>
      </c>
      <c r="X1057" s="2">
        <v>0</v>
      </c>
      <c r="Y1057" s="2">
        <v>0</v>
      </c>
      <c r="Z1057" s="2">
        <f t="shared" si="435"/>
        <v>2</v>
      </c>
      <c r="AA1057" s="2">
        <f t="shared" si="436"/>
        <v>47</v>
      </c>
      <c r="AB1057" s="2">
        <v>1323</v>
      </c>
      <c r="AC1057" s="20">
        <f t="shared" si="441"/>
        <v>3.5525321239607</v>
      </c>
      <c r="AD1057" s="2" t="s">
        <v>58</v>
      </c>
      <c r="AE1057" s="2">
        <v>188</v>
      </c>
      <c r="AF1057" s="21">
        <f t="shared" si="437"/>
        <v>3.5525321239607</v>
      </c>
      <c r="AG1057" s="4">
        <f t="shared" ref="AG1057:AG1070" si="442">V1057/AB1057*100</f>
        <v>3.40136054421769</v>
      </c>
      <c r="AH1057" s="4">
        <f t="shared" ref="AH1057:AH1066" si="443">Z1057/AB1057*100</f>
        <v>0.151171579743008</v>
      </c>
      <c r="AI1057" s="2">
        <v>29</v>
      </c>
      <c r="AJ1057" s="2">
        <v>5</v>
      </c>
      <c r="AK1057" s="2">
        <v>0</v>
      </c>
      <c r="AL1057" s="2">
        <v>0</v>
      </c>
      <c r="AM1057" s="2">
        <v>1</v>
      </c>
      <c r="AN1057" s="2">
        <v>0</v>
      </c>
      <c r="AO1057" s="2">
        <v>0</v>
      </c>
      <c r="AP1057" s="2">
        <f t="shared" si="433"/>
        <v>34</v>
      </c>
      <c r="AQ1057" s="2">
        <f t="shared" si="440"/>
        <v>1.31477184841454</v>
      </c>
      <c r="AR1057" s="5">
        <f t="shared" si="424"/>
        <v>2.47177107501933</v>
      </c>
    </row>
    <row r="1058" spans="1:44">
      <c r="A1058" s="2">
        <v>20260405</v>
      </c>
      <c r="B1058" s="2" t="s">
        <v>2161</v>
      </c>
      <c r="C1058" s="2" t="s">
        <v>2162</v>
      </c>
      <c r="D1058" s="2">
        <v>4</v>
      </c>
      <c r="E1058" s="2">
        <v>2</v>
      </c>
      <c r="F1058" s="2">
        <v>11</v>
      </c>
      <c r="G1058" s="2">
        <v>6</v>
      </c>
      <c r="H1058" s="2">
        <v>7</v>
      </c>
      <c r="I1058" s="3">
        <v>16</v>
      </c>
      <c r="J1058" s="2">
        <v>17</v>
      </c>
      <c r="K1058" s="2">
        <v>2</v>
      </c>
      <c r="L1058" s="2">
        <v>0</v>
      </c>
      <c r="M1058" s="2">
        <v>5</v>
      </c>
      <c r="N1058" s="2">
        <v>11</v>
      </c>
      <c r="O1058" s="2">
        <v>20</v>
      </c>
      <c r="P1058" s="3">
        <v>11</v>
      </c>
      <c r="Q1058" s="2">
        <v>10</v>
      </c>
      <c r="R1058" s="2">
        <v>2</v>
      </c>
      <c r="S1058" s="2">
        <v>6</v>
      </c>
      <c r="T1058" s="2">
        <v>0</v>
      </c>
      <c r="U1058" s="2">
        <v>0</v>
      </c>
      <c r="V1058" s="1">
        <f t="shared" ref="V1058:V1064" si="444">AA1058-Y1058-X1058-W1058-U1058</f>
        <v>55</v>
      </c>
      <c r="W1058" s="2">
        <v>4</v>
      </c>
      <c r="X1058" s="2">
        <v>4</v>
      </c>
      <c r="Y1058" s="2">
        <v>1</v>
      </c>
      <c r="Z1058" s="2">
        <f t="shared" si="435"/>
        <v>9</v>
      </c>
      <c r="AA1058" s="2">
        <f t="shared" si="436"/>
        <v>64</v>
      </c>
      <c r="AB1058" s="2">
        <v>2515</v>
      </c>
      <c r="AC1058" s="20">
        <f t="shared" si="441"/>
        <v>2.54473161033797</v>
      </c>
      <c r="AD1058" s="2" t="s">
        <v>58</v>
      </c>
      <c r="AE1058" s="2">
        <v>188</v>
      </c>
      <c r="AF1058" s="21">
        <f t="shared" si="437"/>
        <v>2.54473161033797</v>
      </c>
      <c r="AG1058" s="4">
        <f t="shared" si="442"/>
        <v>2.18687872763419</v>
      </c>
      <c r="AH1058" s="4">
        <f t="shared" si="443"/>
        <v>0.357852882703777</v>
      </c>
      <c r="AI1058" s="2">
        <v>1346</v>
      </c>
      <c r="AJ1058" s="2">
        <v>179</v>
      </c>
      <c r="AK1058" s="2">
        <v>3</v>
      </c>
      <c r="AL1058" s="2">
        <v>145</v>
      </c>
      <c r="AM1058" s="2">
        <v>43</v>
      </c>
      <c r="AN1058" s="2">
        <v>10</v>
      </c>
      <c r="AO1058" s="2">
        <v>0</v>
      </c>
      <c r="AP1058" s="2">
        <f t="shared" si="433"/>
        <v>1680</v>
      </c>
      <c r="AQ1058" s="2">
        <f t="shared" si="440"/>
        <v>126.984126984127</v>
      </c>
      <c r="AR1058" s="5">
        <f t="shared" si="424"/>
        <v>238.730158730159</v>
      </c>
    </row>
    <row r="1059" spans="1:44">
      <c r="A1059" s="2">
        <v>20260405</v>
      </c>
      <c r="B1059" s="2" t="s">
        <v>2163</v>
      </c>
      <c r="C1059" s="2" t="s">
        <v>2164</v>
      </c>
      <c r="D1059" s="2">
        <v>1</v>
      </c>
      <c r="E1059" s="2">
        <v>0</v>
      </c>
      <c r="F1059" s="2">
        <v>12</v>
      </c>
      <c r="G1059" s="2">
        <v>3</v>
      </c>
      <c r="H1059" s="2">
        <v>5</v>
      </c>
      <c r="I1059" s="3">
        <v>10</v>
      </c>
      <c r="J1059" s="2">
        <v>17</v>
      </c>
      <c r="K1059" s="2">
        <v>2</v>
      </c>
      <c r="L1059" s="2">
        <v>0</v>
      </c>
      <c r="M1059" s="2">
        <v>12</v>
      </c>
      <c r="N1059" s="2">
        <v>7</v>
      </c>
      <c r="O1059" s="2">
        <v>18</v>
      </c>
      <c r="P1059" s="3">
        <v>5</v>
      </c>
      <c r="Q1059" s="2">
        <v>8</v>
      </c>
      <c r="R1059" s="2">
        <v>0</v>
      </c>
      <c r="S1059" s="2">
        <v>0</v>
      </c>
      <c r="T1059" s="2">
        <v>5</v>
      </c>
      <c r="U1059" s="2">
        <v>1</v>
      </c>
      <c r="V1059" s="1">
        <f t="shared" si="444"/>
        <v>52</v>
      </c>
      <c r="W1059" s="2">
        <v>5</v>
      </c>
      <c r="X1059" s="2">
        <v>2</v>
      </c>
      <c r="Y1059" s="2">
        <v>0</v>
      </c>
      <c r="Z1059" s="2">
        <f t="shared" si="435"/>
        <v>8</v>
      </c>
      <c r="AA1059" s="2">
        <f t="shared" si="436"/>
        <v>60</v>
      </c>
      <c r="AB1059" s="2">
        <v>2305</v>
      </c>
      <c r="AC1059" s="20">
        <f t="shared" si="441"/>
        <v>2.60303687635575</v>
      </c>
      <c r="AD1059" s="2" t="s">
        <v>49</v>
      </c>
      <c r="AE1059" s="2">
        <v>188</v>
      </c>
      <c r="AF1059" s="21">
        <f t="shared" si="437"/>
        <v>2.60303687635575</v>
      </c>
      <c r="AG1059" s="4">
        <f t="shared" si="442"/>
        <v>2.25596529284165</v>
      </c>
      <c r="AH1059" s="4">
        <f t="shared" si="443"/>
        <v>0.3470715835141</v>
      </c>
      <c r="AI1059" s="2">
        <v>202</v>
      </c>
      <c r="AJ1059" s="2">
        <v>29</v>
      </c>
      <c r="AK1059" s="2">
        <v>1</v>
      </c>
      <c r="AL1059" s="2">
        <v>4</v>
      </c>
      <c r="AM1059" s="2">
        <v>9</v>
      </c>
      <c r="AN1059" s="2">
        <v>1</v>
      </c>
      <c r="AO1059" s="2">
        <v>0</v>
      </c>
      <c r="AP1059" s="2">
        <f t="shared" ref="AP1059:AP1065" si="445">AI1059+AJ1059+AL1059+AN1059</f>
        <v>236</v>
      </c>
      <c r="AQ1059" s="2">
        <f t="shared" ref="AQ1059:AQ1065" si="446">AP1059/AB1058*100</f>
        <v>9.38369781312127</v>
      </c>
      <c r="AR1059" s="5">
        <f t="shared" ref="AR1059:AR1065" si="447">AQ1059*1.88</f>
        <v>17.641351888668</v>
      </c>
    </row>
    <row r="1060" spans="1:44">
      <c r="A1060" s="2">
        <v>20260405</v>
      </c>
      <c r="B1060" s="2" t="s">
        <v>2165</v>
      </c>
      <c r="C1060" s="2" t="s">
        <v>2166</v>
      </c>
      <c r="D1060" s="2">
        <v>4</v>
      </c>
      <c r="E1060" s="2">
        <v>2</v>
      </c>
      <c r="F1060" s="2">
        <v>8</v>
      </c>
      <c r="G1060" s="2">
        <v>15</v>
      </c>
      <c r="H1060" s="2">
        <v>3</v>
      </c>
      <c r="I1060" s="3">
        <v>10</v>
      </c>
      <c r="J1060" s="2">
        <v>15</v>
      </c>
      <c r="K1060" s="2">
        <v>0</v>
      </c>
      <c r="L1060" s="2">
        <v>0</v>
      </c>
      <c r="M1060" s="2">
        <v>5</v>
      </c>
      <c r="N1060" s="2">
        <v>9</v>
      </c>
      <c r="O1060" s="2">
        <v>15</v>
      </c>
      <c r="P1060" s="3">
        <v>8</v>
      </c>
      <c r="Q1060" s="2">
        <v>8</v>
      </c>
      <c r="R1060" s="2">
        <v>2</v>
      </c>
      <c r="S1060" s="2">
        <v>4</v>
      </c>
      <c r="T1060" s="2">
        <v>8</v>
      </c>
      <c r="U1060" s="2">
        <v>1</v>
      </c>
      <c r="V1060" s="1">
        <f t="shared" si="444"/>
        <v>52</v>
      </c>
      <c r="W1060" s="2">
        <v>5</v>
      </c>
      <c r="X1060" s="2">
        <v>7</v>
      </c>
      <c r="Y1060" s="2">
        <v>0</v>
      </c>
      <c r="Z1060" s="2">
        <f t="shared" si="435"/>
        <v>13</v>
      </c>
      <c r="AA1060" s="2">
        <f t="shared" si="436"/>
        <v>65</v>
      </c>
      <c r="AB1060" s="2">
        <v>2305</v>
      </c>
      <c r="AC1060" s="20">
        <f t="shared" si="441"/>
        <v>2.81995661605206</v>
      </c>
      <c r="AD1060" s="2" t="s">
        <v>49</v>
      </c>
      <c r="AE1060" s="2">
        <v>188</v>
      </c>
      <c r="AF1060" s="21">
        <f t="shared" si="437"/>
        <v>2.81995661605206</v>
      </c>
      <c r="AG1060" s="4">
        <f t="shared" si="442"/>
        <v>2.25596529284165</v>
      </c>
      <c r="AH1060" s="4">
        <f t="shared" si="443"/>
        <v>0.563991323210412</v>
      </c>
      <c r="AI1060" s="2">
        <v>539</v>
      </c>
      <c r="AJ1060" s="2">
        <v>11</v>
      </c>
      <c r="AK1060" s="2">
        <v>8</v>
      </c>
      <c r="AL1060" s="2">
        <v>13</v>
      </c>
      <c r="AM1060" s="2">
        <v>34</v>
      </c>
      <c r="AN1060" s="2">
        <v>12</v>
      </c>
      <c r="AO1060" s="2">
        <v>0</v>
      </c>
      <c r="AP1060" s="2">
        <f t="shared" si="445"/>
        <v>575</v>
      </c>
      <c r="AQ1060" s="2">
        <f t="shared" si="446"/>
        <v>24.9457700650759</v>
      </c>
      <c r="AR1060" s="5">
        <f t="shared" si="447"/>
        <v>46.8980477223427</v>
      </c>
    </row>
    <row r="1061" spans="1:44">
      <c r="A1061" s="2">
        <v>20260405</v>
      </c>
      <c r="B1061" s="2" t="s">
        <v>2167</v>
      </c>
      <c r="C1061" s="2" t="s">
        <v>2168</v>
      </c>
      <c r="D1061" s="2">
        <v>3</v>
      </c>
      <c r="E1061" s="2">
        <v>33</v>
      </c>
      <c r="F1061" s="2">
        <v>3</v>
      </c>
      <c r="G1061" s="2">
        <v>14</v>
      </c>
      <c r="H1061" s="2">
        <v>16</v>
      </c>
      <c r="I1061" s="3">
        <v>18</v>
      </c>
      <c r="J1061" s="2">
        <v>23</v>
      </c>
      <c r="K1061" s="2">
        <v>2</v>
      </c>
      <c r="L1061" s="2">
        <v>1</v>
      </c>
      <c r="M1061" s="2">
        <v>24</v>
      </c>
      <c r="N1061" s="2">
        <v>10</v>
      </c>
      <c r="O1061" s="2">
        <v>16</v>
      </c>
      <c r="P1061" s="3">
        <v>14</v>
      </c>
      <c r="Q1061" s="2">
        <v>3</v>
      </c>
      <c r="R1061" s="2">
        <v>25</v>
      </c>
      <c r="S1061" s="2">
        <v>3</v>
      </c>
      <c r="T1061" s="2">
        <v>6</v>
      </c>
      <c r="U1061" s="2">
        <v>1</v>
      </c>
      <c r="V1061" s="1">
        <f t="shared" ref="V1061:V1066" si="448">AA1061-Y1061-X1061-W1061-U1061</f>
        <v>107</v>
      </c>
      <c r="W1061" s="2">
        <v>7</v>
      </c>
      <c r="X1061" s="2">
        <v>4</v>
      </c>
      <c r="Y1061" s="2">
        <v>0</v>
      </c>
      <c r="Z1061" s="2">
        <f t="shared" ref="Z1061:Z1066" si="449">Y1061+X1061+W1061+U1061</f>
        <v>12</v>
      </c>
      <c r="AA1061" s="2">
        <f t="shared" ref="AA1061:AA1066" si="450">G1061+H1061+I1061+J1061+K1061+L1061+M1061+P1061+T1061+U1061</f>
        <v>119</v>
      </c>
      <c r="AB1061" s="2">
        <v>2615</v>
      </c>
      <c r="AC1061" s="20">
        <f t="shared" si="441"/>
        <v>4.55066921606119</v>
      </c>
      <c r="AD1061" s="2" t="s">
        <v>49</v>
      </c>
      <c r="AE1061" s="2">
        <v>188</v>
      </c>
      <c r="AF1061" s="21">
        <f t="shared" ref="AF1061:AF1069" si="451">188/AE1061*AC1061</f>
        <v>4.55066921606119</v>
      </c>
      <c r="AG1061" s="4">
        <f t="shared" si="442"/>
        <v>4.09177820267686</v>
      </c>
      <c r="AH1061" s="4">
        <f t="shared" si="443"/>
        <v>0.458891013384321</v>
      </c>
      <c r="AI1061" s="2">
        <v>769</v>
      </c>
      <c r="AJ1061" s="2">
        <v>166</v>
      </c>
      <c r="AK1061" s="2">
        <v>13</v>
      </c>
      <c r="AL1061" s="2">
        <v>30</v>
      </c>
      <c r="AM1061" s="2">
        <v>87</v>
      </c>
      <c r="AN1061" s="2">
        <v>17</v>
      </c>
      <c r="AO1061" s="2">
        <v>0</v>
      </c>
      <c r="AP1061" s="2">
        <f t="shared" si="445"/>
        <v>982</v>
      </c>
      <c r="AQ1061" s="2">
        <f t="shared" si="446"/>
        <v>42.6030368763558</v>
      </c>
      <c r="AR1061" s="5">
        <f t="shared" si="447"/>
        <v>80.0937093275488</v>
      </c>
    </row>
    <row r="1062" spans="1:44">
      <c r="A1062" s="2">
        <v>20260405</v>
      </c>
      <c r="B1062" s="2" t="s">
        <v>2169</v>
      </c>
      <c r="C1062" s="2" t="s">
        <v>2170</v>
      </c>
      <c r="D1062" s="2">
        <v>9</v>
      </c>
      <c r="E1062" s="2">
        <v>2</v>
      </c>
      <c r="F1062" s="2">
        <v>23</v>
      </c>
      <c r="G1062" s="2">
        <v>23</v>
      </c>
      <c r="H1062" s="2">
        <v>18</v>
      </c>
      <c r="I1062" s="3">
        <v>11</v>
      </c>
      <c r="J1062" s="2">
        <v>24</v>
      </c>
      <c r="K1062" s="2">
        <v>31</v>
      </c>
      <c r="L1062" s="2">
        <v>3</v>
      </c>
      <c r="M1062" s="2">
        <v>10</v>
      </c>
      <c r="N1062" s="2">
        <v>16</v>
      </c>
      <c r="O1062" s="2">
        <v>62</v>
      </c>
      <c r="P1062" s="3">
        <v>29</v>
      </c>
      <c r="Q1062" s="2">
        <v>9</v>
      </c>
      <c r="R1062" s="2">
        <v>4</v>
      </c>
      <c r="S1062" s="2">
        <v>0</v>
      </c>
      <c r="T1062" s="2">
        <v>12</v>
      </c>
      <c r="U1062" s="2">
        <v>0</v>
      </c>
      <c r="V1062" s="1">
        <f t="shared" si="448"/>
        <v>146</v>
      </c>
      <c r="W1062" s="2">
        <v>12</v>
      </c>
      <c r="X1062" s="2">
        <v>3</v>
      </c>
      <c r="Y1062" s="2">
        <v>0</v>
      </c>
      <c r="Z1062" s="2">
        <f t="shared" si="449"/>
        <v>15</v>
      </c>
      <c r="AA1062" s="2">
        <f t="shared" si="450"/>
        <v>161</v>
      </c>
      <c r="AB1062" s="2">
        <v>2355</v>
      </c>
      <c r="AC1062" s="20">
        <f t="shared" si="441"/>
        <v>6.83651804670913</v>
      </c>
      <c r="AD1062" s="2" t="s">
        <v>49</v>
      </c>
      <c r="AE1062" s="2">
        <v>188</v>
      </c>
      <c r="AF1062" s="21">
        <f t="shared" si="451"/>
        <v>6.83651804670913</v>
      </c>
      <c r="AG1062" s="4">
        <f t="shared" si="442"/>
        <v>6.19957537154989</v>
      </c>
      <c r="AH1062" s="4">
        <f t="shared" si="443"/>
        <v>0.636942675159236</v>
      </c>
      <c r="AO1062" s="2">
        <v>0</v>
      </c>
      <c r="AP1062" s="2">
        <f t="shared" si="445"/>
        <v>0</v>
      </c>
      <c r="AQ1062" s="2">
        <f t="shared" si="446"/>
        <v>0</v>
      </c>
      <c r="AR1062" s="5">
        <f t="shared" si="447"/>
        <v>0</v>
      </c>
    </row>
    <row r="1063" spans="1:44">
      <c r="A1063" s="2">
        <v>20260405</v>
      </c>
      <c r="B1063" s="2" t="s">
        <v>2171</v>
      </c>
      <c r="C1063" s="2" t="s">
        <v>2172</v>
      </c>
      <c r="D1063" s="2">
        <v>2</v>
      </c>
      <c r="E1063" s="2">
        <v>0</v>
      </c>
      <c r="F1063" s="2">
        <v>3</v>
      </c>
      <c r="G1063" s="2">
        <v>8</v>
      </c>
      <c r="H1063" s="2">
        <v>5</v>
      </c>
      <c r="I1063" s="3">
        <v>11</v>
      </c>
      <c r="J1063" s="2">
        <v>14</v>
      </c>
      <c r="K1063" s="2">
        <v>1</v>
      </c>
      <c r="L1063" s="2">
        <v>1</v>
      </c>
      <c r="M1063" s="2">
        <v>4</v>
      </c>
      <c r="N1063" s="2">
        <v>4</v>
      </c>
      <c r="O1063" s="2">
        <v>10</v>
      </c>
      <c r="P1063" s="3">
        <v>3</v>
      </c>
      <c r="Q1063" s="2">
        <v>5</v>
      </c>
      <c r="R1063" s="2">
        <v>2</v>
      </c>
      <c r="S1063" s="2">
        <v>1</v>
      </c>
      <c r="T1063" s="2">
        <v>3</v>
      </c>
      <c r="U1063" s="2">
        <v>2</v>
      </c>
      <c r="V1063" s="1">
        <f t="shared" si="448"/>
        <v>35</v>
      </c>
      <c r="W1063" s="2">
        <v>11</v>
      </c>
      <c r="X1063" s="2">
        <v>4</v>
      </c>
      <c r="Y1063" s="2">
        <v>0</v>
      </c>
      <c r="Z1063" s="2">
        <f t="shared" si="449"/>
        <v>17</v>
      </c>
      <c r="AA1063" s="2">
        <f t="shared" si="450"/>
        <v>52</v>
      </c>
      <c r="AB1063" s="2">
        <v>2235</v>
      </c>
      <c r="AC1063" s="20">
        <f t="shared" si="441"/>
        <v>2.32662192393736</v>
      </c>
      <c r="AD1063" s="2" t="s">
        <v>49</v>
      </c>
      <c r="AE1063" s="2">
        <v>188</v>
      </c>
      <c r="AF1063" s="21">
        <f t="shared" si="451"/>
        <v>2.32662192393736</v>
      </c>
      <c r="AG1063" s="4">
        <f t="shared" si="442"/>
        <v>1.56599552572707</v>
      </c>
      <c r="AH1063" s="4">
        <f t="shared" si="443"/>
        <v>0.760626398210291</v>
      </c>
      <c r="AI1063" s="2">
        <v>542</v>
      </c>
      <c r="AJ1063" s="2">
        <v>99</v>
      </c>
      <c r="AK1063" s="2">
        <v>12</v>
      </c>
      <c r="AL1063" s="2">
        <v>29</v>
      </c>
      <c r="AM1063" s="2">
        <v>26</v>
      </c>
      <c r="AN1063" s="2">
        <v>18</v>
      </c>
      <c r="AO1063" s="2">
        <v>0</v>
      </c>
      <c r="AP1063" s="2">
        <f t="shared" si="445"/>
        <v>688</v>
      </c>
      <c r="AQ1063" s="2">
        <f t="shared" si="446"/>
        <v>29.2144373673036</v>
      </c>
      <c r="AR1063" s="5">
        <f t="shared" si="447"/>
        <v>54.9231422505308</v>
      </c>
    </row>
    <row r="1064" spans="1:44">
      <c r="A1064" s="2">
        <v>20260405</v>
      </c>
      <c r="B1064" s="2" t="s">
        <v>2173</v>
      </c>
      <c r="C1064" s="2" t="s">
        <v>2174</v>
      </c>
      <c r="D1064" s="2">
        <v>5</v>
      </c>
      <c r="E1064" s="2">
        <v>33</v>
      </c>
      <c r="F1064" s="2">
        <v>26</v>
      </c>
      <c r="G1064" s="2">
        <v>15</v>
      </c>
      <c r="H1064" s="2">
        <v>11</v>
      </c>
      <c r="I1064" s="3">
        <v>35</v>
      </c>
      <c r="J1064" s="2">
        <v>34</v>
      </c>
      <c r="K1064" s="2">
        <v>23</v>
      </c>
      <c r="L1064" s="2">
        <v>3</v>
      </c>
      <c r="M1064" s="2">
        <v>9</v>
      </c>
      <c r="N1064" s="2">
        <v>19</v>
      </c>
      <c r="O1064" s="2">
        <v>51</v>
      </c>
      <c r="P1064" s="3">
        <v>6</v>
      </c>
      <c r="Q1064" s="2">
        <v>8</v>
      </c>
      <c r="R1064" s="2">
        <v>9</v>
      </c>
      <c r="S1064" s="2">
        <v>1</v>
      </c>
      <c r="T1064" s="2">
        <v>22</v>
      </c>
      <c r="U1064" s="2">
        <v>3</v>
      </c>
      <c r="V1064" s="1">
        <f t="shared" si="448"/>
        <v>135</v>
      </c>
      <c r="W1064" s="2">
        <v>19</v>
      </c>
      <c r="X1064" s="2">
        <v>4</v>
      </c>
      <c r="Y1064" s="2">
        <v>0</v>
      </c>
      <c r="Z1064" s="2">
        <f t="shared" ref="Z1064:Z1069" si="452">Y1064+X1064+W1064+U1064</f>
        <v>26</v>
      </c>
      <c r="AA1064" s="2">
        <f t="shared" ref="AA1064:AA1069" si="453">G1064+H1064+I1064+J1064+K1064+L1064+M1064+P1064+T1064+U1064</f>
        <v>161</v>
      </c>
      <c r="AB1064" s="2">
        <v>2535</v>
      </c>
      <c r="AC1064" s="20">
        <f t="shared" ref="AC1064:AC1069" si="454">AA1064/AB1064*100</f>
        <v>6.35108481262327</v>
      </c>
      <c r="AD1064" s="2" t="s">
        <v>49</v>
      </c>
      <c r="AE1064" s="2">
        <v>188</v>
      </c>
      <c r="AF1064" s="21">
        <f t="shared" si="451"/>
        <v>6.35108481262327</v>
      </c>
      <c r="AG1064" s="4">
        <f t="shared" si="442"/>
        <v>5.32544378698225</v>
      </c>
      <c r="AH1064" s="4">
        <f t="shared" ref="AH1064:AH1069" si="455">Z1064/AB1064*100</f>
        <v>1.02564102564103</v>
      </c>
      <c r="AI1064" s="2">
        <v>783</v>
      </c>
      <c r="AJ1064" s="2">
        <v>213</v>
      </c>
      <c r="AK1064" s="2">
        <v>17</v>
      </c>
      <c r="AL1064" s="2">
        <v>78</v>
      </c>
      <c r="AM1064" s="2">
        <v>96</v>
      </c>
      <c r="AN1064" s="2">
        <v>9</v>
      </c>
      <c r="AO1064" s="2">
        <v>0</v>
      </c>
      <c r="AP1064" s="2">
        <f t="shared" si="445"/>
        <v>1083</v>
      </c>
      <c r="AQ1064" s="2">
        <f t="shared" si="446"/>
        <v>48.4563758389262</v>
      </c>
      <c r="AR1064" s="5">
        <f t="shared" si="447"/>
        <v>91.0979865771812</v>
      </c>
    </row>
    <row r="1065" spans="1:44">
      <c r="A1065" s="2">
        <v>20260405</v>
      </c>
      <c r="B1065" s="2" t="s">
        <v>2175</v>
      </c>
      <c r="C1065" s="2" t="s">
        <v>2176</v>
      </c>
      <c r="D1065" s="2">
        <v>3</v>
      </c>
      <c r="E1065" s="2">
        <v>9</v>
      </c>
      <c r="F1065" s="2">
        <v>20</v>
      </c>
      <c r="G1065" s="2">
        <v>1</v>
      </c>
      <c r="H1065" s="2">
        <v>13</v>
      </c>
      <c r="I1065" s="3">
        <v>3</v>
      </c>
      <c r="J1065" s="2">
        <v>11</v>
      </c>
      <c r="K1065" s="2">
        <v>1</v>
      </c>
      <c r="L1065" s="2">
        <v>0</v>
      </c>
      <c r="M1065" s="2">
        <v>4</v>
      </c>
      <c r="N1065" s="2">
        <v>19</v>
      </c>
      <c r="O1065" s="2">
        <v>40</v>
      </c>
      <c r="P1065" s="3">
        <v>7</v>
      </c>
      <c r="Q1065" s="2">
        <v>14</v>
      </c>
      <c r="R1065" s="2">
        <v>2</v>
      </c>
      <c r="S1065" s="2">
        <v>1</v>
      </c>
      <c r="T1065" s="2">
        <v>6</v>
      </c>
      <c r="U1065" s="2">
        <v>0</v>
      </c>
      <c r="V1065" s="1">
        <f t="shared" si="448"/>
        <v>35</v>
      </c>
      <c r="W1065" s="2">
        <v>10</v>
      </c>
      <c r="X1065" s="2">
        <v>1</v>
      </c>
      <c r="Y1065" s="2">
        <v>0</v>
      </c>
      <c r="Z1065" s="2">
        <f t="shared" si="452"/>
        <v>11</v>
      </c>
      <c r="AA1065" s="2">
        <f t="shared" si="453"/>
        <v>46</v>
      </c>
      <c r="AB1065" s="2">
        <v>1491</v>
      </c>
      <c r="AC1065" s="20">
        <f t="shared" si="454"/>
        <v>3.08517773306506</v>
      </c>
      <c r="AD1065" s="2" t="s">
        <v>58</v>
      </c>
      <c r="AE1065" s="2">
        <v>188</v>
      </c>
      <c r="AF1065" s="21">
        <f t="shared" si="451"/>
        <v>3.08517773306506</v>
      </c>
      <c r="AG1065" s="4">
        <f t="shared" si="442"/>
        <v>2.34741784037559</v>
      </c>
      <c r="AH1065" s="4">
        <f t="shared" si="455"/>
        <v>0.73775989268947</v>
      </c>
      <c r="AI1065" s="2">
        <v>1733</v>
      </c>
      <c r="AJ1065" s="2">
        <v>226</v>
      </c>
      <c r="AK1065" s="2">
        <v>15</v>
      </c>
      <c r="AL1065" s="2">
        <v>107</v>
      </c>
      <c r="AM1065" s="2">
        <v>163</v>
      </c>
      <c r="AN1065" s="2">
        <v>5</v>
      </c>
      <c r="AO1065" s="2">
        <v>0</v>
      </c>
      <c r="AP1065" s="2">
        <f t="shared" si="445"/>
        <v>2071</v>
      </c>
      <c r="AQ1065" s="2">
        <f t="shared" si="446"/>
        <v>81.6962524654832</v>
      </c>
      <c r="AR1065" s="5">
        <f t="shared" si="447"/>
        <v>153.588954635108</v>
      </c>
    </row>
    <row r="1066" spans="1:44">
      <c r="A1066" s="2">
        <v>20260405</v>
      </c>
      <c r="B1066" s="2" t="s">
        <v>2177</v>
      </c>
      <c r="C1066" s="2" t="s">
        <v>2178</v>
      </c>
      <c r="D1066" s="2">
        <v>7</v>
      </c>
      <c r="E1066" s="2">
        <v>22</v>
      </c>
      <c r="F1066" s="2">
        <v>16</v>
      </c>
      <c r="G1066" s="2">
        <v>24</v>
      </c>
      <c r="H1066" s="2">
        <v>10</v>
      </c>
      <c r="I1066" s="3">
        <v>19</v>
      </c>
      <c r="J1066" s="2">
        <v>29</v>
      </c>
      <c r="K1066" s="2">
        <v>5</v>
      </c>
      <c r="L1066" s="2">
        <v>1</v>
      </c>
      <c r="M1066" s="2">
        <v>10</v>
      </c>
      <c r="N1066" s="2">
        <v>14</v>
      </c>
      <c r="O1066" s="2">
        <v>27</v>
      </c>
      <c r="P1066" s="3">
        <v>15</v>
      </c>
      <c r="Q1066" s="2">
        <v>9</v>
      </c>
      <c r="R1066" s="2">
        <v>5</v>
      </c>
      <c r="S1066" s="2">
        <v>18</v>
      </c>
      <c r="T1066" s="2">
        <v>1</v>
      </c>
      <c r="U1066" s="2">
        <v>0</v>
      </c>
      <c r="V1066" s="1">
        <f t="shared" ref="V1066:V1083" si="456">AA1066-Y1066-X1066-W1066-U1066</f>
        <v>104</v>
      </c>
      <c r="W1066" s="2">
        <v>2</v>
      </c>
      <c r="X1066" s="2">
        <v>8</v>
      </c>
      <c r="Y1066" s="2">
        <v>0</v>
      </c>
      <c r="Z1066" s="2">
        <f t="shared" si="452"/>
        <v>10</v>
      </c>
      <c r="AA1066" s="2">
        <f t="shared" si="453"/>
        <v>114</v>
      </c>
      <c r="AB1066" s="2">
        <v>1755</v>
      </c>
      <c r="AC1066" s="20">
        <f t="shared" si="454"/>
        <v>6.4957264957265</v>
      </c>
      <c r="AD1066" s="2" t="s">
        <v>58</v>
      </c>
      <c r="AE1066" s="2">
        <v>188</v>
      </c>
      <c r="AF1066" s="21">
        <f t="shared" si="451"/>
        <v>6.4957264957265</v>
      </c>
      <c r="AG1066" s="4">
        <f t="shared" si="442"/>
        <v>5.92592592592593</v>
      </c>
      <c r="AH1066" s="4">
        <f t="shared" si="455"/>
        <v>0.56980056980057</v>
      </c>
      <c r="AI1066" s="2">
        <v>1330</v>
      </c>
      <c r="AJ1066" s="2">
        <v>155</v>
      </c>
      <c r="AK1066" s="2">
        <v>11</v>
      </c>
      <c r="AL1066" s="2">
        <v>49</v>
      </c>
      <c r="AM1066" s="2">
        <v>92</v>
      </c>
      <c r="AN1066" s="2">
        <v>9</v>
      </c>
      <c r="AO1066" s="2">
        <v>0</v>
      </c>
      <c r="AP1066" s="2">
        <f t="shared" ref="AP1066:AP1082" si="457">AI1066+AJ1066+AL1066+AN1066</f>
        <v>1543</v>
      </c>
      <c r="AQ1066" s="2">
        <f t="shared" ref="AQ1066:AQ1082" si="458">AP1066/AB1065*100</f>
        <v>103.487592219987</v>
      </c>
      <c r="AR1066" s="5">
        <f t="shared" ref="AR1066:AR1082" si="459">AQ1066*1.88</f>
        <v>194.556673373575</v>
      </c>
    </row>
    <row r="1067" spans="1:44">
      <c r="A1067" s="2">
        <v>20260405</v>
      </c>
      <c r="B1067" s="2" t="s">
        <v>2179</v>
      </c>
      <c r="C1067" s="2" t="s">
        <v>2180</v>
      </c>
      <c r="D1067" s="2">
        <v>2</v>
      </c>
      <c r="E1067" s="2">
        <v>3</v>
      </c>
      <c r="F1067" s="2">
        <v>15</v>
      </c>
      <c r="G1067" s="2">
        <v>12</v>
      </c>
      <c r="H1067" s="2">
        <v>15</v>
      </c>
      <c r="I1067" s="3">
        <v>13</v>
      </c>
      <c r="J1067" s="2">
        <v>17</v>
      </c>
      <c r="K1067" s="2">
        <v>4</v>
      </c>
      <c r="L1067" s="2">
        <v>1</v>
      </c>
      <c r="M1067" s="2">
        <v>12</v>
      </c>
      <c r="N1067" s="2">
        <v>11</v>
      </c>
      <c r="O1067" s="2">
        <v>15</v>
      </c>
      <c r="P1067" s="3">
        <v>20</v>
      </c>
      <c r="Q1067" s="2">
        <v>6</v>
      </c>
      <c r="R1067" s="2">
        <v>14</v>
      </c>
      <c r="S1067" s="2">
        <v>6</v>
      </c>
      <c r="T1067" s="2">
        <v>0</v>
      </c>
      <c r="U1067" s="2">
        <v>0</v>
      </c>
      <c r="V1067" s="1">
        <f t="shared" si="456"/>
        <v>81</v>
      </c>
      <c r="W1067" s="2">
        <v>4</v>
      </c>
      <c r="X1067" s="2">
        <v>9</v>
      </c>
      <c r="Y1067" s="2">
        <v>0</v>
      </c>
      <c r="Z1067" s="2">
        <f t="shared" si="452"/>
        <v>13</v>
      </c>
      <c r="AA1067" s="2">
        <f t="shared" si="453"/>
        <v>94</v>
      </c>
      <c r="AB1067" s="2">
        <v>2924</v>
      </c>
      <c r="AC1067" s="20">
        <f t="shared" si="454"/>
        <v>3.21477428180575</v>
      </c>
      <c r="AD1067" s="2" t="s">
        <v>58</v>
      </c>
      <c r="AE1067" s="2">
        <v>188</v>
      </c>
      <c r="AF1067" s="21">
        <f t="shared" si="451"/>
        <v>3.21477428180575</v>
      </c>
      <c r="AG1067" s="4">
        <f t="shared" si="442"/>
        <v>2.77017783857729</v>
      </c>
      <c r="AH1067" s="4">
        <f t="shared" si="455"/>
        <v>0.444596443228454</v>
      </c>
      <c r="AI1067" s="2">
        <v>1019</v>
      </c>
      <c r="AJ1067" s="2">
        <v>139</v>
      </c>
      <c r="AK1067" s="2">
        <v>7</v>
      </c>
      <c r="AL1067" s="2">
        <v>31</v>
      </c>
      <c r="AM1067" s="2">
        <v>59</v>
      </c>
      <c r="AN1067" s="2">
        <v>5</v>
      </c>
      <c r="AO1067" s="2">
        <v>0</v>
      </c>
      <c r="AP1067" s="2">
        <f t="shared" si="457"/>
        <v>1194</v>
      </c>
      <c r="AQ1067" s="2">
        <f t="shared" si="458"/>
        <v>68.034188034188</v>
      </c>
      <c r="AR1067" s="5">
        <f t="shared" si="459"/>
        <v>127.904273504273</v>
      </c>
    </row>
    <row r="1068" spans="1:44">
      <c r="A1068" s="2">
        <v>20260405</v>
      </c>
      <c r="B1068" s="2" t="s">
        <v>2181</v>
      </c>
      <c r="C1068" s="2" t="s">
        <v>2182</v>
      </c>
      <c r="D1068" s="2">
        <v>3</v>
      </c>
      <c r="E1068" s="2">
        <v>5</v>
      </c>
      <c r="F1068" s="2">
        <v>7</v>
      </c>
      <c r="G1068" s="2">
        <v>13</v>
      </c>
      <c r="H1068" s="2">
        <v>3</v>
      </c>
      <c r="I1068" s="3">
        <v>23</v>
      </c>
      <c r="J1068" s="2">
        <v>11</v>
      </c>
      <c r="K1068" s="2">
        <v>5</v>
      </c>
      <c r="L1068" s="2">
        <v>1</v>
      </c>
      <c r="M1068" s="2">
        <v>5</v>
      </c>
      <c r="N1068" s="2">
        <v>3</v>
      </c>
      <c r="O1068" s="2">
        <v>26</v>
      </c>
      <c r="P1068" s="3">
        <v>3</v>
      </c>
      <c r="Q1068" s="2">
        <v>5</v>
      </c>
      <c r="R1068" s="2">
        <v>11</v>
      </c>
      <c r="S1068" s="2">
        <v>1</v>
      </c>
      <c r="T1068" s="2">
        <v>10</v>
      </c>
      <c r="U1068" s="2">
        <v>2</v>
      </c>
      <c r="V1068" s="1">
        <f t="shared" si="456"/>
        <v>68</v>
      </c>
      <c r="W1068" s="2">
        <v>2</v>
      </c>
      <c r="X1068" s="2">
        <v>4</v>
      </c>
      <c r="Y1068" s="2">
        <v>0</v>
      </c>
      <c r="Z1068" s="2">
        <f t="shared" si="452"/>
        <v>8</v>
      </c>
      <c r="AA1068" s="2">
        <f t="shared" si="453"/>
        <v>76</v>
      </c>
      <c r="AB1068" s="2">
        <v>1666</v>
      </c>
      <c r="AC1068" s="20">
        <f t="shared" si="454"/>
        <v>4.56182472989196</v>
      </c>
      <c r="AD1068" s="2" t="s">
        <v>58</v>
      </c>
      <c r="AE1068" s="2">
        <v>188</v>
      </c>
      <c r="AF1068" s="21">
        <f t="shared" si="451"/>
        <v>4.56182472989196</v>
      </c>
      <c r="AG1068" s="4">
        <f t="shared" si="442"/>
        <v>4.08163265306122</v>
      </c>
      <c r="AH1068" s="4">
        <f t="shared" si="455"/>
        <v>0.480192076830732</v>
      </c>
      <c r="AI1068" s="2">
        <v>2397</v>
      </c>
      <c r="AJ1068" s="2">
        <v>245</v>
      </c>
      <c r="AK1068" s="2">
        <v>5</v>
      </c>
      <c r="AL1068" s="2">
        <v>257</v>
      </c>
      <c r="AM1068" s="2">
        <v>109</v>
      </c>
      <c r="AN1068" s="2">
        <v>5</v>
      </c>
      <c r="AO1068" s="2">
        <v>0</v>
      </c>
      <c r="AP1068" s="2">
        <f t="shared" si="457"/>
        <v>2904</v>
      </c>
      <c r="AQ1068" s="2">
        <f t="shared" si="458"/>
        <v>99.3160054719562</v>
      </c>
      <c r="AR1068" s="5">
        <f t="shared" si="459"/>
        <v>186.714090287278</v>
      </c>
    </row>
    <row r="1069" spans="1:44">
      <c r="A1069" s="2">
        <v>20260405</v>
      </c>
      <c r="B1069" s="2" t="s">
        <v>2183</v>
      </c>
      <c r="C1069" s="2" t="s">
        <v>2184</v>
      </c>
      <c r="D1069" s="2">
        <v>1</v>
      </c>
      <c r="E1069" s="2">
        <v>0</v>
      </c>
      <c r="F1069" s="2">
        <v>3</v>
      </c>
      <c r="G1069" s="2">
        <v>6</v>
      </c>
      <c r="H1069" s="2">
        <v>6</v>
      </c>
      <c r="I1069" s="3">
        <v>5</v>
      </c>
      <c r="J1069" s="2">
        <v>8</v>
      </c>
      <c r="K1069" s="2">
        <v>1</v>
      </c>
      <c r="L1069" s="2">
        <v>2</v>
      </c>
      <c r="M1069" s="2">
        <v>4</v>
      </c>
      <c r="N1069" s="2">
        <v>6</v>
      </c>
      <c r="O1069" s="2">
        <v>10</v>
      </c>
      <c r="P1069" s="3">
        <v>5</v>
      </c>
      <c r="Q1069" s="2">
        <v>2</v>
      </c>
      <c r="R1069" s="2">
        <v>2</v>
      </c>
      <c r="S1069" s="2">
        <v>0</v>
      </c>
      <c r="T1069" s="2">
        <v>1</v>
      </c>
      <c r="U1069" s="2">
        <v>1</v>
      </c>
      <c r="V1069" s="1">
        <f t="shared" si="456"/>
        <v>34</v>
      </c>
      <c r="W1069" s="2">
        <v>2</v>
      </c>
      <c r="X1069" s="2">
        <v>2</v>
      </c>
      <c r="Y1069" s="2">
        <v>0</v>
      </c>
      <c r="Z1069" s="2">
        <f t="shared" si="452"/>
        <v>5</v>
      </c>
      <c r="AA1069" s="2">
        <f t="shared" si="453"/>
        <v>39</v>
      </c>
      <c r="AB1069" s="2">
        <v>1266</v>
      </c>
      <c r="AC1069" s="20">
        <f t="shared" si="454"/>
        <v>3.08056872037915</v>
      </c>
      <c r="AD1069" s="2" t="s">
        <v>58</v>
      </c>
      <c r="AE1069" s="2">
        <v>188</v>
      </c>
      <c r="AF1069" s="21">
        <f t="shared" si="451"/>
        <v>3.08056872037915</v>
      </c>
      <c r="AG1069" s="4">
        <f t="shared" si="442"/>
        <v>2.68562401263823</v>
      </c>
      <c r="AH1069" s="4">
        <f t="shared" si="455"/>
        <v>0.394944707740916</v>
      </c>
      <c r="AP1069" s="2">
        <f t="shared" si="457"/>
        <v>0</v>
      </c>
      <c r="AQ1069" s="2">
        <f t="shared" si="458"/>
        <v>0</v>
      </c>
      <c r="AR1069" s="5">
        <f t="shared" si="459"/>
        <v>0</v>
      </c>
    </row>
    <row r="1070" spans="1:44">
      <c r="A1070" s="2">
        <v>20260406</v>
      </c>
      <c r="B1070" s="2" t="s">
        <v>2185</v>
      </c>
      <c r="C1070" s="2" t="s">
        <v>2186</v>
      </c>
      <c r="D1070" s="2">
        <v>7</v>
      </c>
      <c r="E1070" s="2">
        <v>5</v>
      </c>
      <c r="F1070" s="2">
        <v>19</v>
      </c>
      <c r="G1070" s="2">
        <v>15</v>
      </c>
      <c r="H1070" s="2">
        <v>5</v>
      </c>
      <c r="I1070" s="3">
        <v>18</v>
      </c>
      <c r="J1070" s="2">
        <v>18</v>
      </c>
      <c r="K1070" s="2">
        <v>8</v>
      </c>
      <c r="L1070" s="2">
        <v>2</v>
      </c>
      <c r="M1070" s="2">
        <v>14</v>
      </c>
      <c r="N1070" s="2">
        <v>11</v>
      </c>
      <c r="O1070" s="2">
        <v>31</v>
      </c>
      <c r="P1070" s="3">
        <v>10</v>
      </c>
      <c r="Q1070" s="2">
        <v>17</v>
      </c>
      <c r="R1070" s="2">
        <v>7</v>
      </c>
      <c r="S1070" s="2">
        <v>1</v>
      </c>
      <c r="T1070" s="2">
        <v>3</v>
      </c>
      <c r="U1070" s="2">
        <v>0</v>
      </c>
      <c r="V1070" s="1">
        <f t="shared" si="456"/>
        <v>81</v>
      </c>
      <c r="W1070" s="2">
        <v>10</v>
      </c>
      <c r="X1070" s="2">
        <v>2</v>
      </c>
      <c r="Y1070" s="2">
        <v>0</v>
      </c>
      <c r="Z1070" s="2">
        <f t="shared" ref="Z1070:Z1084" si="460">Y1070+X1070+W1070+U1070</f>
        <v>12</v>
      </c>
      <c r="AA1070" s="2">
        <f t="shared" ref="AA1070:AA1084" si="461">G1070+H1070+I1070+J1070+K1070+L1070+M1070+P1070+T1070+U1070</f>
        <v>93</v>
      </c>
      <c r="AB1070" s="2">
        <v>3045</v>
      </c>
      <c r="AC1070" s="20">
        <f t="shared" ref="AC1070:AC1077" si="462">AA1070/AB1070*100</f>
        <v>3.05418719211823</v>
      </c>
      <c r="AD1070" s="2" t="s">
        <v>58</v>
      </c>
      <c r="AE1070" s="2">
        <v>188</v>
      </c>
      <c r="AF1070" s="21">
        <f t="shared" ref="AF1070:AF1084" si="463">188/AE1070*AC1070</f>
        <v>3.05418719211823</v>
      </c>
      <c r="AG1070" s="4">
        <f t="shared" ref="AG1070:AG1084" si="464">V1070/AB1070*100</f>
        <v>2.66009852216749</v>
      </c>
      <c r="AH1070" s="4">
        <f t="shared" ref="AH1070:AH1084" si="465">Z1070/AB1070*100</f>
        <v>0.394088669950739</v>
      </c>
      <c r="AI1070" s="2">
        <v>933</v>
      </c>
      <c r="AJ1070" s="2">
        <v>118</v>
      </c>
      <c r="AK1070" s="2">
        <v>7</v>
      </c>
      <c r="AL1070" s="2">
        <v>52</v>
      </c>
      <c r="AM1070" s="2">
        <v>57</v>
      </c>
      <c r="AN1070" s="2">
        <v>5</v>
      </c>
      <c r="AO1070" s="2">
        <v>0</v>
      </c>
      <c r="AP1070" s="2">
        <f t="shared" si="457"/>
        <v>1108</v>
      </c>
      <c r="AQ1070" s="2">
        <f t="shared" si="458"/>
        <v>87.519747235387</v>
      </c>
      <c r="AR1070" s="5">
        <f t="shared" si="459"/>
        <v>164.537124802528</v>
      </c>
    </row>
    <row r="1071" spans="1:44">
      <c r="A1071" s="2">
        <v>20260406</v>
      </c>
      <c r="B1071" s="2" t="s">
        <v>2187</v>
      </c>
      <c r="C1071" s="2" t="s">
        <v>2188</v>
      </c>
      <c r="D1071" s="2">
        <v>1</v>
      </c>
      <c r="E1071" s="2">
        <v>5</v>
      </c>
      <c r="F1071" s="2">
        <v>3</v>
      </c>
      <c r="G1071" s="2">
        <v>8</v>
      </c>
      <c r="H1071" s="2">
        <v>1</v>
      </c>
      <c r="I1071" s="3">
        <v>9</v>
      </c>
      <c r="J1071" s="2">
        <v>8</v>
      </c>
      <c r="K1071" s="2">
        <v>3</v>
      </c>
      <c r="L1071" s="2">
        <v>2</v>
      </c>
      <c r="M1071" s="2">
        <v>7</v>
      </c>
      <c r="N1071" s="2">
        <v>6</v>
      </c>
      <c r="O1071" s="2">
        <v>17</v>
      </c>
      <c r="P1071" s="3">
        <v>4</v>
      </c>
      <c r="Q1071" s="2">
        <v>3</v>
      </c>
      <c r="R1071" s="2">
        <v>13</v>
      </c>
      <c r="S1071" s="2">
        <v>3</v>
      </c>
      <c r="T1071" s="2">
        <v>4</v>
      </c>
      <c r="U1071" s="2">
        <v>1</v>
      </c>
      <c r="V1071" s="1">
        <f t="shared" si="456"/>
        <v>41</v>
      </c>
      <c r="W1071" s="2">
        <v>4</v>
      </c>
      <c r="X1071" s="2">
        <v>1</v>
      </c>
      <c r="Y1071" s="2">
        <v>0</v>
      </c>
      <c r="Z1071" s="2">
        <f t="shared" si="460"/>
        <v>6</v>
      </c>
      <c r="AA1071" s="2">
        <f t="shared" si="461"/>
        <v>47</v>
      </c>
      <c r="AB1071" s="2">
        <v>2475</v>
      </c>
      <c r="AC1071" s="20">
        <f t="shared" si="462"/>
        <v>1.8989898989899</v>
      </c>
      <c r="AD1071" s="2" t="s">
        <v>49</v>
      </c>
      <c r="AE1071" s="2">
        <v>188</v>
      </c>
      <c r="AF1071" s="21">
        <f t="shared" si="463"/>
        <v>1.8989898989899</v>
      </c>
      <c r="AG1071" s="4">
        <f t="shared" si="464"/>
        <v>1.65656565656566</v>
      </c>
      <c r="AH1071" s="4">
        <f t="shared" si="465"/>
        <v>0.242424242424242</v>
      </c>
      <c r="AI1071" s="2">
        <v>1851</v>
      </c>
      <c r="AJ1071" s="2">
        <v>215</v>
      </c>
      <c r="AK1071" s="2">
        <v>11</v>
      </c>
      <c r="AL1071" s="2">
        <v>75</v>
      </c>
      <c r="AM1071" s="2">
        <v>110</v>
      </c>
      <c r="AN1071" s="2">
        <v>9</v>
      </c>
      <c r="AO1071" s="2">
        <v>0</v>
      </c>
      <c r="AP1071" s="2">
        <f t="shared" si="457"/>
        <v>2150</v>
      </c>
      <c r="AQ1071" s="2">
        <f t="shared" si="458"/>
        <v>70.6075533661741</v>
      </c>
      <c r="AR1071" s="5">
        <f t="shared" si="459"/>
        <v>132.742200328407</v>
      </c>
    </row>
    <row r="1072" spans="1:44">
      <c r="A1072" s="2">
        <v>20260406</v>
      </c>
      <c r="B1072" s="2" t="s">
        <v>2189</v>
      </c>
      <c r="C1072" s="2" t="s">
        <v>2190</v>
      </c>
      <c r="D1072" s="2">
        <v>0</v>
      </c>
      <c r="E1072" s="2">
        <v>0</v>
      </c>
      <c r="F1072" s="2">
        <v>14</v>
      </c>
      <c r="G1072" s="2">
        <v>6</v>
      </c>
      <c r="H1072" s="2">
        <v>5</v>
      </c>
      <c r="I1072" s="3">
        <v>7</v>
      </c>
      <c r="J1072" s="2">
        <v>4</v>
      </c>
      <c r="K1072" s="2">
        <v>2</v>
      </c>
      <c r="L1072" s="2">
        <v>0</v>
      </c>
      <c r="M1072" s="2">
        <v>10</v>
      </c>
      <c r="N1072" s="2">
        <v>3</v>
      </c>
      <c r="O1072" s="2">
        <v>14</v>
      </c>
      <c r="P1072" s="3">
        <v>5</v>
      </c>
      <c r="Q1072" s="2">
        <v>2</v>
      </c>
      <c r="R1072" s="2">
        <v>4</v>
      </c>
      <c r="S1072" s="2">
        <v>2</v>
      </c>
      <c r="T1072" s="2">
        <v>4</v>
      </c>
      <c r="U1072" s="2">
        <v>1</v>
      </c>
      <c r="V1072" s="1">
        <f t="shared" si="456"/>
        <v>31</v>
      </c>
      <c r="W1072" s="2">
        <v>5</v>
      </c>
      <c r="X1072" s="2">
        <v>7</v>
      </c>
      <c r="Y1072" s="2">
        <v>0</v>
      </c>
      <c r="Z1072" s="2">
        <f t="shared" si="460"/>
        <v>13</v>
      </c>
      <c r="AA1072" s="2">
        <f t="shared" si="461"/>
        <v>44</v>
      </c>
      <c r="AB1072" s="2">
        <v>2186</v>
      </c>
      <c r="AC1072" s="20">
        <f t="shared" si="462"/>
        <v>2.0128087831656</v>
      </c>
      <c r="AD1072" s="2" t="s">
        <v>49</v>
      </c>
      <c r="AE1072" s="2">
        <v>188</v>
      </c>
      <c r="AF1072" s="21">
        <f t="shared" si="463"/>
        <v>2.0128087831656</v>
      </c>
      <c r="AG1072" s="4">
        <f t="shared" si="464"/>
        <v>1.41811527904849</v>
      </c>
      <c r="AH1072" s="4">
        <f t="shared" si="465"/>
        <v>0.594693504117109</v>
      </c>
      <c r="AI1072" s="2">
        <v>893</v>
      </c>
      <c r="AJ1072" s="2">
        <v>110</v>
      </c>
      <c r="AK1072" s="2">
        <v>9</v>
      </c>
      <c r="AL1072" s="2">
        <v>41</v>
      </c>
      <c r="AM1072" s="2">
        <v>19</v>
      </c>
      <c r="AN1072" s="2">
        <v>6</v>
      </c>
      <c r="AO1072" s="2">
        <v>0</v>
      </c>
      <c r="AP1072" s="2">
        <f t="shared" si="457"/>
        <v>1050</v>
      </c>
      <c r="AQ1072" s="2">
        <f t="shared" si="458"/>
        <v>42.4242424242424</v>
      </c>
      <c r="AR1072" s="5">
        <f t="shared" si="459"/>
        <v>79.7575757575758</v>
      </c>
    </row>
    <row r="1073" spans="1:44">
      <c r="A1073" s="2">
        <v>20260406</v>
      </c>
      <c r="B1073" s="2" t="s">
        <v>2191</v>
      </c>
      <c r="C1073" s="2" t="s">
        <v>2192</v>
      </c>
      <c r="D1073" s="2">
        <v>2</v>
      </c>
      <c r="E1073" s="2">
        <v>13</v>
      </c>
      <c r="F1073" s="2">
        <v>8</v>
      </c>
      <c r="G1073" s="2">
        <v>6</v>
      </c>
      <c r="H1073" s="2">
        <v>3</v>
      </c>
      <c r="I1073" s="3">
        <v>11</v>
      </c>
      <c r="J1073" s="2">
        <v>9</v>
      </c>
      <c r="K1073" s="2">
        <v>2</v>
      </c>
      <c r="L1073" s="2">
        <v>1</v>
      </c>
      <c r="M1073" s="2">
        <v>9</v>
      </c>
      <c r="N1073" s="2">
        <v>6</v>
      </c>
      <c r="O1073" s="2">
        <v>26</v>
      </c>
      <c r="P1073" s="3">
        <v>11</v>
      </c>
      <c r="Q1073" s="2">
        <v>4</v>
      </c>
      <c r="R1073" s="2">
        <v>14</v>
      </c>
      <c r="S1073" s="2">
        <v>3</v>
      </c>
      <c r="T1073" s="2">
        <v>5</v>
      </c>
      <c r="U1073" s="2">
        <v>2</v>
      </c>
      <c r="V1073" s="1">
        <f t="shared" si="456"/>
        <v>51</v>
      </c>
      <c r="W1073" s="2">
        <v>2</v>
      </c>
      <c r="X1073" s="2">
        <v>4</v>
      </c>
      <c r="Y1073" s="2">
        <v>0</v>
      </c>
      <c r="Z1073" s="2">
        <f t="shared" si="460"/>
        <v>8</v>
      </c>
      <c r="AA1073" s="2">
        <f t="shared" si="461"/>
        <v>59</v>
      </c>
      <c r="AB1073" s="2">
        <v>2525</v>
      </c>
      <c r="AC1073" s="20">
        <f t="shared" si="462"/>
        <v>2.33663366336634</v>
      </c>
      <c r="AD1073" s="2" t="s">
        <v>49</v>
      </c>
      <c r="AE1073" s="2">
        <v>188</v>
      </c>
      <c r="AF1073" s="21">
        <f t="shared" si="463"/>
        <v>2.33663366336634</v>
      </c>
      <c r="AG1073" s="4">
        <f t="shared" si="464"/>
        <v>2.01980198019802</v>
      </c>
      <c r="AH1073" s="4">
        <f t="shared" si="465"/>
        <v>0.316831683168317</v>
      </c>
      <c r="AI1073" s="2">
        <v>878</v>
      </c>
      <c r="AJ1073" s="2">
        <v>147</v>
      </c>
      <c r="AK1073" s="2">
        <v>12</v>
      </c>
      <c r="AL1073" s="2">
        <v>36</v>
      </c>
      <c r="AM1073" s="2">
        <v>56</v>
      </c>
      <c r="AN1073" s="2">
        <v>7</v>
      </c>
      <c r="AO1073" s="2">
        <v>0</v>
      </c>
      <c r="AP1073" s="2">
        <f t="shared" si="457"/>
        <v>1068</v>
      </c>
      <c r="AQ1073" s="2">
        <f t="shared" si="458"/>
        <v>48.8563586459286</v>
      </c>
      <c r="AR1073" s="5">
        <f t="shared" si="459"/>
        <v>91.8499542543458</v>
      </c>
    </row>
    <row r="1074" spans="1:44">
      <c r="A1074" s="2">
        <v>20260406</v>
      </c>
      <c r="B1074" s="2" t="s">
        <v>2193</v>
      </c>
      <c r="C1074" s="2" t="s">
        <v>2194</v>
      </c>
      <c r="D1074" s="2">
        <v>6</v>
      </c>
      <c r="E1074" s="2">
        <v>10</v>
      </c>
      <c r="F1074" s="2">
        <v>16</v>
      </c>
      <c r="G1074" s="2">
        <v>5</v>
      </c>
      <c r="H1074" s="2">
        <v>4</v>
      </c>
      <c r="I1074" s="3">
        <v>15</v>
      </c>
      <c r="J1074" s="2">
        <v>18</v>
      </c>
      <c r="K1074" s="2">
        <v>4</v>
      </c>
      <c r="L1074" s="2">
        <v>0</v>
      </c>
      <c r="M1074" s="2">
        <v>9</v>
      </c>
      <c r="N1074" s="2">
        <v>12</v>
      </c>
      <c r="O1074" s="2">
        <v>25</v>
      </c>
      <c r="P1074" s="3">
        <v>7</v>
      </c>
      <c r="Q1074" s="2">
        <v>11</v>
      </c>
      <c r="R1074" s="2">
        <v>12</v>
      </c>
      <c r="S1074" s="2">
        <v>2</v>
      </c>
      <c r="T1074" s="2">
        <v>3</v>
      </c>
      <c r="U1074" s="2">
        <v>0</v>
      </c>
      <c r="V1074" s="1">
        <f t="shared" si="456"/>
        <v>56</v>
      </c>
      <c r="W1074" s="2">
        <v>4</v>
      </c>
      <c r="X1074" s="2">
        <v>5</v>
      </c>
      <c r="Y1074" s="2">
        <v>0</v>
      </c>
      <c r="Z1074" s="2">
        <f t="shared" si="460"/>
        <v>9</v>
      </c>
      <c r="AA1074" s="2">
        <f t="shared" si="461"/>
        <v>65</v>
      </c>
      <c r="AB1074" s="2">
        <v>2605</v>
      </c>
      <c r="AC1074" s="20">
        <f t="shared" si="462"/>
        <v>2.49520153550864</v>
      </c>
      <c r="AD1074" s="2" t="s">
        <v>49</v>
      </c>
      <c r="AE1074" s="2">
        <v>188</v>
      </c>
      <c r="AF1074" s="21">
        <f t="shared" si="463"/>
        <v>2.49520153550864</v>
      </c>
      <c r="AG1074" s="4">
        <f t="shared" si="464"/>
        <v>2.14971209213052</v>
      </c>
      <c r="AH1074" s="4">
        <f t="shared" si="465"/>
        <v>0.345489443378119</v>
      </c>
      <c r="AI1074" s="2">
        <v>1004</v>
      </c>
      <c r="AJ1074" s="2">
        <v>162</v>
      </c>
      <c r="AK1074" s="2">
        <v>12</v>
      </c>
      <c r="AL1074" s="2">
        <v>26</v>
      </c>
      <c r="AM1074" s="2">
        <v>64</v>
      </c>
      <c r="AN1074" s="2">
        <v>7</v>
      </c>
      <c r="AO1074" s="2">
        <v>0</v>
      </c>
      <c r="AP1074" s="2">
        <f t="shared" si="457"/>
        <v>1199</v>
      </c>
      <c r="AQ1074" s="2">
        <f t="shared" si="458"/>
        <v>47.4851485148515</v>
      </c>
      <c r="AR1074" s="5">
        <f t="shared" si="459"/>
        <v>89.2720792079208</v>
      </c>
    </row>
    <row r="1075" spans="1:44">
      <c r="A1075" s="2">
        <v>20260406</v>
      </c>
      <c r="B1075" s="2" t="s">
        <v>2195</v>
      </c>
      <c r="C1075" s="2" t="s">
        <v>2196</v>
      </c>
      <c r="D1075" s="2">
        <v>1</v>
      </c>
      <c r="E1075" s="2">
        <v>2</v>
      </c>
      <c r="F1075" s="2">
        <v>14</v>
      </c>
      <c r="G1075" s="2">
        <v>12</v>
      </c>
      <c r="H1075" s="2">
        <v>9</v>
      </c>
      <c r="I1075" s="3">
        <v>10</v>
      </c>
      <c r="J1075" s="2">
        <v>11</v>
      </c>
      <c r="K1075" s="2">
        <v>0</v>
      </c>
      <c r="L1075" s="2">
        <v>0</v>
      </c>
      <c r="M1075" s="2">
        <v>5</v>
      </c>
      <c r="N1075" s="2">
        <v>3</v>
      </c>
      <c r="O1075" s="2">
        <v>25</v>
      </c>
      <c r="P1075" s="3">
        <v>10</v>
      </c>
      <c r="Q1075" s="2">
        <v>5</v>
      </c>
      <c r="R1075" s="2">
        <v>17</v>
      </c>
      <c r="S1075" s="2">
        <v>2</v>
      </c>
      <c r="T1075" s="2">
        <v>7</v>
      </c>
      <c r="U1075" s="2">
        <v>0</v>
      </c>
      <c r="V1075" s="1">
        <f t="shared" si="456"/>
        <v>55</v>
      </c>
      <c r="W1075" s="2">
        <v>8</v>
      </c>
      <c r="X1075" s="2">
        <v>1</v>
      </c>
      <c r="Y1075" s="2">
        <v>0</v>
      </c>
      <c r="Z1075" s="2">
        <f t="shared" si="460"/>
        <v>9</v>
      </c>
      <c r="AA1075" s="2">
        <f t="shared" si="461"/>
        <v>64</v>
      </c>
      <c r="AB1075" s="2">
        <v>2385</v>
      </c>
      <c r="AC1075" s="20">
        <f t="shared" si="462"/>
        <v>2.68343815513627</v>
      </c>
      <c r="AD1075" s="2" t="s">
        <v>49</v>
      </c>
      <c r="AE1075" s="2">
        <v>188</v>
      </c>
      <c r="AF1075" s="21">
        <f t="shared" si="463"/>
        <v>2.68343815513627</v>
      </c>
      <c r="AG1075" s="4">
        <f t="shared" si="464"/>
        <v>2.30607966457023</v>
      </c>
      <c r="AH1075" s="4">
        <f t="shared" si="465"/>
        <v>0.377358490566038</v>
      </c>
      <c r="AI1075" s="2">
        <v>684</v>
      </c>
      <c r="AJ1075" s="2">
        <v>116</v>
      </c>
      <c r="AK1075" s="2">
        <v>16</v>
      </c>
      <c r="AL1075" s="2">
        <v>22</v>
      </c>
      <c r="AM1075" s="2">
        <v>25</v>
      </c>
      <c r="AN1075" s="2">
        <v>7</v>
      </c>
      <c r="AO1075" s="2">
        <v>0</v>
      </c>
      <c r="AP1075" s="2">
        <f t="shared" si="457"/>
        <v>829</v>
      </c>
      <c r="AQ1075" s="2">
        <f t="shared" si="458"/>
        <v>31.8234165067178</v>
      </c>
      <c r="AR1075" s="5">
        <f t="shared" si="459"/>
        <v>59.8280230326296</v>
      </c>
    </row>
    <row r="1076" spans="1:44">
      <c r="A1076" s="2">
        <v>20260406</v>
      </c>
      <c r="B1076" s="2" t="s">
        <v>881</v>
      </c>
      <c r="C1076" s="2" t="s">
        <v>2197</v>
      </c>
      <c r="D1076" s="2">
        <v>7</v>
      </c>
      <c r="E1076" s="2">
        <v>3</v>
      </c>
      <c r="F1076" s="2">
        <v>19</v>
      </c>
      <c r="G1076" s="2">
        <v>11</v>
      </c>
      <c r="H1076" s="2">
        <v>11</v>
      </c>
      <c r="I1076" s="3">
        <v>18</v>
      </c>
      <c r="J1076" s="2">
        <v>9</v>
      </c>
      <c r="K1076" s="2">
        <v>1</v>
      </c>
      <c r="L1076" s="2">
        <v>0</v>
      </c>
      <c r="M1076" s="2">
        <v>13</v>
      </c>
      <c r="N1076" s="2">
        <v>7</v>
      </c>
      <c r="O1076" s="2">
        <v>16</v>
      </c>
      <c r="P1076" s="3">
        <v>4</v>
      </c>
      <c r="Q1076" s="2">
        <v>10</v>
      </c>
      <c r="R1076" s="2">
        <v>7</v>
      </c>
      <c r="S1076" s="2">
        <v>1</v>
      </c>
      <c r="T1076" s="2">
        <v>15</v>
      </c>
      <c r="U1076" s="2">
        <v>2</v>
      </c>
      <c r="V1076" s="1">
        <f t="shared" si="456"/>
        <v>70</v>
      </c>
      <c r="W1076" s="2">
        <v>8</v>
      </c>
      <c r="X1076" s="2">
        <v>4</v>
      </c>
      <c r="Y1076" s="2">
        <v>0</v>
      </c>
      <c r="Z1076" s="2">
        <f t="shared" si="460"/>
        <v>14</v>
      </c>
      <c r="AA1076" s="2">
        <f t="shared" si="461"/>
        <v>84</v>
      </c>
      <c r="AB1076" s="2">
        <v>2475</v>
      </c>
      <c r="AC1076" s="20">
        <f t="shared" si="462"/>
        <v>3.39393939393939</v>
      </c>
      <c r="AD1076" s="2" t="s">
        <v>49</v>
      </c>
      <c r="AE1076" s="2">
        <v>188</v>
      </c>
      <c r="AF1076" s="21">
        <f t="shared" si="463"/>
        <v>3.39393939393939</v>
      </c>
      <c r="AG1076" s="4">
        <f t="shared" si="464"/>
        <v>2.82828282828283</v>
      </c>
      <c r="AH1076" s="4">
        <f t="shared" si="465"/>
        <v>0.565656565656566</v>
      </c>
      <c r="AI1076" s="2">
        <v>1059</v>
      </c>
      <c r="AJ1076" s="2">
        <v>177</v>
      </c>
      <c r="AK1076" s="2">
        <v>19</v>
      </c>
      <c r="AL1076" s="2">
        <v>41</v>
      </c>
      <c r="AM1076" s="2">
        <v>53</v>
      </c>
      <c r="AN1076" s="2">
        <v>13</v>
      </c>
      <c r="AO1076" s="2">
        <v>0</v>
      </c>
      <c r="AP1076" s="2">
        <f t="shared" si="457"/>
        <v>1290</v>
      </c>
      <c r="AQ1076" s="2">
        <f t="shared" si="458"/>
        <v>54.0880503144654</v>
      </c>
      <c r="AR1076" s="5">
        <f t="shared" si="459"/>
        <v>101.685534591195</v>
      </c>
    </row>
    <row r="1077" spans="1:44">
      <c r="A1077" s="2">
        <v>20260406</v>
      </c>
      <c r="B1077" s="2" t="s">
        <v>2198</v>
      </c>
      <c r="C1077" s="2" t="s">
        <v>2199</v>
      </c>
      <c r="D1077" s="2">
        <v>0</v>
      </c>
      <c r="E1077" s="2">
        <v>0</v>
      </c>
      <c r="F1077" s="2">
        <v>8</v>
      </c>
      <c r="G1077" s="2">
        <v>7</v>
      </c>
      <c r="H1077" s="2">
        <v>4</v>
      </c>
      <c r="I1077" s="3">
        <v>3</v>
      </c>
      <c r="J1077" s="2">
        <v>4</v>
      </c>
      <c r="K1077" s="2">
        <v>1</v>
      </c>
      <c r="L1077" s="2">
        <v>1</v>
      </c>
      <c r="M1077" s="2">
        <v>14</v>
      </c>
      <c r="N1077" s="2">
        <v>7</v>
      </c>
      <c r="O1077" s="2">
        <v>20</v>
      </c>
      <c r="P1077" s="3">
        <v>11</v>
      </c>
      <c r="Q1077" s="2">
        <v>12</v>
      </c>
      <c r="R1077" s="2">
        <v>7</v>
      </c>
      <c r="S1077" s="2">
        <v>1</v>
      </c>
      <c r="T1077" s="2">
        <v>3</v>
      </c>
      <c r="U1077" s="2">
        <v>0</v>
      </c>
      <c r="V1077" s="1">
        <f t="shared" si="456"/>
        <v>47</v>
      </c>
      <c r="W1077" s="2">
        <v>1</v>
      </c>
      <c r="X1077" s="2">
        <v>0</v>
      </c>
      <c r="Y1077" s="2">
        <v>0</v>
      </c>
      <c r="Z1077" s="2">
        <f t="shared" si="460"/>
        <v>1</v>
      </c>
      <c r="AA1077" s="2">
        <f t="shared" si="461"/>
        <v>48</v>
      </c>
      <c r="AB1077" s="2">
        <v>2187</v>
      </c>
      <c r="AC1077" s="20">
        <f t="shared" si="462"/>
        <v>2.19478737997256</v>
      </c>
      <c r="AD1077" s="2" t="s">
        <v>49</v>
      </c>
      <c r="AE1077" s="2">
        <v>188</v>
      </c>
      <c r="AF1077" s="21">
        <f t="shared" si="463"/>
        <v>2.19478737997256</v>
      </c>
      <c r="AG1077" s="4">
        <f t="shared" si="464"/>
        <v>2.1490626428898</v>
      </c>
      <c r="AH1077" s="4">
        <f t="shared" si="465"/>
        <v>0.0457247370827618</v>
      </c>
      <c r="AI1077" s="2">
        <v>1126</v>
      </c>
      <c r="AJ1077" s="2">
        <v>133</v>
      </c>
      <c r="AK1077" s="2">
        <v>6</v>
      </c>
      <c r="AL1077" s="2">
        <v>20</v>
      </c>
      <c r="AM1077" s="2">
        <v>21</v>
      </c>
      <c r="AN1077" s="2">
        <v>3</v>
      </c>
      <c r="AO1077" s="2">
        <v>0</v>
      </c>
      <c r="AP1077" s="2">
        <f t="shared" si="457"/>
        <v>1282</v>
      </c>
      <c r="AQ1077" s="2">
        <f t="shared" si="458"/>
        <v>51.7979797979798</v>
      </c>
      <c r="AR1077" s="5">
        <f t="shared" si="459"/>
        <v>97.380202020202</v>
      </c>
    </row>
    <row r="1078" spans="1:44">
      <c r="A1078" s="2">
        <v>20260406</v>
      </c>
      <c r="B1078" s="2" t="s">
        <v>2200</v>
      </c>
      <c r="C1078" s="2" t="s">
        <v>2201</v>
      </c>
      <c r="D1078" s="2">
        <v>0</v>
      </c>
      <c r="E1078" s="2">
        <v>1</v>
      </c>
      <c r="F1078" s="2">
        <v>13</v>
      </c>
      <c r="G1078" s="2">
        <v>5</v>
      </c>
      <c r="H1078" s="2">
        <v>9</v>
      </c>
      <c r="I1078" s="3">
        <v>13</v>
      </c>
      <c r="J1078" s="2">
        <v>22</v>
      </c>
      <c r="K1078" s="2">
        <v>1</v>
      </c>
      <c r="L1078" s="2">
        <v>0</v>
      </c>
      <c r="M1078" s="2">
        <v>33</v>
      </c>
      <c r="N1078" s="2">
        <v>7</v>
      </c>
      <c r="O1078" s="2">
        <v>23</v>
      </c>
      <c r="P1078" s="2">
        <v>14</v>
      </c>
      <c r="Q1078" s="3">
        <v>14</v>
      </c>
      <c r="R1078" s="2">
        <v>1</v>
      </c>
      <c r="S1078" s="2">
        <v>0</v>
      </c>
      <c r="T1078" s="2">
        <v>4</v>
      </c>
      <c r="U1078" s="2">
        <v>0</v>
      </c>
      <c r="V1078" s="1">
        <f t="shared" si="456"/>
        <v>100</v>
      </c>
      <c r="W1078" s="2">
        <v>0</v>
      </c>
      <c r="X1078" s="2">
        <v>1</v>
      </c>
      <c r="Y1078" s="2">
        <v>0</v>
      </c>
      <c r="Z1078" s="2">
        <f t="shared" si="460"/>
        <v>1</v>
      </c>
      <c r="AA1078" s="2">
        <f t="shared" si="461"/>
        <v>101</v>
      </c>
      <c r="AB1078" s="2">
        <v>2187</v>
      </c>
      <c r="AC1078" s="20">
        <f t="shared" ref="AC1078:AC1091" si="466">AA1078/AB1078*100</f>
        <v>4.61819844535894</v>
      </c>
      <c r="AD1078" s="2" t="s">
        <v>49</v>
      </c>
      <c r="AE1078" s="2">
        <v>188</v>
      </c>
      <c r="AF1078" s="21">
        <f t="shared" si="463"/>
        <v>4.61819844535894</v>
      </c>
      <c r="AG1078" s="4">
        <f t="shared" si="464"/>
        <v>4.57247370827618</v>
      </c>
      <c r="AH1078" s="4">
        <f t="shared" si="465"/>
        <v>0.0457247370827618</v>
      </c>
      <c r="AI1078" s="2">
        <v>766</v>
      </c>
      <c r="AJ1078" s="2">
        <v>14</v>
      </c>
      <c r="AK1078" s="2">
        <v>7</v>
      </c>
      <c r="AL1078" s="2">
        <v>13</v>
      </c>
      <c r="AM1078" s="2">
        <v>23</v>
      </c>
      <c r="AN1078" s="2">
        <v>8</v>
      </c>
      <c r="AO1078" s="2">
        <v>0</v>
      </c>
      <c r="AP1078" s="2">
        <f t="shared" si="457"/>
        <v>801</v>
      </c>
      <c r="AQ1078" s="2">
        <f t="shared" ref="AQ1078:AQ1094" si="467">AP1078/AB1077*100</f>
        <v>36.6255144032922</v>
      </c>
      <c r="AR1078" s="5">
        <f t="shared" si="459"/>
        <v>68.8559670781893</v>
      </c>
    </row>
    <row r="1079" spans="1:44">
      <c r="A1079" s="2">
        <v>20260406</v>
      </c>
      <c r="B1079" s="2" t="s">
        <v>2202</v>
      </c>
      <c r="C1079" s="2" t="s">
        <v>2203</v>
      </c>
      <c r="D1079" s="2">
        <v>1</v>
      </c>
      <c r="E1079" s="2">
        <v>0</v>
      </c>
      <c r="F1079" s="2">
        <v>8</v>
      </c>
      <c r="G1079" s="2">
        <v>9</v>
      </c>
      <c r="H1079" s="2">
        <v>9</v>
      </c>
      <c r="I1079" s="3">
        <v>12</v>
      </c>
      <c r="J1079" s="2">
        <v>13</v>
      </c>
      <c r="K1079" s="2">
        <v>0</v>
      </c>
      <c r="L1079" s="2">
        <v>3</v>
      </c>
      <c r="M1079" s="2">
        <v>15</v>
      </c>
      <c r="N1079" s="2">
        <v>10</v>
      </c>
      <c r="O1079" s="2">
        <v>27</v>
      </c>
      <c r="P1079" s="3">
        <v>5</v>
      </c>
      <c r="Q1079" s="2">
        <v>9</v>
      </c>
      <c r="R1079" s="2">
        <v>0</v>
      </c>
      <c r="S1079" s="2">
        <v>0</v>
      </c>
      <c r="T1079" s="2">
        <v>8</v>
      </c>
      <c r="U1079" s="2">
        <v>2</v>
      </c>
      <c r="V1079" s="1">
        <f t="shared" si="456"/>
        <v>61</v>
      </c>
      <c r="W1079" s="2">
        <v>2</v>
      </c>
      <c r="X1079" s="2">
        <v>11</v>
      </c>
      <c r="Y1079" s="2">
        <v>0</v>
      </c>
      <c r="Z1079" s="2">
        <f t="shared" si="460"/>
        <v>15</v>
      </c>
      <c r="AA1079" s="2">
        <f t="shared" si="461"/>
        <v>76</v>
      </c>
      <c r="AB1079" s="2">
        <v>2335</v>
      </c>
      <c r="AC1079" s="20">
        <f t="shared" si="466"/>
        <v>3.25481798715203</v>
      </c>
      <c r="AD1079" s="2" t="s">
        <v>49</v>
      </c>
      <c r="AE1079" s="2">
        <v>188</v>
      </c>
      <c r="AF1079" s="21">
        <f t="shared" si="463"/>
        <v>3.25481798715203</v>
      </c>
      <c r="AG1079" s="4">
        <f t="shared" si="464"/>
        <v>2.61241970021413</v>
      </c>
      <c r="AH1079" s="4">
        <f t="shared" si="465"/>
        <v>0.642398286937901</v>
      </c>
      <c r="AI1079" s="2">
        <v>691</v>
      </c>
      <c r="AJ1079" s="2">
        <v>113</v>
      </c>
      <c r="AK1079" s="2">
        <v>6</v>
      </c>
      <c r="AL1079" s="2">
        <v>14</v>
      </c>
      <c r="AM1079" s="2">
        <v>14</v>
      </c>
      <c r="AN1079" s="2">
        <v>7</v>
      </c>
      <c r="AO1079" s="2">
        <v>0</v>
      </c>
      <c r="AP1079" s="2">
        <f t="shared" ref="AP1079:AP1095" si="468">AI1079+AJ1079+AL1079+AN1079</f>
        <v>825</v>
      </c>
      <c r="AQ1079" s="2">
        <f t="shared" si="467"/>
        <v>37.7229080932785</v>
      </c>
      <c r="AR1079" s="5">
        <f t="shared" ref="AR1079:AR1095" si="469">AQ1079*1.88</f>
        <v>70.9190672153635</v>
      </c>
    </row>
    <row r="1080" spans="1:44">
      <c r="A1080" s="2">
        <v>20260406</v>
      </c>
      <c r="B1080" s="2" t="s">
        <v>2204</v>
      </c>
      <c r="C1080" s="2" t="s">
        <v>2205</v>
      </c>
      <c r="D1080" s="2">
        <v>3</v>
      </c>
      <c r="E1080" s="2">
        <v>6</v>
      </c>
      <c r="F1080" s="2">
        <v>3</v>
      </c>
      <c r="G1080" s="2">
        <v>5</v>
      </c>
      <c r="H1080" s="2">
        <v>5</v>
      </c>
      <c r="I1080" s="3">
        <v>11</v>
      </c>
      <c r="J1080" s="2">
        <v>8</v>
      </c>
      <c r="K1080" s="2">
        <v>1</v>
      </c>
      <c r="L1080" s="2">
        <v>0</v>
      </c>
      <c r="M1080" s="2">
        <v>9</v>
      </c>
      <c r="N1080" s="2">
        <v>12</v>
      </c>
      <c r="O1080" s="2">
        <v>8</v>
      </c>
      <c r="P1080" s="3">
        <v>8</v>
      </c>
      <c r="Q1080" s="2">
        <v>0</v>
      </c>
      <c r="R1080" s="2">
        <v>4</v>
      </c>
      <c r="S1080" s="2">
        <v>2</v>
      </c>
      <c r="T1080" s="2">
        <v>4</v>
      </c>
      <c r="U1080" s="2">
        <v>0</v>
      </c>
      <c r="V1080" s="1">
        <f t="shared" ref="V1080:V1094" si="470">AA1080-Y1080-X1080-W1080-U1080</f>
        <v>50</v>
      </c>
      <c r="W1080" s="2">
        <v>1</v>
      </c>
      <c r="X1080" s="2">
        <v>0</v>
      </c>
      <c r="Y1080" s="2">
        <v>0</v>
      </c>
      <c r="Z1080" s="2">
        <f t="shared" ref="Z1080:Z1094" si="471">Y1080+X1080+W1080+U1080</f>
        <v>1</v>
      </c>
      <c r="AA1080" s="2">
        <f t="shared" ref="AA1080:AA1094" si="472">G1080+H1080+I1080+J1080+K1080+L1080+M1080+P1080+T1080+U1080</f>
        <v>51</v>
      </c>
      <c r="AB1080" s="2">
        <v>2188</v>
      </c>
      <c r="AC1080" s="20">
        <f t="shared" si="466"/>
        <v>2.3308957952468</v>
      </c>
      <c r="AD1080" s="2" t="s">
        <v>49</v>
      </c>
      <c r="AE1080" s="2">
        <v>188</v>
      </c>
      <c r="AF1080" s="21">
        <f t="shared" si="463"/>
        <v>2.3308957952468</v>
      </c>
      <c r="AG1080" s="4">
        <f t="shared" si="464"/>
        <v>2.28519195612431</v>
      </c>
      <c r="AH1080" s="4">
        <f t="shared" si="465"/>
        <v>0.0457038391224863</v>
      </c>
      <c r="AI1080" s="2">
        <v>898</v>
      </c>
      <c r="AJ1080" s="2">
        <v>114</v>
      </c>
      <c r="AK1080" s="2">
        <v>12</v>
      </c>
      <c r="AL1080" s="2">
        <v>21</v>
      </c>
      <c r="AM1080" s="2">
        <v>34</v>
      </c>
      <c r="AN1080" s="2">
        <v>1</v>
      </c>
      <c r="AO1080" s="2">
        <v>0</v>
      </c>
      <c r="AP1080" s="2">
        <f t="shared" si="468"/>
        <v>1034</v>
      </c>
      <c r="AQ1080" s="2">
        <f t="shared" si="467"/>
        <v>44.2826552462527</v>
      </c>
      <c r="AR1080" s="5">
        <f t="shared" si="469"/>
        <v>83.251391862955</v>
      </c>
    </row>
    <row r="1081" spans="1:44">
      <c r="A1081" s="2">
        <v>20260406</v>
      </c>
      <c r="B1081" s="2" t="s">
        <v>2206</v>
      </c>
      <c r="C1081" s="2" t="s">
        <v>2207</v>
      </c>
      <c r="D1081" s="2">
        <v>3</v>
      </c>
      <c r="E1081" s="2">
        <v>0</v>
      </c>
      <c r="F1081" s="2">
        <v>6</v>
      </c>
      <c r="G1081" s="2">
        <v>2</v>
      </c>
      <c r="H1081" s="2">
        <v>6</v>
      </c>
      <c r="I1081" s="3">
        <v>19</v>
      </c>
      <c r="J1081" s="2">
        <v>12</v>
      </c>
      <c r="K1081" s="2">
        <v>4</v>
      </c>
      <c r="L1081" s="2">
        <v>0</v>
      </c>
      <c r="M1081" s="2">
        <v>20</v>
      </c>
      <c r="N1081" s="2">
        <v>5</v>
      </c>
      <c r="O1081" s="2">
        <v>24</v>
      </c>
      <c r="P1081" s="3">
        <v>6</v>
      </c>
      <c r="Q1081" s="2">
        <v>9</v>
      </c>
      <c r="R1081" s="2">
        <v>2</v>
      </c>
      <c r="S1081" s="2">
        <v>1</v>
      </c>
      <c r="T1081" s="2">
        <v>1</v>
      </c>
      <c r="U1081" s="2">
        <v>0</v>
      </c>
      <c r="V1081" s="1">
        <f t="shared" si="470"/>
        <v>63</v>
      </c>
      <c r="W1081" s="2">
        <v>4</v>
      </c>
      <c r="X1081" s="2">
        <v>3</v>
      </c>
      <c r="Y1081" s="2">
        <v>0</v>
      </c>
      <c r="Z1081" s="2">
        <f t="shared" si="471"/>
        <v>7</v>
      </c>
      <c r="AA1081" s="2">
        <f t="shared" si="472"/>
        <v>70</v>
      </c>
      <c r="AB1081" s="2">
        <v>2186</v>
      </c>
      <c r="AC1081" s="20">
        <f t="shared" si="466"/>
        <v>3.20219579139982</v>
      </c>
      <c r="AD1081" s="2" t="s">
        <v>49</v>
      </c>
      <c r="AE1081" s="2">
        <v>188</v>
      </c>
      <c r="AF1081" s="21">
        <f t="shared" si="463"/>
        <v>3.20219579139982</v>
      </c>
      <c r="AG1081" s="4">
        <f t="shared" si="464"/>
        <v>2.88197621225984</v>
      </c>
      <c r="AH1081" s="4">
        <f t="shared" si="465"/>
        <v>0.320219579139982</v>
      </c>
      <c r="AI1081" s="2">
        <v>1190</v>
      </c>
      <c r="AJ1081" s="2">
        <v>134</v>
      </c>
      <c r="AK1081" s="2">
        <v>12</v>
      </c>
      <c r="AL1081" s="2">
        <v>38</v>
      </c>
      <c r="AM1081" s="2">
        <v>24</v>
      </c>
      <c r="AN1081" s="2">
        <v>9</v>
      </c>
      <c r="AO1081" s="2">
        <v>0</v>
      </c>
      <c r="AP1081" s="2">
        <f t="shared" si="468"/>
        <v>1371</v>
      </c>
      <c r="AQ1081" s="2">
        <f t="shared" si="467"/>
        <v>62.6599634369287</v>
      </c>
      <c r="AR1081" s="5">
        <f t="shared" si="469"/>
        <v>117.800731261426</v>
      </c>
    </row>
    <row r="1082" spans="1:44">
      <c r="A1082" s="2">
        <v>20260406</v>
      </c>
      <c r="B1082" s="2" t="s">
        <v>2208</v>
      </c>
      <c r="C1082" s="2" t="s">
        <v>2209</v>
      </c>
      <c r="D1082" s="2">
        <v>2</v>
      </c>
      <c r="E1082" s="2">
        <v>0</v>
      </c>
      <c r="F1082" s="2">
        <v>6</v>
      </c>
      <c r="G1082" s="2">
        <v>13</v>
      </c>
      <c r="H1082" s="2">
        <v>10</v>
      </c>
      <c r="I1082" s="3">
        <v>11</v>
      </c>
      <c r="J1082" s="2">
        <v>18</v>
      </c>
      <c r="K1082" s="2">
        <v>3</v>
      </c>
      <c r="L1082" s="2">
        <v>0</v>
      </c>
      <c r="M1082" s="2">
        <v>9</v>
      </c>
      <c r="N1082" s="2">
        <v>23</v>
      </c>
      <c r="O1082" s="2">
        <v>13</v>
      </c>
      <c r="P1082" s="3">
        <v>12</v>
      </c>
      <c r="Q1082" s="2">
        <v>3</v>
      </c>
      <c r="R1082" s="2">
        <v>2</v>
      </c>
      <c r="S1082" s="2">
        <v>0</v>
      </c>
      <c r="T1082" s="2">
        <v>6</v>
      </c>
      <c r="U1082" s="2">
        <v>0</v>
      </c>
      <c r="V1082" s="1">
        <f t="shared" si="470"/>
        <v>80</v>
      </c>
      <c r="W1082" s="2">
        <v>2</v>
      </c>
      <c r="X1082" s="2">
        <v>0</v>
      </c>
      <c r="Y1082" s="2">
        <v>0</v>
      </c>
      <c r="Z1082" s="2">
        <f t="shared" si="471"/>
        <v>2</v>
      </c>
      <c r="AA1082" s="2">
        <f t="shared" si="472"/>
        <v>82</v>
      </c>
      <c r="AB1082" s="2">
        <v>2185</v>
      </c>
      <c r="AC1082" s="20">
        <f t="shared" si="466"/>
        <v>3.75286041189931</v>
      </c>
      <c r="AD1082" s="2" t="s">
        <v>49</v>
      </c>
      <c r="AE1082" s="2">
        <v>188</v>
      </c>
      <c r="AF1082" s="21">
        <f t="shared" ref="AF1082:AF1096" si="473">188/AE1082*AC1082</f>
        <v>3.75286041189931</v>
      </c>
      <c r="AG1082" s="4">
        <f t="shared" ref="AG1082:AG1096" si="474">V1082/AB1082*100</f>
        <v>3.66132723112128</v>
      </c>
      <c r="AH1082" s="4">
        <f t="shared" ref="AH1082:AH1096" si="475">Z1082/AB1082*100</f>
        <v>0.091533180778032</v>
      </c>
      <c r="AI1082" s="2">
        <v>1268</v>
      </c>
      <c r="AJ1082" s="2">
        <v>113</v>
      </c>
      <c r="AK1082" s="2">
        <v>13</v>
      </c>
      <c r="AL1082" s="2">
        <v>14</v>
      </c>
      <c r="AM1082" s="2">
        <v>15</v>
      </c>
      <c r="AN1082" s="2">
        <v>13</v>
      </c>
      <c r="AO1082" s="2">
        <v>0</v>
      </c>
      <c r="AP1082" s="2">
        <f t="shared" si="468"/>
        <v>1408</v>
      </c>
      <c r="AQ1082" s="2">
        <f t="shared" si="467"/>
        <v>64.4098810612992</v>
      </c>
      <c r="AR1082" s="5">
        <f t="shared" si="469"/>
        <v>121.090576395242</v>
      </c>
    </row>
    <row r="1083" spans="1:44">
      <c r="A1083" s="2">
        <v>20260406</v>
      </c>
      <c r="B1083" s="2" t="s">
        <v>2210</v>
      </c>
      <c r="C1083" s="2" t="s">
        <v>2211</v>
      </c>
      <c r="D1083" s="2">
        <v>4</v>
      </c>
      <c r="E1083" s="2">
        <v>3</v>
      </c>
      <c r="F1083" s="2">
        <v>1</v>
      </c>
      <c r="G1083" s="2">
        <v>6</v>
      </c>
      <c r="H1083" s="2">
        <v>4</v>
      </c>
      <c r="I1083" s="3">
        <v>11</v>
      </c>
      <c r="J1083" s="2">
        <v>8</v>
      </c>
      <c r="K1083" s="2">
        <v>0</v>
      </c>
      <c r="L1083" s="2">
        <v>0</v>
      </c>
      <c r="M1083" s="2">
        <v>8</v>
      </c>
      <c r="N1083" s="2">
        <v>11</v>
      </c>
      <c r="O1083" s="2">
        <v>13</v>
      </c>
      <c r="P1083" s="3">
        <v>5</v>
      </c>
      <c r="Q1083" s="2">
        <v>5</v>
      </c>
      <c r="R1083" s="2">
        <v>3</v>
      </c>
      <c r="S1083" s="2">
        <v>2</v>
      </c>
      <c r="T1083" s="2">
        <v>2</v>
      </c>
      <c r="U1083" s="2">
        <v>0</v>
      </c>
      <c r="V1083" s="1">
        <f t="shared" si="470"/>
        <v>42</v>
      </c>
      <c r="W1083" s="2">
        <v>1</v>
      </c>
      <c r="X1083" s="2">
        <v>1</v>
      </c>
      <c r="Y1083" s="2">
        <v>0</v>
      </c>
      <c r="Z1083" s="2">
        <f t="shared" si="471"/>
        <v>2</v>
      </c>
      <c r="AA1083" s="2">
        <f t="shared" si="472"/>
        <v>44</v>
      </c>
      <c r="AB1083" s="2">
        <v>2185</v>
      </c>
      <c r="AC1083" s="20">
        <f t="shared" si="466"/>
        <v>2.0137299771167</v>
      </c>
      <c r="AD1083" s="2" t="s">
        <v>49</v>
      </c>
      <c r="AE1083" s="2">
        <v>188</v>
      </c>
      <c r="AF1083" s="21">
        <f t="shared" si="473"/>
        <v>2.0137299771167</v>
      </c>
      <c r="AG1083" s="4">
        <f t="shared" si="474"/>
        <v>1.92219679633867</v>
      </c>
      <c r="AH1083" s="4">
        <f t="shared" si="475"/>
        <v>0.091533180778032</v>
      </c>
      <c r="AI1083" s="2">
        <v>1278</v>
      </c>
      <c r="AJ1083" s="2">
        <v>104</v>
      </c>
      <c r="AK1083" s="2">
        <v>17</v>
      </c>
      <c r="AL1083" s="2">
        <v>18</v>
      </c>
      <c r="AM1083" s="2">
        <v>9</v>
      </c>
      <c r="AN1083" s="2">
        <v>10</v>
      </c>
      <c r="AO1083" s="2">
        <v>0</v>
      </c>
      <c r="AP1083" s="2">
        <f t="shared" si="468"/>
        <v>1410</v>
      </c>
      <c r="AQ1083" s="2">
        <f t="shared" si="467"/>
        <v>64.5308924485126</v>
      </c>
      <c r="AR1083" s="5">
        <f t="shared" si="469"/>
        <v>121.318077803204</v>
      </c>
    </row>
    <row r="1084" spans="1:44">
      <c r="A1084" s="2">
        <v>20260406</v>
      </c>
      <c r="B1084" s="2" t="s">
        <v>2212</v>
      </c>
      <c r="C1084" s="2" t="s">
        <v>2213</v>
      </c>
      <c r="D1084" s="2">
        <v>9</v>
      </c>
      <c r="E1084" s="2">
        <v>3</v>
      </c>
      <c r="F1084" s="2">
        <v>11</v>
      </c>
      <c r="G1084" s="2">
        <v>14</v>
      </c>
      <c r="H1084" s="2">
        <v>8</v>
      </c>
      <c r="I1084" s="3">
        <v>8</v>
      </c>
      <c r="J1084" s="2">
        <v>15</v>
      </c>
      <c r="K1084" s="2">
        <v>1</v>
      </c>
      <c r="L1084" s="2">
        <v>1</v>
      </c>
      <c r="M1084" s="2">
        <v>13</v>
      </c>
      <c r="N1084" s="2">
        <v>5</v>
      </c>
      <c r="O1084" s="2">
        <v>17</v>
      </c>
      <c r="P1084" s="3">
        <v>13</v>
      </c>
      <c r="Q1084" s="2">
        <v>8</v>
      </c>
      <c r="R1084" s="2">
        <v>4</v>
      </c>
      <c r="S1084" s="2">
        <v>5</v>
      </c>
      <c r="T1084" s="2">
        <v>12</v>
      </c>
      <c r="U1084" s="2">
        <v>0</v>
      </c>
      <c r="V1084" s="1">
        <f t="shared" si="470"/>
        <v>84</v>
      </c>
      <c r="W1084" s="2">
        <v>0</v>
      </c>
      <c r="X1084" s="2">
        <v>0</v>
      </c>
      <c r="Y1084" s="2">
        <v>1</v>
      </c>
      <c r="Z1084" s="2">
        <f t="shared" si="471"/>
        <v>1</v>
      </c>
      <c r="AA1084" s="2">
        <f t="shared" si="472"/>
        <v>85</v>
      </c>
      <c r="AB1084" s="2">
        <v>2186</v>
      </c>
      <c r="AC1084" s="20">
        <f t="shared" si="466"/>
        <v>3.88838060384263</v>
      </c>
      <c r="AD1084" s="2" t="s">
        <v>49</v>
      </c>
      <c r="AE1084" s="2">
        <v>188</v>
      </c>
      <c r="AF1084" s="21">
        <f t="shared" si="473"/>
        <v>3.88838060384263</v>
      </c>
      <c r="AG1084" s="4">
        <f t="shared" si="474"/>
        <v>3.84263494967978</v>
      </c>
      <c r="AH1084" s="4">
        <f t="shared" si="475"/>
        <v>0.0457456541628545</v>
      </c>
      <c r="AI1084" s="2">
        <v>1267</v>
      </c>
      <c r="AJ1084" s="2">
        <v>153</v>
      </c>
      <c r="AK1084" s="2">
        <v>8</v>
      </c>
      <c r="AL1084" s="2">
        <v>21</v>
      </c>
      <c r="AM1084" s="2">
        <v>41</v>
      </c>
      <c r="AN1084" s="2">
        <v>9</v>
      </c>
      <c r="AO1084" s="2">
        <v>0</v>
      </c>
      <c r="AP1084" s="2">
        <f t="shared" si="468"/>
        <v>1450</v>
      </c>
      <c r="AQ1084" s="2">
        <f t="shared" si="467"/>
        <v>66.3615560640732</v>
      </c>
      <c r="AR1084" s="5">
        <f t="shared" si="469"/>
        <v>124.759725400458</v>
      </c>
    </row>
    <row r="1085" spans="1:44">
      <c r="A1085" s="2">
        <v>20260406</v>
      </c>
      <c r="B1085" s="2" t="s">
        <v>2214</v>
      </c>
      <c r="C1085" s="2" t="s">
        <v>2215</v>
      </c>
      <c r="D1085" s="2">
        <v>2</v>
      </c>
      <c r="E1085" s="2">
        <v>2</v>
      </c>
      <c r="F1085" s="2">
        <v>3</v>
      </c>
      <c r="G1085" s="2">
        <v>10</v>
      </c>
      <c r="H1085" s="2">
        <v>9</v>
      </c>
      <c r="I1085" s="3">
        <v>12</v>
      </c>
      <c r="J1085" s="2">
        <v>12</v>
      </c>
      <c r="K1085" s="2">
        <v>0</v>
      </c>
      <c r="L1085" s="2">
        <v>8</v>
      </c>
      <c r="M1085" s="2">
        <v>14</v>
      </c>
      <c r="N1085" s="2">
        <v>2</v>
      </c>
      <c r="O1085" s="2">
        <v>10</v>
      </c>
      <c r="P1085" s="3">
        <v>8</v>
      </c>
      <c r="Q1085" s="2">
        <v>1</v>
      </c>
      <c r="R1085" s="2">
        <v>7</v>
      </c>
      <c r="S1085" s="2">
        <v>0</v>
      </c>
      <c r="T1085" s="2">
        <v>4</v>
      </c>
      <c r="U1085" s="2">
        <v>0</v>
      </c>
      <c r="V1085" s="1">
        <f t="shared" si="470"/>
        <v>70</v>
      </c>
      <c r="W1085" s="2">
        <v>5</v>
      </c>
      <c r="X1085" s="2">
        <v>2</v>
      </c>
      <c r="Y1085" s="2">
        <v>0</v>
      </c>
      <c r="Z1085" s="2">
        <f t="shared" si="471"/>
        <v>7</v>
      </c>
      <c r="AA1085" s="2">
        <f t="shared" si="472"/>
        <v>77</v>
      </c>
      <c r="AB1085" s="2">
        <v>2186</v>
      </c>
      <c r="AC1085" s="20">
        <f t="shared" si="466"/>
        <v>3.5224153705398</v>
      </c>
      <c r="AD1085" s="2" t="s">
        <v>49</v>
      </c>
      <c r="AE1085" s="2">
        <v>188</v>
      </c>
      <c r="AF1085" s="21">
        <f t="shared" si="473"/>
        <v>3.5224153705398</v>
      </c>
      <c r="AG1085" s="4">
        <f t="shared" si="474"/>
        <v>3.20219579139982</v>
      </c>
      <c r="AH1085" s="4">
        <f t="shared" si="475"/>
        <v>0.320219579139982</v>
      </c>
      <c r="AI1085" s="2">
        <v>1040</v>
      </c>
      <c r="AJ1085" s="2">
        <v>120</v>
      </c>
      <c r="AK1085" s="2">
        <v>8</v>
      </c>
      <c r="AL1085" s="2">
        <v>23</v>
      </c>
      <c r="AM1085" s="2">
        <v>27</v>
      </c>
      <c r="AN1085" s="2">
        <v>8</v>
      </c>
      <c r="AO1085" s="2">
        <v>0</v>
      </c>
      <c r="AP1085" s="2">
        <f t="shared" si="468"/>
        <v>1191</v>
      </c>
      <c r="AQ1085" s="2">
        <f t="shared" si="467"/>
        <v>54.4830741079597</v>
      </c>
      <c r="AR1085" s="5">
        <f t="shared" si="469"/>
        <v>102.428179322964</v>
      </c>
    </row>
    <row r="1086" spans="1:44">
      <c r="A1086" s="2">
        <v>20260406</v>
      </c>
      <c r="B1086" s="2" t="s">
        <v>2216</v>
      </c>
      <c r="C1086" s="2" t="s">
        <v>2217</v>
      </c>
      <c r="D1086" s="2">
        <v>3</v>
      </c>
      <c r="E1086" s="2">
        <v>1</v>
      </c>
      <c r="F1086" s="2">
        <v>8</v>
      </c>
      <c r="G1086" s="2">
        <v>8</v>
      </c>
      <c r="H1086" s="2">
        <v>9</v>
      </c>
      <c r="I1086" s="3">
        <v>19</v>
      </c>
      <c r="J1086" s="2">
        <v>24</v>
      </c>
      <c r="K1086" s="2">
        <v>0</v>
      </c>
      <c r="L1086" s="2">
        <v>1</v>
      </c>
      <c r="M1086" s="2">
        <v>9</v>
      </c>
      <c r="N1086" s="2">
        <v>3</v>
      </c>
      <c r="O1086" s="2">
        <v>12</v>
      </c>
      <c r="P1086" s="3">
        <v>7</v>
      </c>
      <c r="Q1086" s="2">
        <v>0</v>
      </c>
      <c r="R1086" s="2">
        <v>1</v>
      </c>
      <c r="S1086" s="2">
        <v>1</v>
      </c>
      <c r="T1086" s="2">
        <v>5</v>
      </c>
      <c r="U1086" s="2">
        <v>1</v>
      </c>
      <c r="V1086" s="1">
        <f t="shared" si="470"/>
        <v>76</v>
      </c>
      <c r="W1086" s="2">
        <v>6</v>
      </c>
      <c r="X1086" s="2">
        <v>0</v>
      </c>
      <c r="Y1086" s="2">
        <v>0</v>
      </c>
      <c r="Z1086" s="2">
        <f t="shared" si="471"/>
        <v>7</v>
      </c>
      <c r="AA1086" s="2">
        <f t="shared" si="472"/>
        <v>83</v>
      </c>
      <c r="AB1086" s="2">
        <v>2437</v>
      </c>
      <c r="AC1086" s="20">
        <f t="shared" si="466"/>
        <v>3.40582683627411</v>
      </c>
      <c r="AD1086" s="2" t="s">
        <v>49</v>
      </c>
      <c r="AE1086" s="2">
        <v>188</v>
      </c>
      <c r="AF1086" s="21">
        <f t="shared" si="473"/>
        <v>3.40582683627411</v>
      </c>
      <c r="AG1086" s="4">
        <f t="shared" si="474"/>
        <v>3.11858842839557</v>
      </c>
      <c r="AH1086" s="4">
        <f t="shared" si="475"/>
        <v>0.287238407878539</v>
      </c>
      <c r="AI1086" s="2">
        <v>1348</v>
      </c>
      <c r="AJ1086" s="2">
        <v>144</v>
      </c>
      <c r="AK1086" s="2">
        <v>18</v>
      </c>
      <c r="AL1086" s="2">
        <v>33</v>
      </c>
      <c r="AM1086" s="2">
        <v>21</v>
      </c>
      <c r="AN1086" s="2">
        <v>7</v>
      </c>
      <c r="AO1086" s="2">
        <v>0</v>
      </c>
      <c r="AP1086" s="2">
        <f t="shared" si="468"/>
        <v>1532</v>
      </c>
      <c r="AQ1086" s="2">
        <f t="shared" si="467"/>
        <v>70.0823421774931</v>
      </c>
      <c r="AR1086" s="5">
        <f t="shared" si="469"/>
        <v>131.754803293687</v>
      </c>
    </row>
    <row r="1087" spans="1:44">
      <c r="A1087" s="2">
        <v>20260406</v>
      </c>
      <c r="B1087" s="2" t="s">
        <v>2218</v>
      </c>
      <c r="C1087" s="2" t="s">
        <v>2219</v>
      </c>
      <c r="D1087" s="2">
        <v>1</v>
      </c>
      <c r="E1087" s="2">
        <v>3</v>
      </c>
      <c r="F1087" s="2">
        <v>6</v>
      </c>
      <c r="G1087" s="2">
        <v>2</v>
      </c>
      <c r="H1087" s="2">
        <v>1</v>
      </c>
      <c r="I1087" s="3">
        <v>16</v>
      </c>
      <c r="J1087" s="2">
        <v>24</v>
      </c>
      <c r="K1087" s="2">
        <v>3</v>
      </c>
      <c r="L1087" s="2">
        <v>1</v>
      </c>
      <c r="M1087" s="2">
        <v>16</v>
      </c>
      <c r="N1087" s="2">
        <v>21</v>
      </c>
      <c r="O1087" s="2">
        <v>14</v>
      </c>
      <c r="P1087" s="3">
        <v>16</v>
      </c>
      <c r="Q1087" s="2">
        <v>8</v>
      </c>
      <c r="R1087" s="2">
        <v>3</v>
      </c>
      <c r="S1087" s="2">
        <v>1</v>
      </c>
      <c r="T1087" s="2">
        <v>4</v>
      </c>
      <c r="U1087" s="2">
        <v>3</v>
      </c>
      <c r="V1087" s="1">
        <f t="shared" si="470"/>
        <v>61</v>
      </c>
      <c r="W1087" s="2">
        <v>15</v>
      </c>
      <c r="X1087" s="2">
        <v>7</v>
      </c>
      <c r="Y1087" s="2">
        <v>0</v>
      </c>
      <c r="Z1087" s="2">
        <f t="shared" si="471"/>
        <v>25</v>
      </c>
      <c r="AA1087" s="2">
        <f t="shared" si="472"/>
        <v>86</v>
      </c>
      <c r="AB1087" s="2">
        <v>2186</v>
      </c>
      <c r="AC1087" s="20">
        <f t="shared" si="466"/>
        <v>3.93412625800549</v>
      </c>
      <c r="AD1087" s="2" t="s">
        <v>49</v>
      </c>
      <c r="AE1087" s="2">
        <v>188</v>
      </c>
      <c r="AF1087" s="21">
        <f t="shared" si="473"/>
        <v>3.93412625800549</v>
      </c>
      <c r="AG1087" s="4">
        <f t="shared" si="474"/>
        <v>2.79048490393413</v>
      </c>
      <c r="AH1087" s="4">
        <f t="shared" si="475"/>
        <v>1.14364135407136</v>
      </c>
      <c r="AI1087" s="2">
        <v>94</v>
      </c>
      <c r="AJ1087" s="2">
        <v>18</v>
      </c>
      <c r="AK1087" s="2">
        <v>1</v>
      </c>
      <c r="AL1087" s="2">
        <v>5</v>
      </c>
      <c r="AM1087" s="2">
        <v>5</v>
      </c>
      <c r="AN1087" s="2">
        <v>1</v>
      </c>
      <c r="AO1087" s="2">
        <v>0</v>
      </c>
      <c r="AP1087" s="2">
        <f t="shared" si="468"/>
        <v>118</v>
      </c>
      <c r="AQ1087" s="2">
        <f t="shared" si="467"/>
        <v>4.8420188756668</v>
      </c>
      <c r="AR1087" s="5">
        <f t="shared" si="469"/>
        <v>9.10299548625359</v>
      </c>
    </row>
    <row r="1088" spans="1:44">
      <c r="A1088" s="2">
        <v>20260406</v>
      </c>
      <c r="B1088" s="2" t="s">
        <v>2220</v>
      </c>
      <c r="C1088" s="2" t="s">
        <v>2221</v>
      </c>
      <c r="D1088" s="2">
        <v>4</v>
      </c>
      <c r="E1088" s="2">
        <v>0</v>
      </c>
      <c r="F1088" s="2">
        <v>6</v>
      </c>
      <c r="G1088" s="2">
        <v>5</v>
      </c>
      <c r="H1088" s="2">
        <v>11</v>
      </c>
      <c r="I1088" s="3">
        <v>8</v>
      </c>
      <c r="J1088" s="2">
        <v>23</v>
      </c>
      <c r="K1088" s="2">
        <v>0</v>
      </c>
      <c r="L1088" s="2">
        <v>0</v>
      </c>
      <c r="M1088" s="2">
        <v>13</v>
      </c>
      <c r="N1088" s="2">
        <v>7</v>
      </c>
      <c r="O1088" s="2">
        <v>20</v>
      </c>
      <c r="P1088" s="3">
        <v>10</v>
      </c>
      <c r="Q1088" s="2">
        <v>2</v>
      </c>
      <c r="R1088" s="2">
        <v>1</v>
      </c>
      <c r="S1088" s="2">
        <v>1</v>
      </c>
      <c r="T1088" s="2">
        <v>5</v>
      </c>
      <c r="U1088" s="2">
        <v>0</v>
      </c>
      <c r="V1088" s="1">
        <f t="shared" si="470"/>
        <v>56</v>
      </c>
      <c r="W1088" s="2">
        <v>17</v>
      </c>
      <c r="X1088" s="2">
        <v>2</v>
      </c>
      <c r="Y1088" s="2">
        <v>0</v>
      </c>
      <c r="Z1088" s="2">
        <f t="shared" si="471"/>
        <v>19</v>
      </c>
      <c r="AA1088" s="2">
        <f t="shared" si="472"/>
        <v>75</v>
      </c>
      <c r="AB1088" s="2">
        <v>2346</v>
      </c>
      <c r="AC1088" s="20">
        <f t="shared" si="466"/>
        <v>3.19693094629156</v>
      </c>
      <c r="AD1088" s="2" t="s">
        <v>49</v>
      </c>
      <c r="AE1088" s="2">
        <v>188</v>
      </c>
      <c r="AF1088" s="21">
        <f t="shared" si="473"/>
        <v>3.19693094629156</v>
      </c>
      <c r="AG1088" s="4">
        <f t="shared" si="474"/>
        <v>2.38704177323103</v>
      </c>
      <c r="AH1088" s="4">
        <f t="shared" si="475"/>
        <v>0.809889173060529</v>
      </c>
      <c r="AI1088" s="2">
        <v>1402</v>
      </c>
      <c r="AJ1088" s="2">
        <v>127</v>
      </c>
      <c r="AK1088" s="2">
        <v>23</v>
      </c>
      <c r="AL1088" s="2">
        <v>24</v>
      </c>
      <c r="AM1088" s="2">
        <v>38</v>
      </c>
      <c r="AN1088" s="2">
        <v>12</v>
      </c>
      <c r="AO1088" s="2">
        <v>0</v>
      </c>
      <c r="AP1088" s="2">
        <f t="shared" si="468"/>
        <v>1565</v>
      </c>
      <c r="AQ1088" s="2">
        <f t="shared" si="467"/>
        <v>71.5919487648673</v>
      </c>
      <c r="AR1088" s="5">
        <f t="shared" si="469"/>
        <v>134.592863677951</v>
      </c>
    </row>
    <row r="1089" spans="1:44">
      <c r="A1089" s="2">
        <v>20260406</v>
      </c>
      <c r="B1089" s="2" t="s">
        <v>2222</v>
      </c>
      <c r="C1089" s="2" t="s">
        <v>2223</v>
      </c>
      <c r="D1089" s="2">
        <v>13</v>
      </c>
      <c r="E1089" s="2">
        <v>91</v>
      </c>
      <c r="F1089" s="2">
        <v>61</v>
      </c>
      <c r="G1089" s="2">
        <v>52</v>
      </c>
      <c r="H1089" s="2">
        <v>84</v>
      </c>
      <c r="I1089" s="3">
        <v>64</v>
      </c>
      <c r="J1089" s="2">
        <v>205</v>
      </c>
      <c r="K1089" s="2">
        <v>49</v>
      </c>
      <c r="L1089" s="2">
        <v>7</v>
      </c>
      <c r="M1089" s="2">
        <v>81</v>
      </c>
      <c r="N1089" s="2">
        <v>43</v>
      </c>
      <c r="O1089" s="2">
        <v>112</v>
      </c>
      <c r="P1089" s="3">
        <v>30</v>
      </c>
      <c r="Q1089" s="2">
        <v>23</v>
      </c>
      <c r="R1089" s="2">
        <v>260</v>
      </c>
      <c r="S1089" s="2">
        <v>20</v>
      </c>
      <c r="T1089" s="2">
        <v>54</v>
      </c>
      <c r="U1089" s="2">
        <v>8</v>
      </c>
      <c r="V1089" s="1">
        <f t="shared" si="470"/>
        <v>614</v>
      </c>
      <c r="W1089" s="2">
        <v>10</v>
      </c>
      <c r="X1089" s="2">
        <v>2</v>
      </c>
      <c r="Y1089" s="2">
        <v>0</v>
      </c>
      <c r="Z1089" s="2">
        <f t="shared" si="471"/>
        <v>20</v>
      </c>
      <c r="AA1089" s="2">
        <f t="shared" si="472"/>
        <v>634</v>
      </c>
      <c r="AB1089" s="2">
        <v>3115</v>
      </c>
      <c r="AC1089" s="20">
        <f t="shared" si="466"/>
        <v>20.3531300160514</v>
      </c>
      <c r="AD1089" s="2" t="s">
        <v>49</v>
      </c>
      <c r="AE1089" s="2">
        <v>188</v>
      </c>
      <c r="AF1089" s="21">
        <f t="shared" si="473"/>
        <v>20.3531300160514</v>
      </c>
      <c r="AG1089" s="4">
        <f t="shared" si="474"/>
        <v>19.7110754414125</v>
      </c>
      <c r="AH1089" s="4">
        <f t="shared" si="475"/>
        <v>0.642054574638844</v>
      </c>
      <c r="AI1089" s="2">
        <v>2635</v>
      </c>
      <c r="AJ1089" s="2">
        <v>405</v>
      </c>
      <c r="AK1089" s="2">
        <v>21</v>
      </c>
      <c r="AL1089" s="2">
        <v>154</v>
      </c>
      <c r="AM1089" s="2">
        <v>296</v>
      </c>
      <c r="AN1089" s="2">
        <v>30</v>
      </c>
      <c r="AO1089" s="2">
        <v>0</v>
      </c>
      <c r="AP1089" s="2">
        <f t="shared" si="468"/>
        <v>3224</v>
      </c>
      <c r="AQ1089" s="2">
        <f t="shared" si="467"/>
        <v>137.425404944587</v>
      </c>
      <c r="AR1089" s="5">
        <f t="shared" si="469"/>
        <v>258.359761295823</v>
      </c>
    </row>
    <row r="1090" spans="1:44">
      <c r="A1090" s="2">
        <v>20260406</v>
      </c>
      <c r="B1090" s="2" t="s">
        <v>2224</v>
      </c>
      <c r="C1090" s="2" t="s">
        <v>2225</v>
      </c>
      <c r="D1090" s="2">
        <v>2</v>
      </c>
      <c r="E1090" s="2">
        <v>0</v>
      </c>
      <c r="F1090" s="2">
        <v>17</v>
      </c>
      <c r="G1090" s="2">
        <v>9</v>
      </c>
      <c r="H1090" s="2">
        <v>14</v>
      </c>
      <c r="I1090" s="3">
        <v>17</v>
      </c>
      <c r="J1090" s="2">
        <v>13</v>
      </c>
      <c r="K1090" s="2">
        <v>2</v>
      </c>
      <c r="L1090" s="2">
        <v>2</v>
      </c>
      <c r="M1090" s="2">
        <v>40</v>
      </c>
      <c r="N1090" s="2">
        <v>22</v>
      </c>
      <c r="O1090" s="2">
        <v>24</v>
      </c>
      <c r="P1090" s="3">
        <v>8</v>
      </c>
      <c r="Q1090" s="2">
        <v>5</v>
      </c>
      <c r="R1090" s="2">
        <v>2</v>
      </c>
      <c r="S1090" s="2">
        <v>2</v>
      </c>
      <c r="T1090" s="2">
        <v>3</v>
      </c>
      <c r="U1090" s="2">
        <v>1</v>
      </c>
      <c r="V1090" s="1">
        <f t="shared" si="470"/>
        <v>94</v>
      </c>
      <c r="W1090" s="2">
        <v>8</v>
      </c>
      <c r="X1090" s="2">
        <v>6</v>
      </c>
      <c r="Y1090" s="2">
        <v>0</v>
      </c>
      <c r="Z1090" s="2">
        <f t="shared" si="471"/>
        <v>15</v>
      </c>
      <c r="AA1090" s="2">
        <f t="shared" si="472"/>
        <v>109</v>
      </c>
      <c r="AB1090" s="2">
        <v>2186</v>
      </c>
      <c r="AC1090" s="20">
        <f t="shared" si="466"/>
        <v>4.98627630375114</v>
      </c>
      <c r="AD1090" s="2" t="s">
        <v>49</v>
      </c>
      <c r="AE1090" s="2">
        <v>188</v>
      </c>
      <c r="AF1090" s="21">
        <f t="shared" si="473"/>
        <v>4.98627630375114</v>
      </c>
      <c r="AG1090" s="4">
        <f t="shared" si="474"/>
        <v>4.30009149130833</v>
      </c>
      <c r="AH1090" s="4">
        <f t="shared" si="475"/>
        <v>0.686184812442818</v>
      </c>
      <c r="AI1090" s="2">
        <v>1846</v>
      </c>
      <c r="AJ1090" s="2">
        <v>142</v>
      </c>
      <c r="AK1090" s="2">
        <v>9</v>
      </c>
      <c r="AL1090" s="2">
        <v>29</v>
      </c>
      <c r="AM1090" s="2">
        <v>396</v>
      </c>
      <c r="AN1090" s="2">
        <v>4</v>
      </c>
      <c r="AO1090" s="2">
        <v>0</v>
      </c>
      <c r="AP1090" s="2">
        <f t="shared" si="468"/>
        <v>2021</v>
      </c>
      <c r="AQ1090" s="2">
        <f t="shared" si="467"/>
        <v>64.8796147672552</v>
      </c>
      <c r="AR1090" s="5">
        <f t="shared" si="469"/>
        <v>121.97367576244</v>
      </c>
    </row>
    <row r="1091" spans="1:44">
      <c r="A1091" s="2">
        <v>20260407</v>
      </c>
      <c r="B1091" s="2" t="s">
        <v>2226</v>
      </c>
      <c r="C1091" s="2" t="s">
        <v>2227</v>
      </c>
      <c r="D1091" s="2">
        <v>3</v>
      </c>
      <c r="E1091" s="2">
        <v>6</v>
      </c>
      <c r="F1091" s="2">
        <v>5</v>
      </c>
      <c r="G1091" s="2">
        <v>15</v>
      </c>
      <c r="H1091" s="2">
        <v>11</v>
      </c>
      <c r="I1091" s="3">
        <v>20</v>
      </c>
      <c r="J1091" s="2">
        <v>15</v>
      </c>
      <c r="K1091" s="2">
        <v>0</v>
      </c>
      <c r="L1091" s="2">
        <v>0</v>
      </c>
      <c r="M1091" s="2">
        <v>47</v>
      </c>
      <c r="N1091" s="2">
        <v>16</v>
      </c>
      <c r="O1091" s="2">
        <v>14</v>
      </c>
      <c r="P1091" s="3">
        <v>13</v>
      </c>
      <c r="Q1091" s="2">
        <v>4</v>
      </c>
      <c r="R1091" s="2">
        <v>5</v>
      </c>
      <c r="S1091" s="2">
        <v>2</v>
      </c>
      <c r="T1091" s="2">
        <v>8</v>
      </c>
      <c r="U1091" s="2">
        <v>0</v>
      </c>
      <c r="V1091" s="1">
        <f t="shared" si="470"/>
        <v>115</v>
      </c>
      <c r="W1091" s="2">
        <v>11</v>
      </c>
      <c r="X1091" s="2">
        <v>3</v>
      </c>
      <c r="Y1091" s="2">
        <v>0</v>
      </c>
      <c r="Z1091" s="2">
        <f t="shared" si="471"/>
        <v>14</v>
      </c>
      <c r="AA1091" s="2">
        <f t="shared" si="472"/>
        <v>129</v>
      </c>
      <c r="AB1091" s="2">
        <v>2446</v>
      </c>
      <c r="AC1091" s="20">
        <f t="shared" ref="AC1091:AC1099" si="476">AA1091/AB1091*100</f>
        <v>5.27391659852821</v>
      </c>
      <c r="AD1091" s="2" t="s">
        <v>49</v>
      </c>
      <c r="AE1091" s="2">
        <v>188</v>
      </c>
      <c r="AF1091" s="21">
        <f t="shared" si="473"/>
        <v>5.27391659852821</v>
      </c>
      <c r="AG1091" s="4">
        <f t="shared" si="474"/>
        <v>4.70155355682747</v>
      </c>
      <c r="AH1091" s="4">
        <f t="shared" si="475"/>
        <v>0.572363041700736</v>
      </c>
      <c r="AI1091" s="2">
        <v>816</v>
      </c>
      <c r="AJ1091" s="2">
        <v>192</v>
      </c>
      <c r="AK1091" s="2">
        <v>15</v>
      </c>
      <c r="AL1091" s="2">
        <v>20</v>
      </c>
      <c r="AM1091" s="2">
        <v>64</v>
      </c>
      <c r="AN1091" s="2">
        <v>15</v>
      </c>
      <c r="AO1091" s="2">
        <v>0</v>
      </c>
      <c r="AP1091" s="2">
        <f t="shared" si="468"/>
        <v>1043</v>
      </c>
      <c r="AQ1091" s="2">
        <f t="shared" si="467"/>
        <v>47.7127172918573</v>
      </c>
      <c r="AR1091" s="5">
        <f t="shared" si="469"/>
        <v>89.6999085086917</v>
      </c>
    </row>
    <row r="1092" spans="1:44">
      <c r="A1092" s="2">
        <v>20260407</v>
      </c>
      <c r="B1092" s="2" t="s">
        <v>2228</v>
      </c>
      <c r="C1092" s="2" t="s">
        <v>2229</v>
      </c>
      <c r="D1092" s="2">
        <v>2</v>
      </c>
      <c r="E1092" s="2">
        <v>0</v>
      </c>
      <c r="F1092" s="2">
        <v>4</v>
      </c>
      <c r="G1092" s="2">
        <v>7</v>
      </c>
      <c r="H1092" s="2">
        <v>4</v>
      </c>
      <c r="I1092" s="3">
        <v>8</v>
      </c>
      <c r="J1092" s="2">
        <v>11</v>
      </c>
      <c r="K1092" s="2">
        <v>2</v>
      </c>
      <c r="L1092" s="2">
        <v>2</v>
      </c>
      <c r="M1092" s="2">
        <v>10</v>
      </c>
      <c r="N1092" s="2">
        <v>13</v>
      </c>
      <c r="O1092" s="2">
        <v>9</v>
      </c>
      <c r="P1092" s="3">
        <v>5</v>
      </c>
      <c r="Q1092" s="2">
        <v>2</v>
      </c>
      <c r="R1092" s="2">
        <v>2</v>
      </c>
      <c r="S1092" s="2">
        <v>1</v>
      </c>
      <c r="T1092" s="2">
        <v>3</v>
      </c>
      <c r="U1092" s="2">
        <v>0</v>
      </c>
      <c r="V1092" s="1">
        <f t="shared" si="470"/>
        <v>46</v>
      </c>
      <c r="W1092" s="2">
        <v>4</v>
      </c>
      <c r="X1092" s="2">
        <v>2</v>
      </c>
      <c r="Y1092" s="2">
        <v>0</v>
      </c>
      <c r="Z1092" s="2">
        <f t="shared" si="471"/>
        <v>6</v>
      </c>
      <c r="AA1092" s="2">
        <f t="shared" si="472"/>
        <v>52</v>
      </c>
      <c r="AB1092" s="2">
        <v>2235</v>
      </c>
      <c r="AC1092" s="20">
        <f t="shared" si="476"/>
        <v>2.32662192393736</v>
      </c>
      <c r="AD1092" s="2" t="s">
        <v>49</v>
      </c>
      <c r="AE1092" s="2">
        <v>188</v>
      </c>
      <c r="AF1092" s="21">
        <f t="shared" si="473"/>
        <v>2.32662192393736</v>
      </c>
      <c r="AG1092" s="4">
        <f t="shared" si="474"/>
        <v>2.05816554809843</v>
      </c>
      <c r="AH1092" s="4">
        <f t="shared" si="475"/>
        <v>0.268456375838926</v>
      </c>
      <c r="AI1092" s="2">
        <v>493</v>
      </c>
      <c r="AJ1092" s="2">
        <v>115</v>
      </c>
      <c r="AK1092" s="2">
        <v>15</v>
      </c>
      <c r="AL1092" s="2">
        <v>40</v>
      </c>
      <c r="AM1092" s="2">
        <v>23</v>
      </c>
      <c r="AN1092" s="2">
        <v>10</v>
      </c>
      <c r="AO1092" s="2">
        <v>0</v>
      </c>
      <c r="AP1092" s="2">
        <f t="shared" si="468"/>
        <v>658</v>
      </c>
      <c r="AQ1092" s="2">
        <f t="shared" si="467"/>
        <v>26.9010629599346</v>
      </c>
      <c r="AR1092" s="5">
        <f t="shared" ref="AR1092:AR1107" si="477">AQ1092*1.88</f>
        <v>50.573998364677</v>
      </c>
    </row>
    <row r="1093" spans="1:44">
      <c r="A1093" s="2">
        <v>20260407</v>
      </c>
      <c r="B1093" s="2" t="s">
        <v>2230</v>
      </c>
      <c r="C1093" s="2" t="s">
        <v>2231</v>
      </c>
      <c r="D1093" s="2">
        <v>4</v>
      </c>
      <c r="E1093" s="2">
        <v>1</v>
      </c>
      <c r="F1093" s="2">
        <v>14</v>
      </c>
      <c r="G1093" s="2">
        <v>6</v>
      </c>
      <c r="H1093" s="2">
        <v>8</v>
      </c>
      <c r="I1093" s="3">
        <v>11</v>
      </c>
      <c r="J1093" s="2">
        <v>3</v>
      </c>
      <c r="K1093" s="2">
        <v>2</v>
      </c>
      <c r="L1093" s="2">
        <v>0</v>
      </c>
      <c r="M1093" s="2">
        <v>13</v>
      </c>
      <c r="N1093" s="2">
        <v>18</v>
      </c>
      <c r="O1093" s="2">
        <v>20</v>
      </c>
      <c r="P1093" s="3">
        <v>10</v>
      </c>
      <c r="Q1093" s="2">
        <v>9</v>
      </c>
      <c r="R1093" s="2">
        <v>1</v>
      </c>
      <c r="S1093" s="2">
        <v>0</v>
      </c>
      <c r="T1093" s="2">
        <v>4</v>
      </c>
      <c r="U1093" s="2">
        <v>1</v>
      </c>
      <c r="V1093" s="1">
        <f t="shared" ref="V1093:V1098" si="478">AA1093-Y1093-X1093-W1093-U1093</f>
        <v>46</v>
      </c>
      <c r="W1093" s="2">
        <v>9</v>
      </c>
      <c r="X1093" s="2">
        <v>2</v>
      </c>
      <c r="Y1093" s="2">
        <v>0</v>
      </c>
      <c r="Z1093" s="2">
        <f t="shared" ref="Z1093:Z1098" si="479">Y1093+X1093+W1093+U1093</f>
        <v>12</v>
      </c>
      <c r="AA1093" s="2">
        <f t="shared" ref="AA1093:AA1098" si="480">G1093+H1093+I1093+J1093+K1093+L1093+M1093+P1093+T1093+U1093</f>
        <v>58</v>
      </c>
      <c r="AB1093" s="2">
        <v>2835</v>
      </c>
      <c r="AC1093" s="20">
        <f t="shared" si="476"/>
        <v>2.04585537918871</v>
      </c>
      <c r="AD1093" s="2" t="s">
        <v>49</v>
      </c>
      <c r="AE1093" s="2">
        <v>188</v>
      </c>
      <c r="AF1093" s="21">
        <f t="shared" si="473"/>
        <v>2.04585537918871</v>
      </c>
      <c r="AG1093" s="4">
        <f t="shared" si="474"/>
        <v>1.62257495590829</v>
      </c>
      <c r="AH1093" s="4">
        <f t="shared" si="475"/>
        <v>0.423280423280423</v>
      </c>
      <c r="AI1093" s="2">
        <v>944</v>
      </c>
      <c r="AJ1093" s="2">
        <v>225</v>
      </c>
      <c r="AK1093" s="2">
        <v>16</v>
      </c>
      <c r="AL1093" s="2">
        <v>146</v>
      </c>
      <c r="AM1093" s="2">
        <v>285</v>
      </c>
      <c r="AN1093" s="2">
        <v>9</v>
      </c>
      <c r="AO1093" s="2">
        <v>0</v>
      </c>
      <c r="AP1093" s="2">
        <f t="shared" si="468"/>
        <v>1324</v>
      </c>
      <c r="AQ1093" s="2">
        <f t="shared" si="467"/>
        <v>59.2393736017897</v>
      </c>
      <c r="AR1093" s="5">
        <f t="shared" si="477"/>
        <v>111.370022371365</v>
      </c>
    </row>
    <row r="1094" spans="1:44">
      <c r="A1094" s="2">
        <v>20260407</v>
      </c>
      <c r="B1094" s="2" t="s">
        <v>2232</v>
      </c>
      <c r="C1094" s="2" t="s">
        <v>2233</v>
      </c>
      <c r="D1094" s="2">
        <v>2</v>
      </c>
      <c r="E1094" s="2">
        <v>1</v>
      </c>
      <c r="F1094" s="2">
        <v>7</v>
      </c>
      <c r="G1094" s="2">
        <v>5</v>
      </c>
      <c r="H1094" s="2">
        <v>7</v>
      </c>
      <c r="I1094" s="3">
        <v>8</v>
      </c>
      <c r="J1094" s="2">
        <v>7</v>
      </c>
      <c r="K1094" s="2">
        <v>4</v>
      </c>
      <c r="L1094" s="2">
        <v>6</v>
      </c>
      <c r="M1094" s="2">
        <v>16</v>
      </c>
      <c r="N1094" s="2">
        <v>7</v>
      </c>
      <c r="O1094" s="2">
        <v>7</v>
      </c>
      <c r="P1094" s="3">
        <v>1</v>
      </c>
      <c r="Q1094" s="2">
        <v>10</v>
      </c>
      <c r="R1094" s="2">
        <v>4</v>
      </c>
      <c r="S1094" s="2">
        <v>0</v>
      </c>
      <c r="T1094" s="2">
        <v>3</v>
      </c>
      <c r="U1094" s="2">
        <v>0</v>
      </c>
      <c r="V1094" s="1">
        <f t="shared" si="478"/>
        <v>48</v>
      </c>
      <c r="W1094" s="2">
        <v>7</v>
      </c>
      <c r="X1094" s="2">
        <v>2</v>
      </c>
      <c r="Y1094" s="2">
        <v>0</v>
      </c>
      <c r="Z1094" s="2">
        <f t="shared" si="479"/>
        <v>9</v>
      </c>
      <c r="AA1094" s="2">
        <f t="shared" si="480"/>
        <v>57</v>
      </c>
      <c r="AB1094" s="2">
        <v>2266</v>
      </c>
      <c r="AC1094" s="20">
        <f t="shared" si="476"/>
        <v>2.51544571932921</v>
      </c>
      <c r="AD1094" s="2" t="s">
        <v>49</v>
      </c>
      <c r="AE1094" s="2">
        <v>188</v>
      </c>
      <c r="AF1094" s="21">
        <f t="shared" ref="AF1094:AF1099" si="481">188/AE1094*AC1094</f>
        <v>2.51544571932921</v>
      </c>
      <c r="AG1094" s="4">
        <f t="shared" ref="AG1094:AG1099" si="482">V1094/AB1094*100</f>
        <v>2.11827007943513</v>
      </c>
      <c r="AH1094" s="4">
        <f t="shared" ref="AH1094:AH1099" si="483">Z1094/AB1094*100</f>
        <v>0.397175639894086</v>
      </c>
      <c r="AI1094" s="2">
        <v>382</v>
      </c>
      <c r="AJ1094" s="2">
        <v>107</v>
      </c>
      <c r="AK1094" s="2">
        <v>13</v>
      </c>
      <c r="AL1094" s="2">
        <v>14</v>
      </c>
      <c r="AM1094" s="2">
        <v>16</v>
      </c>
      <c r="AN1094" s="2">
        <v>14</v>
      </c>
      <c r="AO1094" s="2">
        <v>0</v>
      </c>
      <c r="AP1094" s="2">
        <f t="shared" si="468"/>
        <v>517</v>
      </c>
      <c r="AQ1094" s="2">
        <f t="shared" si="467"/>
        <v>18.2363315696649</v>
      </c>
      <c r="AR1094" s="5">
        <f t="shared" si="477"/>
        <v>34.28430335097</v>
      </c>
    </row>
    <row r="1095" spans="1:44">
      <c r="A1095" s="2">
        <v>20260407</v>
      </c>
      <c r="B1095" s="2" t="s">
        <v>2234</v>
      </c>
      <c r="C1095" s="2" t="s">
        <v>2235</v>
      </c>
      <c r="D1095" s="2">
        <v>3</v>
      </c>
      <c r="E1095" s="2">
        <v>14</v>
      </c>
      <c r="F1095" s="2">
        <v>4</v>
      </c>
      <c r="G1095" s="2">
        <v>10</v>
      </c>
      <c r="H1095" s="2">
        <v>12</v>
      </c>
      <c r="I1095" s="3">
        <v>8</v>
      </c>
      <c r="J1095" s="2">
        <v>7</v>
      </c>
      <c r="K1095" s="2">
        <v>1</v>
      </c>
      <c r="L1095" s="2">
        <v>0</v>
      </c>
      <c r="M1095" s="2">
        <v>8</v>
      </c>
      <c r="N1095" s="2">
        <v>3</v>
      </c>
      <c r="O1095" s="2">
        <v>4</v>
      </c>
      <c r="P1095" s="3">
        <v>3</v>
      </c>
      <c r="Q1095" s="2">
        <v>0</v>
      </c>
      <c r="R1095" s="2">
        <v>5</v>
      </c>
      <c r="S1095" s="2">
        <v>0</v>
      </c>
      <c r="T1095" s="2">
        <v>4</v>
      </c>
      <c r="U1095" s="2">
        <v>1</v>
      </c>
      <c r="V1095" s="1">
        <f t="shared" si="478"/>
        <v>46</v>
      </c>
      <c r="W1095" s="2">
        <v>4</v>
      </c>
      <c r="X1095" s="2">
        <v>3</v>
      </c>
      <c r="Y1095" s="2">
        <v>0</v>
      </c>
      <c r="Z1095" s="2">
        <f t="shared" si="479"/>
        <v>8</v>
      </c>
      <c r="AA1095" s="2">
        <f t="shared" si="480"/>
        <v>54</v>
      </c>
      <c r="AB1095" s="2">
        <v>2286</v>
      </c>
      <c r="AC1095" s="20">
        <f t="shared" si="476"/>
        <v>2.36220472440945</v>
      </c>
      <c r="AD1095" s="2" t="s">
        <v>49</v>
      </c>
      <c r="AE1095" s="2">
        <v>188</v>
      </c>
      <c r="AF1095" s="21">
        <f t="shared" si="481"/>
        <v>2.36220472440945</v>
      </c>
      <c r="AG1095" s="4">
        <f t="shared" si="482"/>
        <v>2.01224846894138</v>
      </c>
      <c r="AH1095" s="4">
        <f t="shared" si="483"/>
        <v>0.349956255468067</v>
      </c>
      <c r="AI1095" s="2">
        <v>307</v>
      </c>
      <c r="AJ1095" s="2">
        <v>10</v>
      </c>
      <c r="AK1095" s="2">
        <v>4</v>
      </c>
      <c r="AL1095" s="2">
        <v>15</v>
      </c>
      <c r="AM1095" s="2">
        <v>16</v>
      </c>
      <c r="AN1095" s="2">
        <v>9</v>
      </c>
      <c r="AO1095" s="2">
        <v>0</v>
      </c>
      <c r="AP1095" s="2">
        <f t="shared" ref="AP1095:AP1104" si="484">AI1095+AJ1095+AL1095+AN1095</f>
        <v>341</v>
      </c>
      <c r="AQ1095" s="2">
        <f t="shared" ref="AQ1095:AQ1104" si="485">AP1095/AB1094*100</f>
        <v>15.0485436893204</v>
      </c>
      <c r="AR1095" s="5">
        <f t="shared" si="477"/>
        <v>28.2912621359223</v>
      </c>
    </row>
    <row r="1096" spans="1:44">
      <c r="A1096" s="2">
        <v>20260407</v>
      </c>
      <c r="B1096" s="2" t="s">
        <v>2236</v>
      </c>
      <c r="C1096" s="2" t="s">
        <v>2237</v>
      </c>
      <c r="D1096" s="2">
        <v>8</v>
      </c>
      <c r="E1096" s="2">
        <v>13</v>
      </c>
      <c r="F1096" s="2">
        <v>18</v>
      </c>
      <c r="G1096" s="2">
        <v>19</v>
      </c>
      <c r="H1096" s="2">
        <v>21</v>
      </c>
      <c r="I1096" s="3">
        <v>29</v>
      </c>
      <c r="J1096" s="2">
        <v>11</v>
      </c>
      <c r="K1096" s="2">
        <v>31</v>
      </c>
      <c r="L1096" s="2">
        <v>1</v>
      </c>
      <c r="M1096" s="2">
        <v>12</v>
      </c>
      <c r="N1096" s="2">
        <v>20</v>
      </c>
      <c r="O1096" s="2">
        <v>55</v>
      </c>
      <c r="P1096" s="3">
        <v>15</v>
      </c>
      <c r="Q1096" s="2">
        <v>16</v>
      </c>
      <c r="R1096" s="2">
        <v>22</v>
      </c>
      <c r="S1096" s="2">
        <v>3</v>
      </c>
      <c r="T1096" s="2">
        <v>9</v>
      </c>
      <c r="U1096" s="2">
        <v>8</v>
      </c>
      <c r="V1096" s="1">
        <f t="shared" si="478"/>
        <v>131</v>
      </c>
      <c r="W1096" s="2">
        <v>7</v>
      </c>
      <c r="X1096" s="2">
        <v>10</v>
      </c>
      <c r="Y1096" s="2">
        <v>0</v>
      </c>
      <c r="Z1096" s="2">
        <f t="shared" si="479"/>
        <v>25</v>
      </c>
      <c r="AA1096" s="2">
        <f t="shared" si="480"/>
        <v>156</v>
      </c>
      <c r="AB1096" s="2">
        <v>2546</v>
      </c>
      <c r="AC1096" s="20">
        <f t="shared" si="476"/>
        <v>6.12725844461901</v>
      </c>
      <c r="AD1096" s="2" t="s">
        <v>49</v>
      </c>
      <c r="AE1096" s="2">
        <v>188</v>
      </c>
      <c r="AF1096" s="21">
        <f t="shared" si="481"/>
        <v>6.12725844461901</v>
      </c>
      <c r="AG1096" s="4">
        <f t="shared" si="482"/>
        <v>5.14532600157109</v>
      </c>
      <c r="AH1096" s="4">
        <f t="shared" si="483"/>
        <v>0.981932443047918</v>
      </c>
      <c r="AI1096" s="2">
        <v>812</v>
      </c>
      <c r="AJ1096" s="2">
        <v>246</v>
      </c>
      <c r="AK1096" s="2">
        <v>12</v>
      </c>
      <c r="AL1096" s="2">
        <v>89</v>
      </c>
      <c r="AM1096" s="2">
        <v>117</v>
      </c>
      <c r="AN1096" s="2">
        <v>8</v>
      </c>
      <c r="AO1096" s="2">
        <v>0</v>
      </c>
      <c r="AP1096" s="2">
        <f t="shared" si="484"/>
        <v>1155</v>
      </c>
      <c r="AQ1096" s="2">
        <f t="shared" si="485"/>
        <v>50.5249343832021</v>
      </c>
      <c r="AR1096" s="5">
        <f t="shared" si="477"/>
        <v>94.98687664042</v>
      </c>
    </row>
    <row r="1097" spans="1:44">
      <c r="A1097" s="2">
        <v>20260407</v>
      </c>
      <c r="B1097" s="2" t="s">
        <v>2238</v>
      </c>
      <c r="C1097" s="2" t="s">
        <v>2239</v>
      </c>
      <c r="D1097" s="2">
        <v>2</v>
      </c>
      <c r="E1097" s="2">
        <v>1936</v>
      </c>
      <c r="F1097" s="2">
        <v>9</v>
      </c>
      <c r="G1097" s="2">
        <v>10</v>
      </c>
      <c r="H1097" s="2">
        <v>12</v>
      </c>
      <c r="I1097" s="3">
        <v>21</v>
      </c>
      <c r="J1097" s="2">
        <v>25</v>
      </c>
      <c r="K1097" s="2">
        <v>0</v>
      </c>
      <c r="L1097" s="2">
        <v>4</v>
      </c>
      <c r="M1097" s="2">
        <v>12</v>
      </c>
      <c r="N1097" s="2">
        <v>19</v>
      </c>
      <c r="O1097" s="2">
        <v>12</v>
      </c>
      <c r="P1097" s="3">
        <v>4</v>
      </c>
      <c r="Q1097" s="2">
        <v>1</v>
      </c>
      <c r="R1097" s="2">
        <v>0</v>
      </c>
      <c r="S1097" s="2">
        <v>1</v>
      </c>
      <c r="T1097" s="2">
        <v>16</v>
      </c>
      <c r="U1097" s="2">
        <v>1</v>
      </c>
      <c r="V1097" s="1">
        <f t="shared" si="478"/>
        <v>88</v>
      </c>
      <c r="W1097" s="2">
        <v>13</v>
      </c>
      <c r="X1097" s="2">
        <v>3</v>
      </c>
      <c r="Y1097" s="2">
        <v>0</v>
      </c>
      <c r="Z1097" s="2">
        <f t="shared" si="479"/>
        <v>17</v>
      </c>
      <c r="AA1097" s="2">
        <f t="shared" si="480"/>
        <v>105</v>
      </c>
      <c r="AB1097" s="2">
        <v>2266</v>
      </c>
      <c r="AC1097" s="20">
        <f t="shared" si="476"/>
        <v>4.63371579876434</v>
      </c>
      <c r="AD1097" s="2" t="s">
        <v>49</v>
      </c>
      <c r="AE1097" s="2">
        <v>188</v>
      </c>
      <c r="AF1097" s="21">
        <f t="shared" si="481"/>
        <v>4.63371579876434</v>
      </c>
      <c r="AG1097" s="4">
        <f t="shared" si="482"/>
        <v>3.88349514563107</v>
      </c>
      <c r="AH1097" s="4">
        <f t="shared" si="483"/>
        <v>0.750220653133274</v>
      </c>
      <c r="AI1097" s="2">
        <v>959</v>
      </c>
      <c r="AJ1097" s="2">
        <v>251</v>
      </c>
      <c r="AK1097" s="2">
        <v>9</v>
      </c>
      <c r="AL1097" s="2">
        <v>29</v>
      </c>
      <c r="AM1097" s="2">
        <v>38</v>
      </c>
      <c r="AN1097" s="2">
        <v>15</v>
      </c>
      <c r="AO1097" s="2">
        <v>0</v>
      </c>
      <c r="AP1097" s="2">
        <f t="shared" si="484"/>
        <v>1254</v>
      </c>
      <c r="AQ1097" s="2">
        <f t="shared" si="485"/>
        <v>49.2537313432836</v>
      </c>
      <c r="AR1097" s="5">
        <f t="shared" si="477"/>
        <v>92.5970149253731</v>
      </c>
    </row>
    <row r="1098" spans="1:44">
      <c r="A1098" s="2">
        <v>20260407</v>
      </c>
      <c r="B1098" s="2" t="s">
        <v>2240</v>
      </c>
      <c r="C1098" s="2" t="s">
        <v>2241</v>
      </c>
      <c r="D1098" s="2">
        <v>6</v>
      </c>
      <c r="E1098" s="2">
        <v>2</v>
      </c>
      <c r="F1098" s="2">
        <v>17</v>
      </c>
      <c r="G1098" s="2">
        <v>5</v>
      </c>
      <c r="H1098" s="2">
        <v>10</v>
      </c>
      <c r="I1098" s="3">
        <v>11</v>
      </c>
      <c r="J1098" s="2">
        <v>11</v>
      </c>
      <c r="K1098" s="2">
        <v>7</v>
      </c>
      <c r="L1098" s="2">
        <v>0</v>
      </c>
      <c r="M1098" s="2">
        <v>9</v>
      </c>
      <c r="N1098" s="2">
        <v>8</v>
      </c>
      <c r="O1098" s="2">
        <v>39</v>
      </c>
      <c r="P1098" s="3">
        <v>4</v>
      </c>
      <c r="Q1098" s="2">
        <v>3</v>
      </c>
      <c r="R1098" s="2">
        <v>122</v>
      </c>
      <c r="S1098" s="2">
        <v>1</v>
      </c>
      <c r="T1098" s="2">
        <v>8</v>
      </c>
      <c r="U1098" s="2">
        <v>1</v>
      </c>
      <c r="V1098" s="1">
        <f t="shared" si="478"/>
        <v>56</v>
      </c>
      <c r="W1098" s="2">
        <v>7</v>
      </c>
      <c r="X1098" s="2">
        <v>2</v>
      </c>
      <c r="Y1098" s="2">
        <v>0</v>
      </c>
      <c r="Z1098" s="2">
        <f t="shared" si="479"/>
        <v>10</v>
      </c>
      <c r="AA1098" s="2">
        <f t="shared" si="480"/>
        <v>66</v>
      </c>
      <c r="AB1098" s="2">
        <v>2466</v>
      </c>
      <c r="AC1098" s="20">
        <f t="shared" si="476"/>
        <v>2.67639902676399</v>
      </c>
      <c r="AD1098" s="2" t="s">
        <v>49</v>
      </c>
      <c r="AE1098" s="2">
        <v>188</v>
      </c>
      <c r="AF1098" s="21">
        <f t="shared" si="481"/>
        <v>2.67639902676399</v>
      </c>
      <c r="AG1098" s="4">
        <f t="shared" si="482"/>
        <v>2.27088402270884</v>
      </c>
      <c r="AH1098" s="4">
        <f t="shared" si="483"/>
        <v>0.40551500405515</v>
      </c>
      <c r="AI1098" s="2">
        <v>966</v>
      </c>
      <c r="AJ1098" s="2">
        <v>166</v>
      </c>
      <c r="AK1098" s="2">
        <v>14</v>
      </c>
      <c r="AL1098" s="2">
        <v>31</v>
      </c>
      <c r="AM1098" s="2">
        <v>198</v>
      </c>
      <c r="AN1098" s="2">
        <v>4</v>
      </c>
      <c r="AO1098" s="2">
        <v>0</v>
      </c>
      <c r="AP1098" s="2">
        <f t="shared" si="484"/>
        <v>1167</v>
      </c>
      <c r="AQ1098" s="2">
        <f t="shared" si="485"/>
        <v>51.5004413062666</v>
      </c>
      <c r="AR1098" s="5">
        <f t="shared" si="477"/>
        <v>96.8208296557811</v>
      </c>
    </row>
    <row r="1099" spans="1:44">
      <c r="A1099" s="2">
        <v>20260407</v>
      </c>
      <c r="B1099" s="2" t="s">
        <v>2242</v>
      </c>
      <c r="C1099" s="2" t="s">
        <v>2243</v>
      </c>
      <c r="D1099" s="2">
        <v>1</v>
      </c>
      <c r="E1099" s="2">
        <v>1</v>
      </c>
      <c r="F1099" s="2">
        <v>7</v>
      </c>
      <c r="G1099" s="2">
        <v>2</v>
      </c>
      <c r="H1099" s="2">
        <v>6</v>
      </c>
      <c r="I1099" s="3">
        <v>15</v>
      </c>
      <c r="J1099" s="2">
        <v>4</v>
      </c>
      <c r="K1099" s="2">
        <v>0</v>
      </c>
      <c r="L1099" s="2">
        <v>1</v>
      </c>
      <c r="M1099" s="2">
        <v>13</v>
      </c>
      <c r="N1099" s="2">
        <v>3</v>
      </c>
      <c r="O1099" s="2">
        <v>8</v>
      </c>
      <c r="P1099" s="3">
        <v>3</v>
      </c>
      <c r="Q1099" s="2">
        <v>1</v>
      </c>
      <c r="R1099" s="2">
        <v>25</v>
      </c>
      <c r="S1099" s="2">
        <v>0</v>
      </c>
      <c r="T1099" s="2">
        <v>0</v>
      </c>
      <c r="U1099" s="2">
        <v>0</v>
      </c>
      <c r="V1099" s="1">
        <f t="shared" ref="V1099:V1110" si="486">AA1099-Y1099-X1099-W1099-U1099</f>
        <v>30</v>
      </c>
      <c r="W1099" s="2">
        <v>10</v>
      </c>
      <c r="X1099" s="2">
        <v>4</v>
      </c>
      <c r="Y1099" s="2">
        <v>0</v>
      </c>
      <c r="Z1099" s="2">
        <f t="shared" ref="Z1099:Z1114" si="487">Y1099+X1099+W1099+U1099</f>
        <v>14</v>
      </c>
      <c r="AA1099" s="2">
        <f t="shared" ref="AA1099:AA1114" si="488">G1099+H1099+I1099+J1099+K1099+L1099+M1099+P1099+T1099+U1099</f>
        <v>44</v>
      </c>
      <c r="AB1099" s="2">
        <v>2186</v>
      </c>
      <c r="AC1099" s="20">
        <f t="shared" si="476"/>
        <v>2.0128087831656</v>
      </c>
      <c r="AD1099" s="2" t="s">
        <v>49</v>
      </c>
      <c r="AE1099" s="2">
        <v>188</v>
      </c>
      <c r="AF1099" s="21">
        <f t="shared" si="481"/>
        <v>2.0128087831656</v>
      </c>
      <c r="AG1099" s="4">
        <f t="shared" si="482"/>
        <v>1.37236962488564</v>
      </c>
      <c r="AH1099" s="4">
        <f t="shared" si="483"/>
        <v>0.640439158279963</v>
      </c>
      <c r="AI1099" s="2">
        <v>824</v>
      </c>
      <c r="AJ1099" s="2">
        <v>161</v>
      </c>
      <c r="AK1099" s="2">
        <v>14</v>
      </c>
      <c r="AL1099" s="2">
        <v>25</v>
      </c>
      <c r="AM1099" s="2">
        <v>25</v>
      </c>
      <c r="AN1099" s="2">
        <v>0</v>
      </c>
      <c r="AO1099" s="2">
        <v>0</v>
      </c>
      <c r="AP1099" s="2">
        <f t="shared" si="484"/>
        <v>1010</v>
      </c>
      <c r="AQ1099" s="2">
        <f t="shared" si="485"/>
        <v>40.9570154095702</v>
      </c>
      <c r="AR1099" s="5">
        <f t="shared" si="477"/>
        <v>76.9991889699919</v>
      </c>
    </row>
    <row r="1100" spans="1:44">
      <c r="A1100" s="2">
        <v>20260407</v>
      </c>
      <c r="B1100" s="2" t="s">
        <v>2244</v>
      </c>
      <c r="C1100" s="2" t="s">
        <v>2245</v>
      </c>
      <c r="D1100" s="2">
        <v>6</v>
      </c>
      <c r="E1100" s="2">
        <v>5</v>
      </c>
      <c r="F1100" s="2">
        <v>13</v>
      </c>
      <c r="G1100" s="2">
        <v>7</v>
      </c>
      <c r="H1100" s="2">
        <v>6</v>
      </c>
      <c r="I1100" s="3">
        <v>34</v>
      </c>
      <c r="J1100" s="2">
        <v>15</v>
      </c>
      <c r="K1100" s="2">
        <v>5</v>
      </c>
      <c r="L1100" s="2">
        <v>0</v>
      </c>
      <c r="M1100" s="2">
        <v>14</v>
      </c>
      <c r="N1100" s="2">
        <v>14</v>
      </c>
      <c r="O1100" s="2">
        <v>19</v>
      </c>
      <c r="P1100" s="3">
        <v>8</v>
      </c>
      <c r="Q1100" s="2">
        <v>8</v>
      </c>
      <c r="R1100" s="2">
        <v>2</v>
      </c>
      <c r="S1100" s="2">
        <v>1</v>
      </c>
      <c r="T1100" s="2">
        <v>2</v>
      </c>
      <c r="U1100" s="2">
        <v>0</v>
      </c>
      <c r="V1100" s="1">
        <f t="shared" si="486"/>
        <v>69</v>
      </c>
      <c r="W1100" s="2">
        <v>18</v>
      </c>
      <c r="X1100" s="2">
        <v>4</v>
      </c>
      <c r="Y1100" s="2">
        <v>0</v>
      </c>
      <c r="Z1100" s="2">
        <f t="shared" si="487"/>
        <v>22</v>
      </c>
      <c r="AA1100" s="2">
        <f t="shared" si="488"/>
        <v>91</v>
      </c>
      <c r="AB1100" s="2">
        <v>2486</v>
      </c>
      <c r="AC1100" s="20">
        <f t="shared" ref="AC1100:AC1114" si="489">AA1100/AB1100*100</f>
        <v>3.66049879324216</v>
      </c>
      <c r="AD1100" s="2" t="s">
        <v>49</v>
      </c>
      <c r="AE1100" s="2">
        <v>188</v>
      </c>
      <c r="AF1100" s="21">
        <f t="shared" ref="AF1100:AF1113" si="490">188/AE1100*AC1100</f>
        <v>3.66049879324216</v>
      </c>
      <c r="AG1100" s="4">
        <f t="shared" ref="AG1100:AG1105" si="491">V1100/AB1100*100</f>
        <v>2.77554304102977</v>
      </c>
      <c r="AH1100" s="4">
        <f t="shared" ref="AH1100:AH1105" si="492">Z1100/AB1100*100</f>
        <v>0.884955752212389</v>
      </c>
      <c r="AI1100" s="2">
        <v>1262</v>
      </c>
      <c r="AJ1100" s="2">
        <v>193</v>
      </c>
      <c r="AK1100" s="2">
        <v>13</v>
      </c>
      <c r="AL1100" s="2">
        <v>35</v>
      </c>
      <c r="AM1100" s="2">
        <v>42</v>
      </c>
      <c r="AN1100" s="2">
        <v>7</v>
      </c>
      <c r="AO1100" s="2">
        <v>0</v>
      </c>
      <c r="AP1100" s="2">
        <f t="shared" si="484"/>
        <v>1497</v>
      </c>
      <c r="AQ1100" s="2">
        <f t="shared" si="485"/>
        <v>68.4812442817932</v>
      </c>
      <c r="AR1100" s="5">
        <f t="shared" si="477"/>
        <v>128.744739249771</v>
      </c>
    </row>
    <row r="1101" spans="1:44">
      <c r="A1101" s="2">
        <v>20260407</v>
      </c>
      <c r="B1101" s="2" t="s">
        <v>2246</v>
      </c>
      <c r="C1101" s="2" t="s">
        <v>2247</v>
      </c>
      <c r="D1101" s="2">
        <v>2</v>
      </c>
      <c r="E1101" s="2" t="s">
        <v>2248</v>
      </c>
      <c r="F1101" s="2">
        <v>171</v>
      </c>
      <c r="G1101" s="2">
        <v>101</v>
      </c>
      <c r="H1101" s="2">
        <v>38</v>
      </c>
      <c r="I1101" s="3">
        <v>32</v>
      </c>
      <c r="J1101" s="2">
        <v>54</v>
      </c>
      <c r="K1101" s="2">
        <v>5</v>
      </c>
      <c r="L1101" s="2">
        <v>17</v>
      </c>
      <c r="M1101" s="2">
        <v>23</v>
      </c>
      <c r="N1101" s="2">
        <v>60</v>
      </c>
      <c r="O1101" s="2">
        <v>64</v>
      </c>
      <c r="P1101" s="3">
        <v>4</v>
      </c>
      <c r="Q1101" s="2">
        <v>48</v>
      </c>
      <c r="R1101" s="2">
        <v>12</v>
      </c>
      <c r="S1101" s="2">
        <v>0</v>
      </c>
      <c r="T1101" s="2">
        <v>108</v>
      </c>
      <c r="U1101" s="2">
        <v>10</v>
      </c>
      <c r="V1101" s="1">
        <f t="shared" si="486"/>
        <v>362</v>
      </c>
      <c r="W1101" s="2">
        <v>9</v>
      </c>
      <c r="X1101" s="2">
        <v>11</v>
      </c>
      <c r="Y1101" s="2">
        <v>0</v>
      </c>
      <c r="Z1101" s="2">
        <f t="shared" si="487"/>
        <v>30</v>
      </c>
      <c r="AA1101" s="2">
        <f t="shared" si="488"/>
        <v>392</v>
      </c>
      <c r="AB1101" s="2">
        <v>2805</v>
      </c>
      <c r="AC1101" s="20">
        <f t="shared" si="489"/>
        <v>13.9750445632799</v>
      </c>
      <c r="AD1101" s="2" t="s">
        <v>49</v>
      </c>
      <c r="AE1101" s="2">
        <v>188</v>
      </c>
      <c r="AF1101" s="21">
        <f t="shared" si="490"/>
        <v>13.9750445632799</v>
      </c>
      <c r="AG1101" s="4">
        <f t="shared" si="491"/>
        <v>12.9055258467023</v>
      </c>
      <c r="AH1101" s="4">
        <f t="shared" si="492"/>
        <v>1.06951871657754</v>
      </c>
      <c r="AI1101" s="2">
        <v>1177</v>
      </c>
      <c r="AJ1101" s="2">
        <v>676</v>
      </c>
      <c r="AK1101" s="2">
        <v>8</v>
      </c>
      <c r="AL1101" s="2">
        <v>634</v>
      </c>
      <c r="AM1101" s="2">
        <v>58</v>
      </c>
      <c r="AN1101" s="2">
        <v>8</v>
      </c>
      <c r="AO1101" s="2">
        <v>0</v>
      </c>
      <c r="AP1101" s="2">
        <f t="shared" si="484"/>
        <v>2495</v>
      </c>
      <c r="AQ1101" s="2">
        <f t="shared" si="485"/>
        <v>100.362027353178</v>
      </c>
      <c r="AR1101" s="5">
        <f t="shared" si="477"/>
        <v>188.680611423974</v>
      </c>
    </row>
    <row r="1102" spans="1:44">
      <c r="A1102" s="2">
        <v>20260407</v>
      </c>
      <c r="B1102" s="2" t="s">
        <v>2249</v>
      </c>
      <c r="C1102" s="2" t="s">
        <v>2250</v>
      </c>
      <c r="D1102" s="2">
        <v>1</v>
      </c>
      <c r="E1102" s="2">
        <v>6</v>
      </c>
      <c r="F1102" s="2">
        <v>10</v>
      </c>
      <c r="G1102" s="2">
        <v>11</v>
      </c>
      <c r="H1102" s="2">
        <v>9</v>
      </c>
      <c r="I1102" s="3">
        <v>20</v>
      </c>
      <c r="J1102" s="2">
        <v>4</v>
      </c>
      <c r="K1102" s="2">
        <v>1</v>
      </c>
      <c r="L1102" s="2">
        <v>1</v>
      </c>
      <c r="M1102" s="2">
        <v>10</v>
      </c>
      <c r="N1102" s="2">
        <v>5</v>
      </c>
      <c r="O1102" s="2">
        <v>19</v>
      </c>
      <c r="P1102" s="3">
        <v>5</v>
      </c>
      <c r="Q1102" s="2">
        <v>5</v>
      </c>
      <c r="R1102" s="2">
        <v>6</v>
      </c>
      <c r="S1102" s="2">
        <v>1</v>
      </c>
      <c r="T1102" s="2">
        <v>9</v>
      </c>
      <c r="U1102" s="2">
        <v>1</v>
      </c>
      <c r="V1102" s="1">
        <f t="shared" si="486"/>
        <v>59</v>
      </c>
      <c r="W1102" s="2">
        <v>4</v>
      </c>
      <c r="X1102" s="2">
        <v>6</v>
      </c>
      <c r="Y1102" s="2">
        <v>1</v>
      </c>
      <c r="Z1102" s="2">
        <f t="shared" si="487"/>
        <v>12</v>
      </c>
      <c r="AA1102" s="2">
        <f t="shared" si="488"/>
        <v>71</v>
      </c>
      <c r="AB1102" s="2">
        <v>2335</v>
      </c>
      <c r="AC1102" s="20">
        <f t="shared" si="489"/>
        <v>3.0406852248394</v>
      </c>
      <c r="AD1102" s="2" t="s">
        <v>49</v>
      </c>
      <c r="AE1102" s="2">
        <v>188</v>
      </c>
      <c r="AF1102" s="21">
        <f t="shared" si="490"/>
        <v>3.0406852248394</v>
      </c>
      <c r="AG1102" s="4">
        <f t="shared" si="491"/>
        <v>2.52676659528908</v>
      </c>
      <c r="AH1102" s="4">
        <f t="shared" si="492"/>
        <v>0.513918629550321</v>
      </c>
      <c r="AI1102" s="2">
        <v>846</v>
      </c>
      <c r="AJ1102" s="2">
        <v>178</v>
      </c>
      <c r="AK1102" s="2">
        <v>17</v>
      </c>
      <c r="AL1102" s="2">
        <v>26</v>
      </c>
      <c r="AM1102" s="2">
        <v>37</v>
      </c>
      <c r="AN1102" s="2">
        <v>14</v>
      </c>
      <c r="AO1102" s="2">
        <v>0</v>
      </c>
      <c r="AP1102" s="2">
        <f t="shared" si="484"/>
        <v>1064</v>
      </c>
      <c r="AQ1102" s="2">
        <f t="shared" si="485"/>
        <v>37.9322638146168</v>
      </c>
      <c r="AR1102" s="5">
        <f t="shared" si="477"/>
        <v>71.3126559714795</v>
      </c>
    </row>
    <row r="1103" spans="1:44">
      <c r="A1103" s="2">
        <v>20260407</v>
      </c>
      <c r="B1103" s="2" t="s">
        <v>2251</v>
      </c>
      <c r="C1103" s="2" t="s">
        <v>2252</v>
      </c>
      <c r="D1103" s="2">
        <v>17</v>
      </c>
      <c r="E1103" s="2">
        <v>237</v>
      </c>
      <c r="F1103" s="2">
        <v>59</v>
      </c>
      <c r="G1103" s="2">
        <v>44</v>
      </c>
      <c r="H1103" s="2">
        <v>33</v>
      </c>
      <c r="I1103" s="3">
        <v>61</v>
      </c>
      <c r="J1103" s="2">
        <v>26</v>
      </c>
      <c r="K1103" s="2">
        <v>48</v>
      </c>
      <c r="L1103" s="2">
        <v>8</v>
      </c>
      <c r="M1103" s="2">
        <v>25</v>
      </c>
      <c r="N1103" s="2">
        <v>44</v>
      </c>
      <c r="O1103" s="2">
        <v>111</v>
      </c>
      <c r="P1103" s="3">
        <v>25</v>
      </c>
      <c r="Q1103" s="2">
        <v>49</v>
      </c>
      <c r="R1103" s="2">
        <v>11</v>
      </c>
      <c r="S1103" s="2">
        <v>2</v>
      </c>
      <c r="T1103" s="2">
        <v>27</v>
      </c>
      <c r="U1103" s="2">
        <v>1</v>
      </c>
      <c r="V1103" s="1">
        <f t="shared" si="486"/>
        <v>269</v>
      </c>
      <c r="W1103" s="2">
        <v>17</v>
      </c>
      <c r="X1103" s="2">
        <v>11</v>
      </c>
      <c r="Y1103" s="2">
        <v>0</v>
      </c>
      <c r="Z1103" s="2">
        <f t="shared" si="487"/>
        <v>29</v>
      </c>
      <c r="AA1103" s="2">
        <f t="shared" si="488"/>
        <v>298</v>
      </c>
      <c r="AB1103" s="2">
        <v>2706</v>
      </c>
      <c r="AC1103" s="20">
        <f t="shared" si="489"/>
        <v>11.0125646711013</v>
      </c>
      <c r="AD1103" s="2" t="s">
        <v>58</v>
      </c>
      <c r="AE1103" s="2">
        <v>188</v>
      </c>
      <c r="AF1103" s="21">
        <f t="shared" si="490"/>
        <v>11.0125646711013</v>
      </c>
      <c r="AG1103" s="4">
        <f t="shared" si="491"/>
        <v>9.94087213599409</v>
      </c>
      <c r="AH1103" s="4">
        <f t="shared" si="492"/>
        <v>1.07169253510717</v>
      </c>
      <c r="AI1103" s="2">
        <v>1882</v>
      </c>
      <c r="AJ1103" s="2">
        <v>374</v>
      </c>
      <c r="AK1103" s="2">
        <v>18</v>
      </c>
      <c r="AL1103" s="2">
        <v>141</v>
      </c>
      <c r="AM1103" s="2">
        <v>472</v>
      </c>
      <c r="AN1103" s="2">
        <v>10</v>
      </c>
      <c r="AO1103" s="2">
        <v>0</v>
      </c>
      <c r="AP1103" s="2">
        <f t="shared" si="484"/>
        <v>2407</v>
      </c>
      <c r="AQ1103" s="2">
        <f t="shared" si="485"/>
        <v>103.083511777302</v>
      </c>
      <c r="AR1103" s="5">
        <f t="shared" si="477"/>
        <v>193.797002141328</v>
      </c>
    </row>
    <row r="1104" spans="1:44">
      <c r="A1104" s="2">
        <v>20260407</v>
      </c>
      <c r="B1104" s="2" t="s">
        <v>2253</v>
      </c>
      <c r="C1104" s="2" t="s">
        <v>2254</v>
      </c>
      <c r="D1104" s="2">
        <v>1</v>
      </c>
      <c r="E1104" s="2">
        <v>0</v>
      </c>
      <c r="F1104" s="2">
        <v>3</v>
      </c>
      <c r="G1104" s="2">
        <v>3</v>
      </c>
      <c r="H1104" s="2">
        <v>4</v>
      </c>
      <c r="I1104" s="3">
        <v>22</v>
      </c>
      <c r="J1104" s="2">
        <v>8</v>
      </c>
      <c r="K1104" s="2">
        <v>0</v>
      </c>
      <c r="L1104" s="2">
        <v>1</v>
      </c>
      <c r="M1104" s="2">
        <v>14</v>
      </c>
      <c r="N1104" s="2">
        <v>4</v>
      </c>
      <c r="O1104" s="2">
        <v>8</v>
      </c>
      <c r="P1104" s="3">
        <v>6</v>
      </c>
      <c r="Q1104" s="2">
        <v>1</v>
      </c>
      <c r="R1104" s="2">
        <v>6</v>
      </c>
      <c r="S1104" s="2">
        <v>3</v>
      </c>
      <c r="T1104" s="2">
        <v>2</v>
      </c>
      <c r="U1104" s="2">
        <v>2</v>
      </c>
      <c r="V1104" s="1">
        <f t="shared" si="486"/>
        <v>42</v>
      </c>
      <c r="W1104" s="2">
        <v>9</v>
      </c>
      <c r="X1104" s="2">
        <v>9</v>
      </c>
      <c r="Y1104" s="2">
        <v>0</v>
      </c>
      <c r="Z1104" s="2">
        <f t="shared" si="487"/>
        <v>20</v>
      </c>
      <c r="AA1104" s="2">
        <f t="shared" si="488"/>
        <v>62</v>
      </c>
      <c r="AB1104" s="2">
        <v>2385</v>
      </c>
      <c r="AC1104" s="20">
        <f t="shared" si="489"/>
        <v>2.59958071278826</v>
      </c>
      <c r="AD1104" s="2" t="s">
        <v>58</v>
      </c>
      <c r="AE1104" s="2">
        <v>188</v>
      </c>
      <c r="AF1104" s="21">
        <f t="shared" si="490"/>
        <v>2.59958071278826</v>
      </c>
      <c r="AG1104" s="4">
        <f t="shared" si="491"/>
        <v>1.76100628930818</v>
      </c>
      <c r="AH1104" s="4">
        <f t="shared" si="492"/>
        <v>0.838574423480084</v>
      </c>
      <c r="AI1104" s="2">
        <v>850</v>
      </c>
      <c r="AJ1104" s="2">
        <v>170</v>
      </c>
      <c r="AK1104" s="2">
        <v>10</v>
      </c>
      <c r="AL1104" s="2">
        <v>32</v>
      </c>
      <c r="AM1104" s="2">
        <v>29</v>
      </c>
      <c r="AN1104" s="2">
        <v>3</v>
      </c>
      <c r="AO1104" s="2">
        <v>0</v>
      </c>
      <c r="AP1104" s="2">
        <f t="shared" si="484"/>
        <v>1055</v>
      </c>
      <c r="AQ1104" s="2">
        <f t="shared" si="485"/>
        <v>38.9874353288987</v>
      </c>
      <c r="AR1104" s="5">
        <f t="shared" si="477"/>
        <v>73.2963784183296</v>
      </c>
    </row>
    <row r="1105" spans="1:44">
      <c r="A1105" s="2">
        <v>20260407</v>
      </c>
      <c r="B1105" s="2" t="s">
        <v>2255</v>
      </c>
      <c r="C1105" s="2" t="s">
        <v>2256</v>
      </c>
      <c r="D1105" s="2">
        <v>3</v>
      </c>
      <c r="E1105" s="2">
        <v>137</v>
      </c>
      <c r="F1105" s="2">
        <v>5</v>
      </c>
      <c r="G1105" s="2">
        <v>15</v>
      </c>
      <c r="H1105" s="2">
        <v>21</v>
      </c>
      <c r="I1105" s="3">
        <v>52</v>
      </c>
      <c r="J1105" s="2">
        <v>85</v>
      </c>
      <c r="K1105" s="2">
        <v>12</v>
      </c>
      <c r="L1105" s="2">
        <v>2</v>
      </c>
      <c r="M1105" s="2">
        <v>23</v>
      </c>
      <c r="N1105" s="2">
        <v>8</v>
      </c>
      <c r="O1105" s="2">
        <v>8</v>
      </c>
      <c r="P1105" s="3">
        <v>14</v>
      </c>
      <c r="Q1105" s="2">
        <v>13</v>
      </c>
      <c r="R1105" s="2">
        <v>377</v>
      </c>
      <c r="S1105" s="2">
        <v>10</v>
      </c>
      <c r="T1105" s="2">
        <v>5</v>
      </c>
      <c r="U1105" s="2">
        <v>2</v>
      </c>
      <c r="V1105" s="1">
        <f t="shared" si="486"/>
        <v>211</v>
      </c>
      <c r="W1105" s="2">
        <v>13</v>
      </c>
      <c r="X1105" s="2">
        <v>5</v>
      </c>
      <c r="Y1105" s="2">
        <v>0</v>
      </c>
      <c r="Z1105" s="2">
        <f t="shared" si="487"/>
        <v>20</v>
      </c>
      <c r="AA1105" s="2">
        <f t="shared" si="488"/>
        <v>231</v>
      </c>
      <c r="AB1105" s="2">
        <v>2036</v>
      </c>
      <c r="AC1105" s="20">
        <f t="shared" si="489"/>
        <v>11.3457760314342</v>
      </c>
      <c r="AD1105" s="2" t="s">
        <v>58</v>
      </c>
      <c r="AE1105" s="2">
        <v>188</v>
      </c>
      <c r="AF1105" s="21">
        <f t="shared" si="490"/>
        <v>11.3457760314342</v>
      </c>
      <c r="AG1105" s="4">
        <f t="shared" si="491"/>
        <v>10.3634577603143</v>
      </c>
      <c r="AH1105" s="4">
        <f t="shared" si="492"/>
        <v>0.982318271119843</v>
      </c>
      <c r="AI1105" s="2">
        <v>2215</v>
      </c>
      <c r="AJ1105" s="2">
        <v>439</v>
      </c>
      <c r="AK1105" s="2">
        <v>6</v>
      </c>
      <c r="AL1105" s="2">
        <v>197</v>
      </c>
      <c r="AM1105" s="2">
        <v>214</v>
      </c>
      <c r="AN1105" s="2">
        <v>36</v>
      </c>
      <c r="AO1105" s="2">
        <v>0</v>
      </c>
      <c r="AP1105" s="2">
        <f t="shared" ref="AP1105:AP1121" si="493">AI1105+AJ1105+AL1105+AN1105</f>
        <v>2887</v>
      </c>
      <c r="AQ1105" s="2">
        <f t="shared" ref="AQ1105:AQ1120" si="494">AP1105/AB1104*100</f>
        <v>121.04821802935</v>
      </c>
      <c r="AR1105" s="5">
        <f t="shared" ref="AR1105:AR1118" si="495">AQ1105*1.88</f>
        <v>227.570649895178</v>
      </c>
    </row>
    <row r="1106" spans="1:44">
      <c r="A1106" s="2">
        <v>20260407</v>
      </c>
      <c r="B1106" s="2" t="s">
        <v>2257</v>
      </c>
      <c r="C1106" s="2" t="s">
        <v>2258</v>
      </c>
      <c r="D1106" s="2">
        <v>3</v>
      </c>
      <c r="E1106" s="2">
        <v>2</v>
      </c>
      <c r="F1106" s="2">
        <v>4</v>
      </c>
      <c r="G1106" s="2">
        <v>2</v>
      </c>
      <c r="H1106" s="2">
        <v>8</v>
      </c>
      <c r="I1106" s="3">
        <v>26</v>
      </c>
      <c r="J1106" s="2">
        <v>23</v>
      </c>
      <c r="K1106" s="2">
        <v>5</v>
      </c>
      <c r="L1106" s="2">
        <v>0</v>
      </c>
      <c r="M1106" s="2">
        <v>27</v>
      </c>
      <c r="N1106" s="2">
        <v>7</v>
      </c>
      <c r="O1106" s="2">
        <v>16</v>
      </c>
      <c r="P1106" s="3">
        <v>5</v>
      </c>
      <c r="Q1106" s="2">
        <v>8</v>
      </c>
      <c r="R1106" s="2">
        <v>16</v>
      </c>
      <c r="S1106" s="2">
        <v>2</v>
      </c>
      <c r="T1106" s="2">
        <v>1</v>
      </c>
      <c r="U1106" s="2">
        <v>1</v>
      </c>
      <c r="V1106" s="1">
        <f t="shared" si="486"/>
        <v>27</v>
      </c>
      <c r="W1106" s="2">
        <v>62</v>
      </c>
      <c r="X1106" s="2">
        <v>8</v>
      </c>
      <c r="Y1106" s="2">
        <v>0</v>
      </c>
      <c r="Z1106" s="2">
        <f t="shared" si="487"/>
        <v>71</v>
      </c>
      <c r="AA1106" s="2">
        <f t="shared" si="488"/>
        <v>98</v>
      </c>
      <c r="AB1106" s="2">
        <v>2536</v>
      </c>
      <c r="AC1106" s="20">
        <f t="shared" si="489"/>
        <v>3.86435331230284</v>
      </c>
      <c r="AD1106" s="2" t="s">
        <v>58</v>
      </c>
      <c r="AE1106" s="2">
        <v>188</v>
      </c>
      <c r="AF1106" s="21">
        <f t="shared" si="490"/>
        <v>3.86435331230284</v>
      </c>
      <c r="AG1106" s="4">
        <f t="shared" ref="AG1106:AG1112" si="496">V1106/AB1106*100</f>
        <v>1.06466876971609</v>
      </c>
      <c r="AH1106" s="4">
        <f t="shared" ref="AH1106:AH1112" si="497">Z1106/AB1106*100</f>
        <v>2.79968454258675</v>
      </c>
      <c r="AI1106" s="2">
        <v>878</v>
      </c>
      <c r="AJ1106" s="2">
        <v>149</v>
      </c>
      <c r="AK1106" s="2">
        <v>12</v>
      </c>
      <c r="AL1106" s="2">
        <v>22</v>
      </c>
      <c r="AM1106" s="2">
        <v>43</v>
      </c>
      <c r="AN1106" s="2">
        <v>12</v>
      </c>
      <c r="AO1106" s="2">
        <v>0</v>
      </c>
      <c r="AP1106" s="2">
        <f t="shared" si="493"/>
        <v>1061</v>
      </c>
      <c r="AQ1106" s="2">
        <f t="shared" si="494"/>
        <v>52.1119842829077</v>
      </c>
      <c r="AR1106" s="5">
        <f t="shared" si="495"/>
        <v>97.9705304518664</v>
      </c>
    </row>
    <row r="1107" spans="1:44">
      <c r="A1107" s="2">
        <v>20260407</v>
      </c>
      <c r="B1107" s="2" t="s">
        <v>939</v>
      </c>
      <c r="C1107" s="2" t="s">
        <v>2259</v>
      </c>
      <c r="D1107" s="2">
        <v>3</v>
      </c>
      <c r="E1107" s="2">
        <v>1</v>
      </c>
      <c r="F1107" s="2">
        <v>2</v>
      </c>
      <c r="G1107" s="2">
        <v>4</v>
      </c>
      <c r="H1107" s="2">
        <v>8</v>
      </c>
      <c r="I1107" s="3">
        <v>13</v>
      </c>
      <c r="J1107" s="2">
        <v>10</v>
      </c>
      <c r="K1107" s="2">
        <v>1</v>
      </c>
      <c r="L1107" s="2">
        <v>1</v>
      </c>
      <c r="M1107" s="2">
        <v>5</v>
      </c>
      <c r="N1107" s="2">
        <v>2</v>
      </c>
      <c r="O1107" s="2">
        <v>11</v>
      </c>
      <c r="P1107" s="3">
        <v>1</v>
      </c>
      <c r="Q1107" s="2">
        <v>2</v>
      </c>
      <c r="R1107" s="2">
        <v>16</v>
      </c>
      <c r="S1107" s="2">
        <v>0</v>
      </c>
      <c r="T1107" s="2">
        <v>3</v>
      </c>
      <c r="U1107" s="2">
        <v>0</v>
      </c>
      <c r="V1107" s="1">
        <f t="shared" si="486"/>
        <v>24</v>
      </c>
      <c r="W1107" s="2">
        <v>17</v>
      </c>
      <c r="X1107" s="2">
        <v>5</v>
      </c>
      <c r="Y1107" s="2">
        <v>0</v>
      </c>
      <c r="Z1107" s="2">
        <f t="shared" si="487"/>
        <v>22</v>
      </c>
      <c r="AA1107" s="2">
        <f t="shared" si="488"/>
        <v>46</v>
      </c>
      <c r="AB1107" s="2">
        <v>2435</v>
      </c>
      <c r="AC1107" s="20">
        <f t="shared" si="489"/>
        <v>1.88911704312115</v>
      </c>
      <c r="AD1107" s="2" t="s">
        <v>58</v>
      </c>
      <c r="AE1107" s="2">
        <v>188</v>
      </c>
      <c r="AF1107" s="21">
        <f t="shared" si="490"/>
        <v>1.88911704312115</v>
      </c>
      <c r="AG1107" s="4">
        <f t="shared" si="496"/>
        <v>0.985626283367557</v>
      </c>
      <c r="AH1107" s="4">
        <f t="shared" si="497"/>
        <v>0.903490759753593</v>
      </c>
      <c r="AP1107" s="2">
        <f t="shared" si="493"/>
        <v>0</v>
      </c>
      <c r="AQ1107" s="2">
        <f t="shared" si="494"/>
        <v>0</v>
      </c>
      <c r="AR1107" s="5">
        <f t="shared" si="495"/>
        <v>0</v>
      </c>
    </row>
    <row r="1108" spans="1:44">
      <c r="A1108" s="2">
        <v>20260407</v>
      </c>
      <c r="B1108" s="2" t="s">
        <v>2260</v>
      </c>
      <c r="C1108" s="2" t="s">
        <v>2261</v>
      </c>
      <c r="D1108" s="2">
        <v>18</v>
      </c>
      <c r="E1108" s="2">
        <v>0</v>
      </c>
      <c r="F1108" s="2">
        <v>13</v>
      </c>
      <c r="G1108" s="2">
        <v>38</v>
      </c>
      <c r="H1108" s="2">
        <v>152</v>
      </c>
      <c r="I1108" s="3">
        <v>249</v>
      </c>
      <c r="J1108" s="2">
        <v>445</v>
      </c>
      <c r="K1108" s="2">
        <v>28</v>
      </c>
      <c r="L1108" s="2">
        <v>9</v>
      </c>
      <c r="M1108" s="2">
        <v>213</v>
      </c>
      <c r="N1108" s="2">
        <v>49</v>
      </c>
      <c r="O1108" s="2">
        <v>8</v>
      </c>
      <c r="P1108" s="3">
        <v>69</v>
      </c>
      <c r="Q1108" s="2">
        <v>13</v>
      </c>
      <c r="R1108" s="2">
        <v>20</v>
      </c>
      <c r="S1108" s="2">
        <v>4</v>
      </c>
      <c r="T1108" s="2">
        <v>17</v>
      </c>
      <c r="U1108" s="2">
        <v>6</v>
      </c>
      <c r="V1108" s="1">
        <f t="shared" si="486"/>
        <v>1213</v>
      </c>
      <c r="W1108" s="2">
        <v>7</v>
      </c>
      <c r="X1108" s="2">
        <v>0</v>
      </c>
      <c r="Y1108" s="2">
        <v>0</v>
      </c>
      <c r="Z1108" s="2">
        <f t="shared" si="487"/>
        <v>13</v>
      </c>
      <c r="AA1108" s="2">
        <f t="shared" si="488"/>
        <v>1226</v>
      </c>
      <c r="AB1108" s="2">
        <v>2635</v>
      </c>
      <c r="AC1108" s="20">
        <f t="shared" si="489"/>
        <v>46.527514231499</v>
      </c>
      <c r="AD1108" s="2" t="s">
        <v>58</v>
      </c>
      <c r="AE1108" s="2">
        <v>188</v>
      </c>
      <c r="AF1108" s="21">
        <f t="shared" si="490"/>
        <v>46.527514231499</v>
      </c>
      <c r="AG1108" s="4">
        <f t="shared" si="496"/>
        <v>46.034155597723</v>
      </c>
      <c r="AH1108" s="4">
        <f t="shared" si="497"/>
        <v>0.493358633776091</v>
      </c>
      <c r="AI1108" s="2">
        <v>1049</v>
      </c>
      <c r="AJ1108" s="2">
        <v>167</v>
      </c>
      <c r="AK1108" s="2">
        <v>12</v>
      </c>
      <c r="AL1108" s="2">
        <v>74</v>
      </c>
      <c r="AM1108" s="2">
        <v>45</v>
      </c>
      <c r="AN1108" s="2">
        <v>12</v>
      </c>
      <c r="AO1108" s="2">
        <v>0</v>
      </c>
      <c r="AP1108" s="2">
        <f t="shared" si="493"/>
        <v>1302</v>
      </c>
      <c r="AQ1108" s="2">
        <f t="shared" si="494"/>
        <v>53.4702258726899</v>
      </c>
      <c r="AR1108" s="5">
        <f t="shared" si="495"/>
        <v>100.524024640657</v>
      </c>
    </row>
    <row r="1109" spans="1:44">
      <c r="A1109" s="2">
        <v>20260407</v>
      </c>
      <c r="B1109" s="2" t="s">
        <v>2262</v>
      </c>
      <c r="C1109" s="2" t="s">
        <v>2263</v>
      </c>
      <c r="D1109" s="2">
        <v>2</v>
      </c>
      <c r="E1109" s="2">
        <v>2</v>
      </c>
      <c r="F1109" s="2">
        <v>2</v>
      </c>
      <c r="G1109" s="2">
        <v>0</v>
      </c>
      <c r="H1109" s="2">
        <v>3</v>
      </c>
      <c r="I1109" s="3">
        <v>6</v>
      </c>
      <c r="J1109" s="2">
        <v>2</v>
      </c>
      <c r="K1109" s="2">
        <v>1</v>
      </c>
      <c r="L1109" s="2">
        <v>1</v>
      </c>
      <c r="M1109" s="2">
        <v>8</v>
      </c>
      <c r="N1109" s="2">
        <v>2</v>
      </c>
      <c r="O1109" s="2">
        <v>12</v>
      </c>
      <c r="P1109" s="3">
        <v>2</v>
      </c>
      <c r="Q1109" s="2">
        <v>2</v>
      </c>
      <c r="R1109" s="2">
        <v>5</v>
      </c>
      <c r="S1109" s="2">
        <v>2</v>
      </c>
      <c r="T1109" s="2">
        <v>0</v>
      </c>
      <c r="U1109" s="2">
        <v>0</v>
      </c>
      <c r="V1109" s="1">
        <f t="shared" ref="V1109:V1118" si="498">AA1109-Y1109-X1109-W1109-U1109</f>
        <v>20</v>
      </c>
      <c r="W1109" s="2">
        <v>2</v>
      </c>
      <c r="X1109" s="2">
        <v>1</v>
      </c>
      <c r="Y1109" s="2">
        <v>0</v>
      </c>
      <c r="Z1109" s="2">
        <f t="shared" si="487"/>
        <v>3</v>
      </c>
      <c r="AA1109" s="2">
        <f t="shared" si="488"/>
        <v>23</v>
      </c>
      <c r="AB1109" s="2">
        <v>2086</v>
      </c>
      <c r="AC1109" s="20">
        <f t="shared" si="489"/>
        <v>1.1025886864813</v>
      </c>
      <c r="AD1109" s="2" t="s">
        <v>58</v>
      </c>
      <c r="AE1109" s="2">
        <v>188</v>
      </c>
      <c r="AF1109" s="21">
        <f t="shared" si="490"/>
        <v>1.1025886864813</v>
      </c>
      <c r="AG1109" s="4">
        <f t="shared" si="496"/>
        <v>0.958772770853308</v>
      </c>
      <c r="AH1109" s="4">
        <f t="shared" si="497"/>
        <v>0.143815915627996</v>
      </c>
      <c r="AI1109" s="2">
        <v>1092</v>
      </c>
      <c r="AJ1109" s="2">
        <v>88</v>
      </c>
      <c r="AK1109" s="2">
        <v>9</v>
      </c>
      <c r="AL1109" s="2">
        <v>18</v>
      </c>
      <c r="AM1109" s="2">
        <v>9</v>
      </c>
      <c r="AN1109" s="2">
        <v>1</v>
      </c>
      <c r="AO1109" s="2">
        <v>0</v>
      </c>
      <c r="AP1109" s="2">
        <f t="shared" si="493"/>
        <v>1199</v>
      </c>
      <c r="AQ1109" s="2">
        <f t="shared" si="494"/>
        <v>45.5028462998102</v>
      </c>
      <c r="AR1109" s="5">
        <f t="shared" si="495"/>
        <v>85.5453510436433</v>
      </c>
    </row>
    <row r="1110" spans="1:44">
      <c r="A1110" s="2">
        <v>20260407</v>
      </c>
      <c r="B1110" s="2" t="s">
        <v>2264</v>
      </c>
      <c r="C1110" s="2" t="s">
        <v>2265</v>
      </c>
      <c r="D1110" s="2">
        <v>1</v>
      </c>
      <c r="E1110" s="2">
        <v>0</v>
      </c>
      <c r="F1110" s="2">
        <v>7</v>
      </c>
      <c r="G1110" s="2">
        <v>1</v>
      </c>
      <c r="H1110" s="2">
        <v>4</v>
      </c>
      <c r="I1110" s="3">
        <v>31</v>
      </c>
      <c r="J1110" s="2">
        <v>3</v>
      </c>
      <c r="K1110" s="2">
        <v>1</v>
      </c>
      <c r="L1110" s="2">
        <v>0</v>
      </c>
      <c r="M1110" s="2">
        <v>4</v>
      </c>
      <c r="N1110" s="2">
        <v>3</v>
      </c>
      <c r="O1110" s="2">
        <v>8</v>
      </c>
      <c r="P1110" s="3">
        <v>1</v>
      </c>
      <c r="Q1110" s="2">
        <v>3</v>
      </c>
      <c r="R1110" s="2">
        <v>0</v>
      </c>
      <c r="S1110" s="2">
        <v>1</v>
      </c>
      <c r="T1110" s="2">
        <v>0</v>
      </c>
      <c r="U1110" s="2">
        <v>0</v>
      </c>
      <c r="V1110" s="1">
        <f t="shared" si="498"/>
        <v>44</v>
      </c>
      <c r="W1110" s="2">
        <v>1</v>
      </c>
      <c r="X1110" s="2">
        <v>0</v>
      </c>
      <c r="Y1110" s="2">
        <v>0</v>
      </c>
      <c r="Z1110" s="2">
        <f t="shared" ref="Z1110:Z1120" si="499">Y1110+X1110+W1110+U1110</f>
        <v>1</v>
      </c>
      <c r="AA1110" s="2">
        <f t="shared" ref="AA1110:AA1120" si="500">G1110+H1110+I1110+J1110+K1110+L1110+M1110+P1110+T1110+U1110</f>
        <v>45</v>
      </c>
      <c r="AB1110" s="2">
        <v>2196</v>
      </c>
      <c r="AC1110" s="20">
        <f t="shared" ref="AC1110:AC1120" si="501">AA1110/AB1110*100</f>
        <v>2.04918032786885</v>
      </c>
      <c r="AD1110" s="2" t="s">
        <v>58</v>
      </c>
      <c r="AE1110" s="2">
        <v>188</v>
      </c>
      <c r="AF1110" s="21">
        <f t="shared" ref="AF1110:AF1120" si="502">188/AE1110*AC1110</f>
        <v>2.04918032786885</v>
      </c>
      <c r="AG1110" s="4">
        <f t="shared" ref="AG1110:AG1120" si="503">V1110/AB1110*100</f>
        <v>2.00364298724954</v>
      </c>
      <c r="AH1110" s="4">
        <f t="shared" ref="AH1110:AH1120" si="504">Z1110/AB1110*100</f>
        <v>0.0455373406193078</v>
      </c>
      <c r="AI1110" s="2">
        <v>1124</v>
      </c>
      <c r="AJ1110" s="2">
        <v>135</v>
      </c>
      <c r="AK1110" s="2">
        <v>7</v>
      </c>
      <c r="AL1110" s="2">
        <v>41</v>
      </c>
      <c r="AM1110" s="2">
        <v>33</v>
      </c>
      <c r="AN1110" s="2">
        <v>3</v>
      </c>
      <c r="AO1110" s="2">
        <v>0</v>
      </c>
      <c r="AP1110" s="2">
        <f t="shared" si="493"/>
        <v>1303</v>
      </c>
      <c r="AQ1110" s="2">
        <f t="shared" si="494"/>
        <v>62.464046021093</v>
      </c>
      <c r="AR1110" s="5">
        <f t="shared" si="495"/>
        <v>117.432406519655</v>
      </c>
    </row>
    <row r="1111" spans="1:44">
      <c r="A1111" s="2">
        <v>20260407</v>
      </c>
      <c r="B1111" s="2" t="s">
        <v>2266</v>
      </c>
      <c r="C1111" s="2" t="s">
        <v>2267</v>
      </c>
      <c r="D1111" s="2">
        <v>2</v>
      </c>
      <c r="E1111" s="2">
        <v>1</v>
      </c>
      <c r="F1111" s="2">
        <v>6</v>
      </c>
      <c r="G1111" s="2">
        <v>2</v>
      </c>
      <c r="H1111" s="2">
        <v>9</v>
      </c>
      <c r="I1111" s="3">
        <v>9</v>
      </c>
      <c r="J1111" s="2">
        <v>2</v>
      </c>
      <c r="K1111" s="2">
        <v>0</v>
      </c>
      <c r="L1111" s="2">
        <v>1</v>
      </c>
      <c r="M1111" s="2">
        <v>7</v>
      </c>
      <c r="N1111" s="2">
        <v>3</v>
      </c>
      <c r="O1111" s="2">
        <v>6</v>
      </c>
      <c r="P1111" s="3">
        <v>6</v>
      </c>
      <c r="Q1111" s="2">
        <v>0</v>
      </c>
      <c r="R1111" s="2">
        <v>3</v>
      </c>
      <c r="S1111" s="2">
        <v>0</v>
      </c>
      <c r="T1111" s="2">
        <v>1</v>
      </c>
      <c r="U1111" s="2">
        <v>0</v>
      </c>
      <c r="V1111" s="1">
        <f t="shared" si="498"/>
        <v>31</v>
      </c>
      <c r="W1111" s="2">
        <v>4</v>
      </c>
      <c r="X1111" s="2">
        <v>2</v>
      </c>
      <c r="Y1111" s="2">
        <v>0</v>
      </c>
      <c r="Z1111" s="2">
        <f t="shared" si="499"/>
        <v>6</v>
      </c>
      <c r="AA1111" s="2">
        <f t="shared" si="500"/>
        <v>37</v>
      </c>
      <c r="AB1111" s="2">
        <v>2086</v>
      </c>
      <c r="AC1111" s="20">
        <f t="shared" si="501"/>
        <v>1.77372962607862</v>
      </c>
      <c r="AD1111" s="2" t="s">
        <v>58</v>
      </c>
      <c r="AE1111" s="2">
        <v>188</v>
      </c>
      <c r="AF1111" s="21">
        <f t="shared" si="502"/>
        <v>1.77372962607862</v>
      </c>
      <c r="AG1111" s="4">
        <f t="shared" si="503"/>
        <v>1.48609779482263</v>
      </c>
      <c r="AH1111" s="4">
        <f t="shared" si="504"/>
        <v>0.287631831255992</v>
      </c>
      <c r="AI1111" s="2">
        <v>2630</v>
      </c>
      <c r="AJ1111" s="2">
        <v>120</v>
      </c>
      <c r="AK1111" s="2">
        <v>25</v>
      </c>
      <c r="AL1111" s="2">
        <v>128</v>
      </c>
      <c r="AM1111" s="2">
        <v>261</v>
      </c>
      <c r="AN1111" s="2">
        <v>6</v>
      </c>
      <c r="AO1111" s="2">
        <v>0</v>
      </c>
      <c r="AP1111" s="2">
        <f t="shared" si="493"/>
        <v>2884</v>
      </c>
      <c r="AQ1111" s="2">
        <f t="shared" si="494"/>
        <v>131.329690346084</v>
      </c>
      <c r="AR1111" s="5">
        <f t="shared" si="495"/>
        <v>246.899817850638</v>
      </c>
    </row>
    <row r="1112" spans="1:44">
      <c r="A1112" s="2">
        <v>20260407</v>
      </c>
      <c r="B1112" s="2" t="s">
        <v>2268</v>
      </c>
      <c r="C1112" s="2" t="s">
        <v>2269</v>
      </c>
      <c r="D1112" s="2">
        <v>1</v>
      </c>
      <c r="E1112" s="2">
        <v>2</v>
      </c>
      <c r="F1112" s="2">
        <v>5</v>
      </c>
      <c r="G1112" s="2">
        <v>0</v>
      </c>
      <c r="H1112" s="2">
        <v>1</v>
      </c>
      <c r="I1112" s="3">
        <v>26</v>
      </c>
      <c r="J1112" s="2">
        <v>1</v>
      </c>
      <c r="K1112" s="2">
        <v>0</v>
      </c>
      <c r="L1112" s="2">
        <v>0</v>
      </c>
      <c r="M1112" s="2">
        <v>7</v>
      </c>
      <c r="N1112" s="2">
        <v>1</v>
      </c>
      <c r="O1112" s="2">
        <v>4</v>
      </c>
      <c r="P1112" s="3">
        <v>2</v>
      </c>
      <c r="Q1112" s="2">
        <v>5</v>
      </c>
      <c r="R1112" s="2">
        <v>2</v>
      </c>
      <c r="S1112" s="2">
        <v>1</v>
      </c>
      <c r="T1112" s="2">
        <v>1</v>
      </c>
      <c r="U1112" s="2">
        <v>0</v>
      </c>
      <c r="V1112" s="1">
        <f t="shared" si="498"/>
        <v>35</v>
      </c>
      <c r="W1112" s="2">
        <v>0</v>
      </c>
      <c r="X1112" s="2">
        <v>3</v>
      </c>
      <c r="Y1112" s="2">
        <v>0</v>
      </c>
      <c r="Z1112" s="2">
        <f t="shared" si="499"/>
        <v>3</v>
      </c>
      <c r="AA1112" s="2">
        <f t="shared" si="500"/>
        <v>38</v>
      </c>
      <c r="AB1112" s="2">
        <v>2236</v>
      </c>
      <c r="AC1112" s="20">
        <f t="shared" si="501"/>
        <v>1.6994633273703</v>
      </c>
      <c r="AD1112" s="2" t="s">
        <v>58</v>
      </c>
      <c r="AE1112" s="2">
        <v>188</v>
      </c>
      <c r="AF1112" s="21">
        <f t="shared" si="502"/>
        <v>1.6994633273703</v>
      </c>
      <c r="AG1112" s="4">
        <f t="shared" si="503"/>
        <v>1.56529516994633</v>
      </c>
      <c r="AH1112" s="4">
        <f t="shared" si="504"/>
        <v>0.134168157423971</v>
      </c>
      <c r="AI1112" s="2">
        <v>1185</v>
      </c>
      <c r="AJ1112" s="2">
        <v>159</v>
      </c>
      <c r="AK1112" s="2">
        <v>17</v>
      </c>
      <c r="AL1112" s="2">
        <v>18</v>
      </c>
      <c r="AM1112" s="2">
        <v>22</v>
      </c>
      <c r="AN1112" s="2">
        <v>0</v>
      </c>
      <c r="AO1112" s="2">
        <v>0</v>
      </c>
      <c r="AP1112" s="2">
        <f t="shared" si="493"/>
        <v>1362</v>
      </c>
      <c r="AQ1112" s="2">
        <f t="shared" si="494"/>
        <v>65.2924256951103</v>
      </c>
      <c r="AR1112" s="5">
        <f t="shared" si="495"/>
        <v>122.749760306807</v>
      </c>
    </row>
    <row r="1113" spans="1:44">
      <c r="A1113" s="2">
        <v>20260408</v>
      </c>
      <c r="B1113" s="2" t="s">
        <v>2270</v>
      </c>
      <c r="C1113" s="2" t="s">
        <v>2271</v>
      </c>
      <c r="D1113" s="2">
        <v>1</v>
      </c>
      <c r="E1113" s="2">
        <v>0</v>
      </c>
      <c r="F1113" s="2">
        <v>7</v>
      </c>
      <c r="G1113" s="2">
        <v>1</v>
      </c>
      <c r="H1113" s="2">
        <v>1</v>
      </c>
      <c r="I1113" s="3">
        <v>7</v>
      </c>
      <c r="J1113" s="2">
        <v>3</v>
      </c>
      <c r="K1113" s="2">
        <v>0</v>
      </c>
      <c r="L1113" s="2">
        <v>0</v>
      </c>
      <c r="M1113" s="2">
        <v>5</v>
      </c>
      <c r="N1113" s="2">
        <v>2</v>
      </c>
      <c r="O1113" s="2">
        <v>8</v>
      </c>
      <c r="P1113" s="3">
        <v>4</v>
      </c>
      <c r="Q1113" s="2">
        <v>2</v>
      </c>
      <c r="R1113" s="2">
        <v>1</v>
      </c>
      <c r="S1113" s="2">
        <v>0</v>
      </c>
      <c r="T1113" s="2">
        <v>4</v>
      </c>
      <c r="U1113" s="2">
        <v>1</v>
      </c>
      <c r="V1113" s="1">
        <f t="shared" si="498"/>
        <v>20</v>
      </c>
      <c r="W1113" s="2">
        <v>0</v>
      </c>
      <c r="X1113" s="2">
        <v>5</v>
      </c>
      <c r="Y1113" s="2">
        <v>0</v>
      </c>
      <c r="Z1113" s="2">
        <f t="shared" si="499"/>
        <v>6</v>
      </c>
      <c r="AA1113" s="2">
        <f t="shared" si="500"/>
        <v>26</v>
      </c>
      <c r="AB1113" s="2">
        <v>2086</v>
      </c>
      <c r="AC1113" s="20">
        <f t="shared" si="501"/>
        <v>1.2464046021093</v>
      </c>
      <c r="AD1113" s="2" t="s">
        <v>58</v>
      </c>
      <c r="AE1113" s="2">
        <v>188</v>
      </c>
      <c r="AF1113" s="21">
        <f t="shared" si="502"/>
        <v>1.2464046021093</v>
      </c>
      <c r="AG1113" s="4">
        <f t="shared" si="503"/>
        <v>0.958772770853308</v>
      </c>
      <c r="AH1113" s="4">
        <f t="shared" si="504"/>
        <v>0.287631831255992</v>
      </c>
      <c r="AI1113" s="2">
        <v>1216</v>
      </c>
      <c r="AJ1113" s="2">
        <v>58</v>
      </c>
      <c r="AK1113" s="2">
        <v>10</v>
      </c>
      <c r="AL1113" s="2">
        <v>11</v>
      </c>
      <c r="AM1113" s="2">
        <v>25</v>
      </c>
      <c r="AN1113" s="2">
        <v>2</v>
      </c>
      <c r="AO1113" s="2">
        <v>0</v>
      </c>
      <c r="AP1113" s="2">
        <f t="shared" si="493"/>
        <v>1287</v>
      </c>
      <c r="AQ1113" s="2">
        <f t="shared" si="494"/>
        <v>57.5581395348837</v>
      </c>
      <c r="AR1113" s="5">
        <f t="shared" si="495"/>
        <v>108.209302325581</v>
      </c>
    </row>
    <row r="1114" spans="1:44">
      <c r="A1114" s="2">
        <v>20260408</v>
      </c>
      <c r="B1114" s="2" t="s">
        <v>2272</v>
      </c>
      <c r="C1114" s="2" t="s">
        <v>2273</v>
      </c>
      <c r="D1114" s="2">
        <v>2</v>
      </c>
      <c r="E1114" s="2">
        <v>32</v>
      </c>
      <c r="F1114" s="2">
        <v>1</v>
      </c>
      <c r="G1114" s="2">
        <v>4</v>
      </c>
      <c r="H1114" s="2">
        <v>8</v>
      </c>
      <c r="I1114" s="3">
        <v>43</v>
      </c>
      <c r="J1114" s="2">
        <v>9</v>
      </c>
      <c r="K1114" s="2">
        <v>0</v>
      </c>
      <c r="L1114" s="2">
        <v>0</v>
      </c>
      <c r="M1114" s="2">
        <v>10</v>
      </c>
      <c r="N1114" s="2">
        <v>6</v>
      </c>
      <c r="O1114" s="2">
        <v>4</v>
      </c>
      <c r="P1114" s="3">
        <v>4</v>
      </c>
      <c r="Q1114" s="2">
        <v>4</v>
      </c>
      <c r="R1114" s="2">
        <v>250</v>
      </c>
      <c r="S1114" s="2">
        <v>1</v>
      </c>
      <c r="T1114" s="2">
        <v>2</v>
      </c>
      <c r="U1114" s="2">
        <v>0</v>
      </c>
      <c r="V1114" s="1">
        <f t="shared" si="498"/>
        <v>80</v>
      </c>
      <c r="W1114" s="2">
        <v>0</v>
      </c>
      <c r="X1114" s="2">
        <v>0</v>
      </c>
      <c r="Y1114" s="2">
        <v>0</v>
      </c>
      <c r="Z1114" s="2">
        <f t="shared" si="499"/>
        <v>0</v>
      </c>
      <c r="AA1114" s="2">
        <f t="shared" si="500"/>
        <v>80</v>
      </c>
      <c r="AB1114" s="2">
        <v>2980</v>
      </c>
      <c r="AC1114" s="20">
        <f t="shared" si="501"/>
        <v>2.68456375838926</v>
      </c>
      <c r="AD1114" s="2" t="s">
        <v>676</v>
      </c>
      <c r="AE1114" s="2">
        <v>165</v>
      </c>
      <c r="AF1114" s="21">
        <f t="shared" si="502"/>
        <v>3.05877567622534</v>
      </c>
      <c r="AG1114" s="4">
        <f t="shared" si="503"/>
        <v>2.68456375838926</v>
      </c>
      <c r="AH1114" s="4">
        <f t="shared" si="504"/>
        <v>0</v>
      </c>
      <c r="AI1114" s="2">
        <v>989</v>
      </c>
      <c r="AJ1114" s="2">
        <v>290</v>
      </c>
      <c r="AK1114" s="2">
        <v>31</v>
      </c>
      <c r="AL1114" s="2">
        <v>13</v>
      </c>
      <c r="AM1114" s="2">
        <v>21</v>
      </c>
      <c r="AN1114" s="2">
        <v>4</v>
      </c>
      <c r="AO1114" s="2">
        <v>0</v>
      </c>
      <c r="AP1114" s="2">
        <f t="shared" si="493"/>
        <v>1296</v>
      </c>
      <c r="AQ1114" s="2">
        <f t="shared" si="494"/>
        <v>62.1284755512944</v>
      </c>
      <c r="AR1114" s="5">
        <f t="shared" si="495"/>
        <v>116.801534036433</v>
      </c>
    </row>
    <row r="1115" spans="1:44">
      <c r="A1115" s="2">
        <v>20260408</v>
      </c>
      <c r="B1115" s="2" t="s">
        <v>2274</v>
      </c>
      <c r="C1115" s="2" t="s">
        <v>2275</v>
      </c>
      <c r="D1115" s="2">
        <v>0</v>
      </c>
      <c r="E1115" s="2">
        <v>6</v>
      </c>
      <c r="F1115" s="2">
        <v>6</v>
      </c>
      <c r="G1115" s="2">
        <v>2</v>
      </c>
      <c r="H1115" s="2">
        <v>3</v>
      </c>
      <c r="I1115" s="3">
        <v>7</v>
      </c>
      <c r="J1115" s="2">
        <v>3</v>
      </c>
      <c r="K1115" s="2">
        <v>0</v>
      </c>
      <c r="L1115" s="2">
        <v>1</v>
      </c>
      <c r="M1115" s="2">
        <v>5</v>
      </c>
      <c r="N1115" s="2">
        <v>4</v>
      </c>
      <c r="O1115" s="2">
        <v>1</v>
      </c>
      <c r="P1115" s="3">
        <v>1</v>
      </c>
      <c r="Q1115" s="2">
        <v>1</v>
      </c>
      <c r="R1115" s="2">
        <v>5</v>
      </c>
      <c r="S1115" s="2">
        <v>0</v>
      </c>
      <c r="T1115" s="2">
        <v>6</v>
      </c>
      <c r="U1115" s="2">
        <v>0</v>
      </c>
      <c r="V1115" s="1">
        <f t="shared" si="498"/>
        <v>25</v>
      </c>
      <c r="W1115" s="2">
        <v>0</v>
      </c>
      <c r="X1115" s="2">
        <v>2</v>
      </c>
      <c r="Y1115" s="2">
        <v>1</v>
      </c>
      <c r="Z1115" s="2">
        <f t="shared" si="499"/>
        <v>3</v>
      </c>
      <c r="AA1115" s="2">
        <f t="shared" si="500"/>
        <v>28</v>
      </c>
      <c r="AB1115" s="2">
        <v>2980</v>
      </c>
      <c r="AC1115" s="20">
        <f t="shared" si="501"/>
        <v>0.939597315436242</v>
      </c>
      <c r="AD1115" s="2" t="s">
        <v>676</v>
      </c>
      <c r="AE1115" s="2">
        <v>165</v>
      </c>
      <c r="AF1115" s="21">
        <f t="shared" si="502"/>
        <v>1.07057148667887</v>
      </c>
      <c r="AG1115" s="4">
        <f t="shared" si="503"/>
        <v>0.838926174496644</v>
      </c>
      <c r="AH1115" s="4">
        <f t="shared" si="504"/>
        <v>0.100671140939597</v>
      </c>
      <c r="AI1115" s="2">
        <v>30</v>
      </c>
      <c r="AJ1115" s="2">
        <v>4</v>
      </c>
      <c r="AK1115" s="2">
        <v>2</v>
      </c>
      <c r="AL1115" s="2">
        <v>1</v>
      </c>
      <c r="AM1115" s="2">
        <v>0</v>
      </c>
      <c r="AN1115" s="2">
        <v>0</v>
      </c>
      <c r="AO1115" s="2">
        <v>0</v>
      </c>
      <c r="AP1115" s="2">
        <f t="shared" si="493"/>
        <v>35</v>
      </c>
      <c r="AQ1115" s="2">
        <f t="shared" si="494"/>
        <v>1.1744966442953</v>
      </c>
      <c r="AR1115" s="5">
        <f t="shared" si="495"/>
        <v>2.20805369127517</v>
      </c>
    </row>
    <row r="1116" spans="1:44">
      <c r="A1116" s="2">
        <v>20260408</v>
      </c>
      <c r="B1116" s="2" t="s">
        <v>2276</v>
      </c>
      <c r="C1116" s="2" t="s">
        <v>2277</v>
      </c>
      <c r="D1116" s="2">
        <v>0</v>
      </c>
      <c r="E1116" s="2">
        <v>3</v>
      </c>
      <c r="F1116" s="2">
        <v>5</v>
      </c>
      <c r="G1116" s="2">
        <v>2</v>
      </c>
      <c r="H1116" s="2">
        <v>9</v>
      </c>
      <c r="I1116" s="3">
        <v>12</v>
      </c>
      <c r="J1116" s="2">
        <v>6</v>
      </c>
      <c r="K1116" s="2">
        <v>1</v>
      </c>
      <c r="L1116" s="2">
        <v>0</v>
      </c>
      <c r="M1116" s="2">
        <v>12</v>
      </c>
      <c r="N1116" s="2">
        <v>5</v>
      </c>
      <c r="O1116" s="2">
        <v>7</v>
      </c>
      <c r="P1116" s="3">
        <v>3</v>
      </c>
      <c r="Q1116" s="2">
        <v>2</v>
      </c>
      <c r="R1116" s="2">
        <v>6</v>
      </c>
      <c r="S1116" s="2">
        <v>0</v>
      </c>
      <c r="T1116" s="2">
        <v>5</v>
      </c>
      <c r="U1116" s="2">
        <v>0</v>
      </c>
      <c r="V1116" s="1">
        <f t="shared" ref="V1116:V1121" si="505">AA1116-Y1116-X1116-W1116-U1116</f>
        <v>42</v>
      </c>
      <c r="W1116" s="2">
        <v>4</v>
      </c>
      <c r="X1116" s="2">
        <v>4</v>
      </c>
      <c r="Y1116" s="2">
        <v>0</v>
      </c>
      <c r="Z1116" s="2">
        <f t="shared" si="499"/>
        <v>8</v>
      </c>
      <c r="AA1116" s="2">
        <f t="shared" si="500"/>
        <v>50</v>
      </c>
      <c r="AB1116" s="2">
        <v>2980</v>
      </c>
      <c r="AC1116" s="20">
        <f t="shared" ref="AC1116:AC1139" si="506">AA1116/AB1116*100</f>
        <v>1.67785234899329</v>
      </c>
      <c r="AD1116" s="2" t="s">
        <v>676</v>
      </c>
      <c r="AE1116" s="2">
        <v>165</v>
      </c>
      <c r="AF1116" s="21">
        <f t="shared" ref="AF1116:AF1127" si="507">188/AE1116*AC1116</f>
        <v>1.91173479764084</v>
      </c>
      <c r="AG1116" s="4">
        <f t="shared" ref="AG1116:AG1127" si="508">V1116/AB1116*100</f>
        <v>1.40939597315436</v>
      </c>
      <c r="AH1116" s="4">
        <f t="shared" ref="AH1116:AH1127" si="509">Z1116/AB1116*100</f>
        <v>0.268456375838926</v>
      </c>
      <c r="AI1116" s="2">
        <v>29</v>
      </c>
      <c r="AJ1116" s="2">
        <v>4</v>
      </c>
      <c r="AK1116" s="2">
        <v>1</v>
      </c>
      <c r="AL1116" s="2">
        <v>1</v>
      </c>
      <c r="AM1116" s="2">
        <v>0</v>
      </c>
      <c r="AN1116" s="2">
        <v>0</v>
      </c>
      <c r="AO1116" s="2">
        <v>0</v>
      </c>
      <c r="AP1116" s="2">
        <f t="shared" si="493"/>
        <v>34</v>
      </c>
      <c r="AQ1116" s="2">
        <f t="shared" si="494"/>
        <v>1.14093959731544</v>
      </c>
      <c r="AR1116" s="5">
        <f t="shared" si="495"/>
        <v>2.14496644295302</v>
      </c>
    </row>
    <row r="1117" spans="1:44">
      <c r="A1117" s="2">
        <v>20260408</v>
      </c>
      <c r="B1117" s="2" t="s">
        <v>2278</v>
      </c>
      <c r="C1117" s="2" t="s">
        <v>2279</v>
      </c>
      <c r="D1117" s="2">
        <v>3</v>
      </c>
      <c r="E1117" s="2">
        <v>4</v>
      </c>
      <c r="F1117" s="2">
        <v>1</v>
      </c>
      <c r="G1117" s="2">
        <v>4</v>
      </c>
      <c r="H1117" s="2">
        <v>6</v>
      </c>
      <c r="I1117" s="3">
        <v>15</v>
      </c>
      <c r="J1117" s="2">
        <v>3</v>
      </c>
      <c r="K1117" s="2">
        <v>1</v>
      </c>
      <c r="L1117" s="2">
        <v>11</v>
      </c>
      <c r="M1117" s="2">
        <v>17</v>
      </c>
      <c r="N1117" s="2">
        <v>10</v>
      </c>
      <c r="O1117" s="2">
        <v>1</v>
      </c>
      <c r="P1117" s="3">
        <v>6</v>
      </c>
      <c r="Q1117" s="2">
        <v>39</v>
      </c>
      <c r="R1117" s="2">
        <v>1</v>
      </c>
      <c r="S1117" s="2">
        <v>4</v>
      </c>
      <c r="T1117" s="2">
        <v>0</v>
      </c>
      <c r="U1117" s="2">
        <v>0</v>
      </c>
      <c r="V1117" s="1">
        <f t="shared" si="505"/>
        <v>61</v>
      </c>
      <c r="W1117" s="2">
        <v>1</v>
      </c>
      <c r="X1117" s="2">
        <v>0</v>
      </c>
      <c r="Y1117" s="2">
        <v>1</v>
      </c>
      <c r="Z1117" s="2">
        <f t="shared" si="499"/>
        <v>2</v>
      </c>
      <c r="AA1117" s="2">
        <f t="shared" si="500"/>
        <v>63</v>
      </c>
      <c r="AB1117" s="2">
        <v>2980</v>
      </c>
      <c r="AC1117" s="20">
        <f t="shared" si="506"/>
        <v>2.11409395973154</v>
      </c>
      <c r="AD1117" s="2" t="s">
        <v>676</v>
      </c>
      <c r="AE1117" s="2">
        <v>165</v>
      </c>
      <c r="AF1117" s="21">
        <f t="shared" si="507"/>
        <v>2.40878584502746</v>
      </c>
      <c r="AG1117" s="4">
        <f t="shared" si="508"/>
        <v>2.04697986577181</v>
      </c>
      <c r="AH1117" s="4">
        <f t="shared" si="509"/>
        <v>0.0671140939597315</v>
      </c>
      <c r="AI1117" s="2">
        <v>20</v>
      </c>
      <c r="AJ1117" s="2">
        <v>10</v>
      </c>
      <c r="AK1117" s="2">
        <v>0</v>
      </c>
      <c r="AL1117" s="2">
        <v>2</v>
      </c>
      <c r="AM1117" s="2">
        <v>3</v>
      </c>
      <c r="AN1117" s="2">
        <v>0</v>
      </c>
      <c r="AO1117" s="2">
        <v>0</v>
      </c>
      <c r="AP1117" s="2">
        <f t="shared" ref="AP1117:AP1126" si="510">AI1117+AJ1117+AL1117+AN1117</f>
        <v>32</v>
      </c>
      <c r="AQ1117" s="2">
        <f t="shared" ref="AQ1117:AQ1128" si="511">AP1117/AB1116*100</f>
        <v>1.0738255033557</v>
      </c>
      <c r="AR1117" s="5">
        <f t="shared" ref="AR1117:AR1128" si="512">AQ1117*1.88</f>
        <v>2.01879194630872</v>
      </c>
    </row>
    <row r="1118" spans="1:44">
      <c r="A1118" s="2">
        <v>20260408</v>
      </c>
      <c r="B1118" s="2" t="s">
        <v>2280</v>
      </c>
      <c r="C1118" s="2" t="s">
        <v>2281</v>
      </c>
      <c r="D1118" s="2">
        <v>2</v>
      </c>
      <c r="E1118" s="2">
        <v>13</v>
      </c>
      <c r="F1118" s="2">
        <v>9</v>
      </c>
      <c r="G1118" s="2">
        <v>3</v>
      </c>
      <c r="H1118" s="2">
        <v>13</v>
      </c>
      <c r="I1118" s="3">
        <v>10</v>
      </c>
      <c r="J1118" s="2">
        <v>10</v>
      </c>
      <c r="K1118" s="2">
        <v>5</v>
      </c>
      <c r="L1118" s="2">
        <v>1</v>
      </c>
      <c r="M1118" s="2">
        <v>4</v>
      </c>
      <c r="N1118" s="2">
        <v>9</v>
      </c>
      <c r="O1118" s="2">
        <v>13</v>
      </c>
      <c r="P1118" s="3">
        <v>3</v>
      </c>
      <c r="Q1118" s="2">
        <v>10</v>
      </c>
      <c r="R1118" s="2">
        <v>116</v>
      </c>
      <c r="S1118" s="2">
        <v>0</v>
      </c>
      <c r="T1118" s="2">
        <v>0</v>
      </c>
      <c r="U1118" s="2">
        <v>1</v>
      </c>
      <c r="V1118" s="1">
        <f t="shared" si="505"/>
        <v>43</v>
      </c>
      <c r="W1118" s="2">
        <v>3</v>
      </c>
      <c r="X1118" s="2">
        <v>1</v>
      </c>
      <c r="Y1118" s="2">
        <v>2</v>
      </c>
      <c r="Z1118" s="2">
        <f t="shared" si="499"/>
        <v>7</v>
      </c>
      <c r="AA1118" s="2">
        <f t="shared" si="500"/>
        <v>50</v>
      </c>
      <c r="AB1118" s="2">
        <v>2980</v>
      </c>
      <c r="AC1118" s="20">
        <f t="shared" si="506"/>
        <v>1.67785234899329</v>
      </c>
      <c r="AD1118" s="2" t="s">
        <v>676</v>
      </c>
      <c r="AE1118" s="2">
        <v>165</v>
      </c>
      <c r="AF1118" s="21">
        <f t="shared" si="507"/>
        <v>1.91173479764084</v>
      </c>
      <c r="AG1118" s="4">
        <f t="shared" si="508"/>
        <v>1.44295302013423</v>
      </c>
      <c r="AH1118" s="4">
        <f t="shared" si="509"/>
        <v>0.23489932885906</v>
      </c>
      <c r="AI1118" s="2">
        <v>1184</v>
      </c>
      <c r="AJ1118" s="2">
        <v>158</v>
      </c>
      <c r="AK1118" s="2">
        <v>41</v>
      </c>
      <c r="AL1118" s="2">
        <v>11</v>
      </c>
      <c r="AM1118" s="2">
        <v>22</v>
      </c>
      <c r="AN1118" s="2">
        <v>2</v>
      </c>
      <c r="AO1118" s="2">
        <v>0</v>
      </c>
      <c r="AP1118" s="2">
        <f t="shared" si="510"/>
        <v>1355</v>
      </c>
      <c r="AQ1118" s="2">
        <f t="shared" si="511"/>
        <v>45.4697986577181</v>
      </c>
      <c r="AR1118" s="5">
        <f t="shared" si="512"/>
        <v>85.4832214765101</v>
      </c>
    </row>
    <row r="1119" spans="1:44">
      <c r="A1119" s="2">
        <v>20260408</v>
      </c>
      <c r="B1119" s="2" t="s">
        <v>2282</v>
      </c>
      <c r="C1119" s="2" t="s">
        <v>2283</v>
      </c>
      <c r="D1119" s="2">
        <v>1</v>
      </c>
      <c r="E1119" s="2">
        <v>2</v>
      </c>
      <c r="F1119" s="2">
        <v>6</v>
      </c>
      <c r="G1119" s="2">
        <v>5</v>
      </c>
      <c r="H1119" s="2">
        <v>4</v>
      </c>
      <c r="I1119" s="3">
        <v>20</v>
      </c>
      <c r="J1119" s="2">
        <v>5</v>
      </c>
      <c r="K1119" s="2">
        <v>1</v>
      </c>
      <c r="L1119" s="2">
        <v>0</v>
      </c>
      <c r="M1119" s="2">
        <v>8</v>
      </c>
      <c r="N1119" s="2">
        <v>7</v>
      </c>
      <c r="O1119" s="2">
        <v>15</v>
      </c>
      <c r="P1119" s="3">
        <v>5</v>
      </c>
      <c r="Q1119" s="2">
        <v>3</v>
      </c>
      <c r="R1119" s="2">
        <v>178</v>
      </c>
      <c r="S1119" s="2">
        <v>2</v>
      </c>
      <c r="T1119" s="2">
        <v>7</v>
      </c>
      <c r="U1119" s="2">
        <v>0</v>
      </c>
      <c r="V1119" s="1">
        <f t="shared" si="505"/>
        <v>42</v>
      </c>
      <c r="W1119" s="2">
        <v>2</v>
      </c>
      <c r="X1119" s="2">
        <v>11</v>
      </c>
      <c r="Y1119" s="2">
        <v>0</v>
      </c>
      <c r="Z1119" s="2">
        <f t="shared" ref="Z1119:Z1130" si="513">Y1119+X1119+W1119+U1119</f>
        <v>13</v>
      </c>
      <c r="AA1119" s="2">
        <f t="shared" si="500"/>
        <v>55</v>
      </c>
      <c r="AB1119" s="2">
        <v>2990</v>
      </c>
      <c r="AC1119" s="20">
        <f t="shared" si="506"/>
        <v>1.83946488294314</v>
      </c>
      <c r="AD1119" s="2" t="s">
        <v>676</v>
      </c>
      <c r="AE1119" s="2">
        <v>165</v>
      </c>
      <c r="AF1119" s="21">
        <f t="shared" si="507"/>
        <v>2.0958751393534</v>
      </c>
      <c r="AG1119" s="4">
        <f t="shared" si="508"/>
        <v>1.40468227424749</v>
      </c>
      <c r="AH1119" s="4">
        <f t="shared" si="509"/>
        <v>0.434782608695652</v>
      </c>
      <c r="AI1119" s="2">
        <v>1325</v>
      </c>
      <c r="AJ1119" s="2">
        <v>247</v>
      </c>
      <c r="AK1119" s="2">
        <v>41</v>
      </c>
      <c r="AL1119" s="2">
        <v>12</v>
      </c>
      <c r="AM1119" s="2">
        <v>15</v>
      </c>
      <c r="AN1119" s="2">
        <v>5</v>
      </c>
      <c r="AO1119" s="2">
        <v>0</v>
      </c>
      <c r="AP1119" s="2">
        <f t="shared" si="510"/>
        <v>1589</v>
      </c>
      <c r="AQ1119" s="2">
        <f t="shared" si="511"/>
        <v>53.3221476510067</v>
      </c>
      <c r="AR1119" s="5">
        <f t="shared" si="512"/>
        <v>100.245637583893</v>
      </c>
    </row>
    <row r="1120" spans="1:44">
      <c r="A1120" s="2">
        <v>20260408</v>
      </c>
      <c r="B1120" s="2" t="s">
        <v>2284</v>
      </c>
      <c r="C1120" s="2" t="s">
        <v>2285</v>
      </c>
      <c r="D1120" s="2">
        <v>1</v>
      </c>
      <c r="E1120" s="2">
        <v>31</v>
      </c>
      <c r="F1120" s="2">
        <v>2</v>
      </c>
      <c r="G1120" s="2">
        <v>6</v>
      </c>
      <c r="H1120" s="2">
        <v>5</v>
      </c>
      <c r="I1120" s="3">
        <v>16</v>
      </c>
      <c r="J1120" s="2">
        <v>43</v>
      </c>
      <c r="K1120" s="2">
        <v>1</v>
      </c>
      <c r="L1120" s="2">
        <v>0</v>
      </c>
      <c r="M1120" s="2">
        <v>9</v>
      </c>
      <c r="N1120" s="2">
        <v>5</v>
      </c>
      <c r="O1120" s="2">
        <v>5</v>
      </c>
      <c r="P1120" s="3">
        <v>2</v>
      </c>
      <c r="Q1120" s="2">
        <v>3</v>
      </c>
      <c r="R1120" s="2">
        <v>110</v>
      </c>
      <c r="S1120" s="2">
        <v>1</v>
      </c>
      <c r="T1120" s="2">
        <v>6</v>
      </c>
      <c r="U1120" s="2">
        <v>1</v>
      </c>
      <c r="V1120" s="1">
        <f t="shared" si="505"/>
        <v>77</v>
      </c>
      <c r="W1120" s="2">
        <v>2</v>
      </c>
      <c r="X1120" s="2">
        <v>9</v>
      </c>
      <c r="Y1120" s="2">
        <v>0</v>
      </c>
      <c r="Z1120" s="2">
        <f t="shared" si="513"/>
        <v>12</v>
      </c>
      <c r="AA1120" s="2">
        <f t="shared" ref="AA1120:AA1130" si="514">G1120+H1120+I1120+J1120+K1120+L1120+M1120+P1120+T1120+U1120</f>
        <v>89</v>
      </c>
      <c r="AB1120" s="2">
        <v>3090</v>
      </c>
      <c r="AC1120" s="20">
        <f t="shared" si="506"/>
        <v>2.88025889967638</v>
      </c>
      <c r="AD1120" s="2" t="s">
        <v>676</v>
      </c>
      <c r="AE1120" s="2">
        <v>165</v>
      </c>
      <c r="AF1120" s="21">
        <f t="shared" si="507"/>
        <v>3.28174953417672</v>
      </c>
      <c r="AG1120" s="4">
        <f t="shared" si="508"/>
        <v>2.49190938511327</v>
      </c>
      <c r="AH1120" s="4">
        <f t="shared" si="509"/>
        <v>0.388349514563107</v>
      </c>
      <c r="AI1120" s="2">
        <v>1327</v>
      </c>
      <c r="AJ1120" s="2">
        <v>248</v>
      </c>
      <c r="AK1120" s="2">
        <v>41</v>
      </c>
      <c r="AL1120" s="2">
        <v>12</v>
      </c>
      <c r="AM1120" s="2">
        <v>15</v>
      </c>
      <c r="AN1120" s="2">
        <v>5</v>
      </c>
      <c r="AO1120" s="2">
        <v>0</v>
      </c>
      <c r="AP1120" s="2">
        <f t="shared" si="510"/>
        <v>1592</v>
      </c>
      <c r="AQ1120" s="2">
        <f t="shared" si="511"/>
        <v>53.2441471571906</v>
      </c>
      <c r="AR1120" s="5">
        <f t="shared" si="512"/>
        <v>100.098996655518</v>
      </c>
    </row>
    <row r="1121" spans="1:44">
      <c r="A1121" s="2">
        <v>20260408</v>
      </c>
      <c r="B1121" s="2" t="s">
        <v>2286</v>
      </c>
      <c r="C1121" s="2" t="s">
        <v>2287</v>
      </c>
      <c r="D1121" s="2">
        <v>3</v>
      </c>
      <c r="E1121" s="2">
        <v>27</v>
      </c>
      <c r="F1121" s="2">
        <v>3</v>
      </c>
      <c r="G1121" s="2">
        <v>3</v>
      </c>
      <c r="H1121" s="2">
        <v>8</v>
      </c>
      <c r="I1121" s="3">
        <v>12</v>
      </c>
      <c r="J1121" s="2">
        <v>6</v>
      </c>
      <c r="K1121" s="2">
        <v>1</v>
      </c>
      <c r="L1121" s="2">
        <v>0</v>
      </c>
      <c r="M1121" s="2">
        <v>6</v>
      </c>
      <c r="N1121" s="2">
        <v>11</v>
      </c>
      <c r="O1121" s="2">
        <v>11</v>
      </c>
      <c r="P1121" s="3">
        <v>2</v>
      </c>
      <c r="Q1121" s="2">
        <v>13</v>
      </c>
      <c r="R1121" s="2">
        <v>221</v>
      </c>
      <c r="S1121" s="2">
        <v>0</v>
      </c>
      <c r="T1121" s="2">
        <v>4</v>
      </c>
      <c r="U1121" s="2">
        <v>0</v>
      </c>
      <c r="V1121" s="1">
        <f t="shared" si="505"/>
        <v>30</v>
      </c>
      <c r="W1121" s="2">
        <v>3</v>
      </c>
      <c r="X1121" s="2">
        <v>9</v>
      </c>
      <c r="Y1121" s="2">
        <v>0</v>
      </c>
      <c r="Z1121" s="2">
        <f t="shared" si="513"/>
        <v>12</v>
      </c>
      <c r="AA1121" s="2">
        <f t="shared" si="514"/>
        <v>42</v>
      </c>
      <c r="AB1121" s="2">
        <v>3220</v>
      </c>
      <c r="AC1121" s="20">
        <f t="shared" si="506"/>
        <v>1.30434782608696</v>
      </c>
      <c r="AD1121" s="2" t="s">
        <v>676</v>
      </c>
      <c r="AE1121" s="2">
        <v>165</v>
      </c>
      <c r="AF1121" s="21">
        <f t="shared" si="507"/>
        <v>1.48616600790514</v>
      </c>
      <c r="AG1121" s="4">
        <f t="shared" si="508"/>
        <v>0.93167701863354</v>
      </c>
      <c r="AH1121" s="4">
        <f t="shared" si="509"/>
        <v>0.372670807453416</v>
      </c>
      <c r="AI1121" s="2">
        <v>142</v>
      </c>
      <c r="AJ1121" s="2">
        <v>48</v>
      </c>
      <c r="AK1121" s="2">
        <v>6</v>
      </c>
      <c r="AL1121" s="2">
        <v>4</v>
      </c>
      <c r="AM1121" s="2">
        <v>4</v>
      </c>
      <c r="AN1121" s="2">
        <v>0</v>
      </c>
      <c r="AO1121" s="2">
        <v>0</v>
      </c>
      <c r="AP1121" s="2">
        <f t="shared" si="510"/>
        <v>194</v>
      </c>
      <c r="AQ1121" s="2">
        <f t="shared" si="511"/>
        <v>6.27831715210356</v>
      </c>
      <c r="AR1121" s="5">
        <f t="shared" si="512"/>
        <v>11.8032362459547</v>
      </c>
    </row>
    <row r="1122" spans="1:44">
      <c r="A1122" s="2">
        <v>20260408</v>
      </c>
      <c r="B1122" s="2" t="s">
        <v>2288</v>
      </c>
      <c r="C1122" s="2" t="s">
        <v>2289</v>
      </c>
      <c r="D1122" s="2">
        <v>2</v>
      </c>
      <c r="E1122" s="2">
        <v>2</v>
      </c>
      <c r="F1122" s="2">
        <v>3</v>
      </c>
      <c r="G1122" s="2">
        <v>3</v>
      </c>
      <c r="H1122" s="2">
        <v>7</v>
      </c>
      <c r="I1122" s="3">
        <v>20</v>
      </c>
      <c r="J1122" s="2">
        <v>17</v>
      </c>
      <c r="K1122" s="2">
        <v>4</v>
      </c>
      <c r="L1122" s="2">
        <v>0</v>
      </c>
      <c r="M1122" s="2">
        <v>10</v>
      </c>
      <c r="N1122" s="2">
        <v>6</v>
      </c>
      <c r="O1122" s="2">
        <v>6</v>
      </c>
      <c r="P1122" s="3">
        <v>3</v>
      </c>
      <c r="Q1122" s="2">
        <v>4</v>
      </c>
      <c r="R1122" s="2">
        <v>50</v>
      </c>
      <c r="S1122" s="2">
        <v>1</v>
      </c>
      <c r="T1122" s="2">
        <v>3</v>
      </c>
      <c r="U1122" s="2">
        <v>2</v>
      </c>
      <c r="V1122" s="1">
        <f t="shared" ref="V1122:V1132" si="515">AA1122-Y1122-X1122-W1122-U1122</f>
        <v>45</v>
      </c>
      <c r="W1122" s="2">
        <v>9</v>
      </c>
      <c r="X1122" s="2">
        <v>13</v>
      </c>
      <c r="Y1122" s="2">
        <v>0</v>
      </c>
      <c r="Z1122" s="2">
        <f t="shared" si="513"/>
        <v>24</v>
      </c>
      <c r="AA1122" s="2">
        <f t="shared" si="514"/>
        <v>69</v>
      </c>
      <c r="AB1122" s="2">
        <v>2990</v>
      </c>
      <c r="AC1122" s="20">
        <f t="shared" si="506"/>
        <v>2.30769230769231</v>
      </c>
      <c r="AD1122" s="2" t="s">
        <v>676</v>
      </c>
      <c r="AE1122" s="2">
        <v>165</v>
      </c>
      <c r="AF1122" s="21">
        <f t="shared" si="507"/>
        <v>2.62937062937063</v>
      </c>
      <c r="AG1122" s="4">
        <f t="shared" si="508"/>
        <v>1.50501672240803</v>
      </c>
      <c r="AH1122" s="4">
        <f t="shared" si="509"/>
        <v>0.802675585284281</v>
      </c>
      <c r="AI1122" s="2">
        <v>698</v>
      </c>
      <c r="AJ1122" s="2">
        <v>214</v>
      </c>
      <c r="AK1122" s="2">
        <v>33</v>
      </c>
      <c r="AL1122" s="2">
        <v>10</v>
      </c>
      <c r="AM1122" s="2">
        <v>24</v>
      </c>
      <c r="AN1122" s="2">
        <v>17</v>
      </c>
      <c r="AO1122" s="2">
        <v>0</v>
      </c>
      <c r="AP1122" s="2">
        <f t="shared" si="510"/>
        <v>939</v>
      </c>
      <c r="AQ1122" s="2">
        <f t="shared" si="511"/>
        <v>29.1614906832298</v>
      </c>
      <c r="AR1122" s="5">
        <f t="shared" si="512"/>
        <v>54.823602484472</v>
      </c>
    </row>
    <row r="1123" spans="1:44">
      <c r="A1123" s="2">
        <v>20260408</v>
      </c>
      <c r="B1123" s="2" t="s">
        <v>2290</v>
      </c>
      <c r="C1123" s="2" t="s">
        <v>2291</v>
      </c>
      <c r="D1123" s="2">
        <v>1</v>
      </c>
      <c r="E1123" s="2">
        <v>0</v>
      </c>
      <c r="F1123" s="2">
        <v>6</v>
      </c>
      <c r="G1123" s="2">
        <v>4</v>
      </c>
      <c r="H1123" s="2">
        <v>6</v>
      </c>
      <c r="I1123" s="3">
        <v>19</v>
      </c>
      <c r="J1123" s="2">
        <v>10</v>
      </c>
      <c r="K1123" s="2">
        <v>3</v>
      </c>
      <c r="L1123" s="2">
        <v>0</v>
      </c>
      <c r="M1123" s="2">
        <v>7</v>
      </c>
      <c r="N1123" s="2">
        <v>11</v>
      </c>
      <c r="O1123" s="2">
        <v>0</v>
      </c>
      <c r="P1123" s="3">
        <v>19</v>
      </c>
      <c r="Q1123" s="2">
        <v>7</v>
      </c>
      <c r="R1123" s="2">
        <v>3</v>
      </c>
      <c r="S1123" s="2">
        <v>1</v>
      </c>
      <c r="T1123" s="2">
        <v>5</v>
      </c>
      <c r="U1123" s="2">
        <v>0</v>
      </c>
      <c r="V1123" s="1">
        <f t="shared" si="515"/>
        <v>55</v>
      </c>
      <c r="W1123" s="2">
        <v>7</v>
      </c>
      <c r="X1123" s="2">
        <v>11</v>
      </c>
      <c r="Y1123" s="2">
        <v>0</v>
      </c>
      <c r="Z1123" s="2">
        <f t="shared" si="513"/>
        <v>18</v>
      </c>
      <c r="AA1123" s="2">
        <f t="shared" si="514"/>
        <v>73</v>
      </c>
      <c r="AB1123" s="2">
        <v>1388</v>
      </c>
      <c r="AC1123" s="20">
        <f t="shared" si="506"/>
        <v>5.25936599423631</v>
      </c>
      <c r="AD1123" s="2" t="s">
        <v>1879</v>
      </c>
      <c r="AE1123" s="2">
        <v>188</v>
      </c>
      <c r="AF1123" s="21">
        <f t="shared" si="507"/>
        <v>5.25936599423631</v>
      </c>
      <c r="AG1123" s="4">
        <f t="shared" si="508"/>
        <v>3.96253602305475</v>
      </c>
      <c r="AH1123" s="4">
        <f t="shared" si="509"/>
        <v>1.29682997118156</v>
      </c>
      <c r="AI1123" s="2">
        <v>909</v>
      </c>
      <c r="AJ1123" s="2">
        <v>139</v>
      </c>
      <c r="AK1123" s="2">
        <v>1</v>
      </c>
      <c r="AL1123" s="2">
        <v>57</v>
      </c>
      <c r="AM1123" s="2">
        <v>80</v>
      </c>
      <c r="AN1123" s="2">
        <v>4</v>
      </c>
      <c r="AO1123" s="2">
        <v>0</v>
      </c>
      <c r="AP1123" s="2">
        <f t="shared" si="510"/>
        <v>1109</v>
      </c>
      <c r="AQ1123" s="2">
        <f t="shared" si="511"/>
        <v>37.0903010033445</v>
      </c>
      <c r="AR1123" s="5">
        <f t="shared" si="512"/>
        <v>69.7297658862876</v>
      </c>
    </row>
    <row r="1124" spans="1:44">
      <c r="A1124" s="2">
        <v>20260408</v>
      </c>
      <c r="B1124" s="2" t="s">
        <v>2292</v>
      </c>
      <c r="C1124" s="2" t="s">
        <v>2293</v>
      </c>
      <c r="D1124" s="2">
        <v>2</v>
      </c>
      <c r="E1124" s="2">
        <v>1</v>
      </c>
      <c r="F1124" s="2">
        <v>18</v>
      </c>
      <c r="G1124" s="2">
        <v>0</v>
      </c>
      <c r="H1124" s="2">
        <v>9</v>
      </c>
      <c r="I1124" s="3">
        <v>41</v>
      </c>
      <c r="J1124" s="2">
        <v>8</v>
      </c>
      <c r="K1124" s="2">
        <v>1</v>
      </c>
      <c r="L1124" s="2">
        <v>1</v>
      </c>
      <c r="M1124" s="2">
        <v>14</v>
      </c>
      <c r="N1124" s="2">
        <v>43</v>
      </c>
      <c r="O1124" s="2">
        <v>12</v>
      </c>
      <c r="P1124" s="3">
        <v>21</v>
      </c>
      <c r="Q1124" s="2">
        <v>13</v>
      </c>
      <c r="R1124" s="2">
        <v>4</v>
      </c>
      <c r="S1124" s="2">
        <v>1</v>
      </c>
      <c r="T1124" s="2">
        <v>0</v>
      </c>
      <c r="U1124" s="2">
        <v>0</v>
      </c>
      <c r="V1124" s="1">
        <f t="shared" si="515"/>
        <v>87</v>
      </c>
      <c r="W1124" s="2">
        <v>2</v>
      </c>
      <c r="X1124" s="2">
        <v>4</v>
      </c>
      <c r="Y1124" s="2">
        <v>2</v>
      </c>
      <c r="Z1124" s="2">
        <f t="shared" si="513"/>
        <v>8</v>
      </c>
      <c r="AA1124" s="2">
        <f t="shared" si="514"/>
        <v>95</v>
      </c>
      <c r="AB1124" s="2">
        <v>1415</v>
      </c>
      <c r="AC1124" s="20">
        <f t="shared" si="506"/>
        <v>6.71378091872792</v>
      </c>
      <c r="AD1124" s="2" t="s">
        <v>1879</v>
      </c>
      <c r="AE1124" s="2">
        <v>188</v>
      </c>
      <c r="AF1124" s="21">
        <f t="shared" si="507"/>
        <v>6.71378091872792</v>
      </c>
      <c r="AG1124" s="4">
        <f t="shared" si="508"/>
        <v>6.14840989399293</v>
      </c>
      <c r="AH1124" s="4">
        <f t="shared" si="509"/>
        <v>0.565371024734982</v>
      </c>
      <c r="AI1124" s="2">
        <v>880</v>
      </c>
      <c r="AJ1124" s="2">
        <v>161</v>
      </c>
      <c r="AK1124" s="2">
        <v>0</v>
      </c>
      <c r="AL1124" s="2">
        <v>28</v>
      </c>
      <c r="AM1124" s="2">
        <v>76</v>
      </c>
      <c r="AN1124" s="2">
        <v>1</v>
      </c>
      <c r="AO1124" s="2">
        <v>0</v>
      </c>
      <c r="AP1124" s="2">
        <f t="shared" si="510"/>
        <v>1070</v>
      </c>
      <c r="AQ1124" s="2">
        <f t="shared" si="511"/>
        <v>77.0893371757925</v>
      </c>
      <c r="AR1124" s="5">
        <f t="shared" si="512"/>
        <v>144.92795389049</v>
      </c>
    </row>
    <row r="1125" spans="1:44">
      <c r="A1125" s="2">
        <v>20260408</v>
      </c>
      <c r="B1125" s="2" t="s">
        <v>2294</v>
      </c>
      <c r="C1125" s="2" t="s">
        <v>2295</v>
      </c>
      <c r="D1125" s="2">
        <v>2</v>
      </c>
      <c r="E1125" s="2">
        <v>5</v>
      </c>
      <c r="F1125" s="2">
        <v>16</v>
      </c>
      <c r="G1125" s="2">
        <v>2</v>
      </c>
      <c r="H1125" s="2">
        <v>8</v>
      </c>
      <c r="I1125" s="3">
        <v>13</v>
      </c>
      <c r="J1125" s="2">
        <v>10</v>
      </c>
      <c r="K1125" s="2">
        <v>2</v>
      </c>
      <c r="L1125" s="2">
        <v>0</v>
      </c>
      <c r="M1125" s="2">
        <v>9</v>
      </c>
      <c r="N1125" s="2">
        <v>22</v>
      </c>
      <c r="O1125" s="2">
        <v>18</v>
      </c>
      <c r="P1125" s="3">
        <v>23</v>
      </c>
      <c r="Q1125" s="2">
        <v>13</v>
      </c>
      <c r="R1125" s="2">
        <v>10</v>
      </c>
      <c r="S1125" s="2">
        <v>0</v>
      </c>
      <c r="T1125" s="2">
        <v>3</v>
      </c>
      <c r="U1125" s="2">
        <v>1</v>
      </c>
      <c r="V1125" s="1">
        <f t="shared" si="515"/>
        <v>64</v>
      </c>
      <c r="W1125" s="2">
        <v>3</v>
      </c>
      <c r="X1125" s="2">
        <v>3</v>
      </c>
      <c r="Y1125" s="2">
        <v>0</v>
      </c>
      <c r="Z1125" s="2">
        <f t="shared" si="513"/>
        <v>7</v>
      </c>
      <c r="AA1125" s="2">
        <f t="shared" si="514"/>
        <v>71</v>
      </c>
      <c r="AB1125" s="2">
        <v>1528</v>
      </c>
      <c r="AC1125" s="20">
        <f t="shared" si="506"/>
        <v>4.64659685863874</v>
      </c>
      <c r="AD1125" s="2" t="s">
        <v>1879</v>
      </c>
      <c r="AE1125" s="2">
        <v>188</v>
      </c>
      <c r="AF1125" s="21">
        <f t="shared" si="507"/>
        <v>4.64659685863874</v>
      </c>
      <c r="AG1125" s="4">
        <f t="shared" si="508"/>
        <v>4.18848167539267</v>
      </c>
      <c r="AH1125" s="4">
        <f t="shared" si="509"/>
        <v>0.458115183246073</v>
      </c>
      <c r="AI1125" s="2">
        <v>1002</v>
      </c>
      <c r="AJ1125" s="2">
        <v>122</v>
      </c>
      <c r="AK1125" s="2">
        <v>0</v>
      </c>
      <c r="AL1125" s="2">
        <v>38</v>
      </c>
      <c r="AM1125" s="2">
        <v>150</v>
      </c>
      <c r="AN1125" s="2">
        <v>1</v>
      </c>
      <c r="AO1125" s="2">
        <v>0</v>
      </c>
      <c r="AP1125" s="2">
        <f t="shared" si="510"/>
        <v>1163</v>
      </c>
      <c r="AQ1125" s="2">
        <f t="shared" si="511"/>
        <v>82.1908127208481</v>
      </c>
      <c r="AR1125" s="5">
        <f t="shared" si="512"/>
        <v>154.518727915194</v>
      </c>
    </row>
    <row r="1126" spans="1:44">
      <c r="A1126" s="2">
        <v>20260408</v>
      </c>
      <c r="B1126" s="2" t="s">
        <v>2296</v>
      </c>
      <c r="C1126" s="2" t="s">
        <v>2297</v>
      </c>
      <c r="D1126" s="2">
        <v>0</v>
      </c>
      <c r="E1126" s="2">
        <v>1</v>
      </c>
      <c r="F1126" s="2">
        <v>3</v>
      </c>
      <c r="G1126" s="2">
        <v>6</v>
      </c>
      <c r="H1126" s="2">
        <v>14</v>
      </c>
      <c r="I1126" s="3">
        <v>9</v>
      </c>
      <c r="J1126" s="2">
        <v>11</v>
      </c>
      <c r="K1126" s="2">
        <v>7</v>
      </c>
      <c r="L1126" s="2">
        <v>1</v>
      </c>
      <c r="M1126" s="2">
        <v>7</v>
      </c>
      <c r="N1126" s="2">
        <v>10</v>
      </c>
      <c r="O1126" s="2">
        <v>10</v>
      </c>
      <c r="P1126" s="3">
        <v>31</v>
      </c>
      <c r="Q1126" s="2">
        <v>6</v>
      </c>
      <c r="R1126" s="2">
        <v>15</v>
      </c>
      <c r="S1126" s="2">
        <v>0</v>
      </c>
      <c r="T1126" s="2">
        <v>5</v>
      </c>
      <c r="U1126" s="2">
        <v>0</v>
      </c>
      <c r="V1126" s="1">
        <f t="shared" si="515"/>
        <v>83</v>
      </c>
      <c r="W1126" s="2">
        <v>3</v>
      </c>
      <c r="X1126" s="2">
        <v>5</v>
      </c>
      <c r="Y1126" s="2">
        <v>0</v>
      </c>
      <c r="Z1126" s="2">
        <f t="shared" si="513"/>
        <v>8</v>
      </c>
      <c r="AA1126" s="2">
        <f t="shared" si="514"/>
        <v>91</v>
      </c>
      <c r="AB1126" s="2">
        <v>1667</v>
      </c>
      <c r="AC1126" s="20">
        <f t="shared" si="506"/>
        <v>5.45890821835633</v>
      </c>
      <c r="AD1126" s="2" t="s">
        <v>934</v>
      </c>
      <c r="AE1126" s="2">
        <v>188</v>
      </c>
      <c r="AF1126" s="21">
        <f t="shared" si="507"/>
        <v>5.45890821835633</v>
      </c>
      <c r="AG1126" s="4">
        <f t="shared" si="508"/>
        <v>4.97900419916017</v>
      </c>
      <c r="AH1126" s="4">
        <f t="shared" si="509"/>
        <v>0.479904019196161</v>
      </c>
      <c r="AI1126" s="2">
        <v>1187</v>
      </c>
      <c r="AJ1126" s="2">
        <v>165</v>
      </c>
      <c r="AK1126" s="2">
        <v>10</v>
      </c>
      <c r="AL1126" s="2">
        <v>60</v>
      </c>
      <c r="AM1126" s="2">
        <v>68</v>
      </c>
      <c r="AN1126" s="2">
        <v>1</v>
      </c>
      <c r="AO1126" s="2">
        <v>0</v>
      </c>
      <c r="AP1126" s="2">
        <v>1</v>
      </c>
      <c r="AQ1126" s="2">
        <f t="shared" si="511"/>
        <v>0.0654450261780105</v>
      </c>
      <c r="AR1126" s="5">
        <f t="shared" si="512"/>
        <v>0.12303664921466</v>
      </c>
    </row>
    <row r="1127" spans="1:44">
      <c r="A1127" s="2">
        <v>20260408</v>
      </c>
      <c r="B1127" s="2" t="s">
        <v>2298</v>
      </c>
      <c r="C1127" s="2" t="s">
        <v>2299</v>
      </c>
      <c r="D1127" s="2">
        <v>1</v>
      </c>
      <c r="E1127" s="2">
        <v>3</v>
      </c>
      <c r="F1127" s="2">
        <v>1</v>
      </c>
      <c r="G1127" s="2">
        <v>3</v>
      </c>
      <c r="H1127" s="2">
        <v>3</v>
      </c>
      <c r="I1127" s="3">
        <v>10</v>
      </c>
      <c r="J1127" s="2">
        <v>14</v>
      </c>
      <c r="K1127" s="2">
        <v>10</v>
      </c>
      <c r="L1127" s="2">
        <v>0</v>
      </c>
      <c r="M1127" s="2">
        <v>3</v>
      </c>
      <c r="N1127" s="2">
        <v>2</v>
      </c>
      <c r="O1127" s="2">
        <v>8</v>
      </c>
      <c r="P1127" s="3">
        <v>25</v>
      </c>
      <c r="Q1127" s="2">
        <v>4</v>
      </c>
      <c r="R1127" s="2">
        <v>43</v>
      </c>
      <c r="S1127" s="2">
        <v>1</v>
      </c>
      <c r="T1127" s="2">
        <v>2</v>
      </c>
      <c r="U1127" s="2">
        <v>0</v>
      </c>
      <c r="V1127" s="1">
        <f t="shared" si="515"/>
        <v>65</v>
      </c>
      <c r="W1127" s="2">
        <v>1</v>
      </c>
      <c r="X1127" s="2">
        <v>4</v>
      </c>
      <c r="Y1127" s="2">
        <v>0</v>
      </c>
      <c r="Z1127" s="2">
        <f t="shared" si="513"/>
        <v>5</v>
      </c>
      <c r="AA1127" s="2">
        <f t="shared" si="514"/>
        <v>70</v>
      </c>
      <c r="AB1127" s="2">
        <v>1752</v>
      </c>
      <c r="AC1127" s="20">
        <f t="shared" si="506"/>
        <v>3.99543378995434</v>
      </c>
      <c r="AD1127" s="2" t="s">
        <v>934</v>
      </c>
      <c r="AE1127" s="2">
        <v>188</v>
      </c>
      <c r="AF1127" s="21">
        <f t="shared" si="507"/>
        <v>3.99543378995434</v>
      </c>
      <c r="AG1127" s="4">
        <f t="shared" si="508"/>
        <v>3.71004566210046</v>
      </c>
      <c r="AH1127" s="4">
        <f t="shared" si="509"/>
        <v>0.285388127853881</v>
      </c>
      <c r="AI1127" s="2">
        <v>1263</v>
      </c>
      <c r="AJ1127" s="2">
        <v>161</v>
      </c>
      <c r="AK1127" s="2">
        <v>7</v>
      </c>
      <c r="AL1127" s="2">
        <v>84</v>
      </c>
      <c r="AM1127" s="2">
        <v>123</v>
      </c>
      <c r="AN1127" s="2">
        <v>5</v>
      </c>
      <c r="AO1127" s="2">
        <v>0</v>
      </c>
      <c r="AP1127" s="2">
        <f>AI1127+AJ1127+AL1127+AN1127</f>
        <v>1513</v>
      </c>
      <c r="AQ1127" s="2">
        <f t="shared" si="511"/>
        <v>90.7618476304739</v>
      </c>
      <c r="AR1127" s="5">
        <f t="shared" si="512"/>
        <v>170.632273545291</v>
      </c>
    </row>
    <row r="1128" spans="1:44">
      <c r="A1128" s="2">
        <v>20260408</v>
      </c>
      <c r="B1128" s="2" t="s">
        <v>2300</v>
      </c>
      <c r="C1128" s="2" t="s">
        <v>2301</v>
      </c>
      <c r="D1128" s="2">
        <v>15</v>
      </c>
      <c r="E1128" s="2">
        <v>955</v>
      </c>
      <c r="F1128" s="2">
        <v>25</v>
      </c>
      <c r="G1128" s="2">
        <v>31</v>
      </c>
      <c r="H1128" s="2">
        <v>256</v>
      </c>
      <c r="I1128" s="3">
        <v>41</v>
      </c>
      <c r="J1128" s="2">
        <v>46</v>
      </c>
      <c r="K1128" s="2">
        <v>15</v>
      </c>
      <c r="L1128" s="2">
        <v>0</v>
      </c>
      <c r="M1128" s="2">
        <v>140</v>
      </c>
      <c r="N1128" s="2">
        <v>83</v>
      </c>
      <c r="O1128" s="2">
        <v>49</v>
      </c>
      <c r="P1128" s="3">
        <v>45</v>
      </c>
      <c r="Q1128" s="2">
        <v>24</v>
      </c>
      <c r="R1128" s="2">
        <v>39</v>
      </c>
      <c r="S1128" s="2">
        <v>1</v>
      </c>
      <c r="T1128" s="2">
        <v>27</v>
      </c>
      <c r="U1128" s="2">
        <v>8</v>
      </c>
      <c r="V1128" s="1">
        <f t="shared" si="515"/>
        <v>598</v>
      </c>
      <c r="W1128" s="2">
        <v>2</v>
      </c>
      <c r="X1128" s="2">
        <v>1</v>
      </c>
      <c r="Y1128" s="2">
        <v>0</v>
      </c>
      <c r="Z1128" s="2">
        <f t="shared" si="513"/>
        <v>11</v>
      </c>
      <c r="AA1128" s="2">
        <f t="shared" si="514"/>
        <v>609</v>
      </c>
      <c r="AB1128" s="2">
        <v>1897</v>
      </c>
      <c r="AC1128" s="20">
        <f t="shared" si="506"/>
        <v>32.1033210332103</v>
      </c>
      <c r="AD1128" s="2" t="s">
        <v>934</v>
      </c>
      <c r="AE1128" s="2">
        <v>188</v>
      </c>
      <c r="AF1128" s="21">
        <f t="shared" ref="AF1128:AF1163" si="516">188/AE1128*AC1128</f>
        <v>32.1033210332103</v>
      </c>
      <c r="AG1128" s="4">
        <f t="shared" ref="AG1128:AG1163" si="517">V1128/AB1128*100</f>
        <v>31.5234580917238</v>
      </c>
      <c r="AH1128" s="4">
        <f t="shared" ref="AH1128:AH1163" si="518">Z1128/AB1128*100</f>
        <v>0.579862941486558</v>
      </c>
      <c r="AI1128" s="2">
        <v>1403</v>
      </c>
      <c r="AJ1128" s="2">
        <v>152</v>
      </c>
      <c r="AK1128" s="2">
        <v>7</v>
      </c>
      <c r="AL1128" s="2">
        <v>101</v>
      </c>
      <c r="AM1128" s="2">
        <v>607</v>
      </c>
      <c r="AN1128" s="2">
        <v>6</v>
      </c>
      <c r="AO1128" s="2">
        <v>0</v>
      </c>
      <c r="AP1128" s="2">
        <f>AI1128+AJ1128+AL1128+AN1128</f>
        <v>1662</v>
      </c>
      <c r="AQ1128" s="2">
        <f t="shared" si="511"/>
        <v>94.8630136986301</v>
      </c>
      <c r="AR1128" s="5">
        <f t="shared" si="512"/>
        <v>178.342465753425</v>
      </c>
    </row>
    <row r="1129" spans="1:44">
      <c r="A1129" s="2">
        <v>20260408</v>
      </c>
      <c r="B1129" s="2" t="s">
        <v>2302</v>
      </c>
      <c r="C1129" s="2" t="s">
        <v>2303</v>
      </c>
      <c r="D1129" s="2">
        <v>16</v>
      </c>
      <c r="E1129" s="2">
        <v>996</v>
      </c>
      <c r="F1129" s="2">
        <v>46</v>
      </c>
      <c r="G1129" s="2">
        <v>47</v>
      </c>
      <c r="H1129" s="2">
        <v>636</v>
      </c>
      <c r="I1129" s="3">
        <v>67</v>
      </c>
      <c r="J1129" s="2">
        <v>290</v>
      </c>
      <c r="K1129" s="2">
        <v>47</v>
      </c>
      <c r="L1129" s="2">
        <v>2</v>
      </c>
      <c r="M1129" s="2">
        <v>188</v>
      </c>
      <c r="N1129" s="2">
        <v>565</v>
      </c>
      <c r="O1129" s="2">
        <v>39</v>
      </c>
      <c r="P1129" s="3">
        <v>81</v>
      </c>
      <c r="Q1129" s="2">
        <v>48</v>
      </c>
      <c r="R1129" s="2">
        <v>32</v>
      </c>
      <c r="S1129" s="2">
        <v>4</v>
      </c>
      <c r="T1129" s="2">
        <v>208</v>
      </c>
      <c r="U1129" s="2">
        <v>14</v>
      </c>
      <c r="V1129" s="1">
        <f t="shared" si="515"/>
        <v>1553</v>
      </c>
      <c r="W1129" s="2">
        <v>6</v>
      </c>
      <c r="X1129" s="2">
        <v>7</v>
      </c>
      <c r="Y1129" s="2">
        <v>0</v>
      </c>
      <c r="Z1129" s="2">
        <f t="shared" si="513"/>
        <v>27</v>
      </c>
      <c r="AA1129" s="2">
        <f t="shared" si="514"/>
        <v>1580</v>
      </c>
      <c r="AB1129" s="2">
        <v>1937</v>
      </c>
      <c r="AC1129" s="20">
        <f t="shared" si="506"/>
        <v>81.5694372741353</v>
      </c>
      <c r="AD1129" s="2" t="s">
        <v>934</v>
      </c>
      <c r="AE1129" s="2">
        <v>188</v>
      </c>
      <c r="AF1129" s="21">
        <f t="shared" si="516"/>
        <v>81.5694372741353</v>
      </c>
      <c r="AG1129" s="4">
        <f t="shared" si="517"/>
        <v>80.1755291688178</v>
      </c>
      <c r="AH1129" s="4">
        <f t="shared" si="518"/>
        <v>1.3939081053175</v>
      </c>
      <c r="AI1129" s="2">
        <v>2176</v>
      </c>
      <c r="AJ1129" s="2">
        <v>956</v>
      </c>
      <c r="AK1129" s="2">
        <v>11</v>
      </c>
      <c r="AL1129" s="2">
        <v>2596</v>
      </c>
      <c r="AM1129" s="2">
        <v>3430</v>
      </c>
      <c r="AN1129" s="2">
        <v>121</v>
      </c>
      <c r="AO1129" s="2">
        <v>0</v>
      </c>
      <c r="AP1129" s="2">
        <f t="shared" ref="AP1129:AP1154" si="519">AI1129+AJ1129+AL1129+AN1129</f>
        <v>5849</v>
      </c>
      <c r="AQ1129" s="2">
        <f t="shared" ref="AQ1129:AQ1154" si="520">AP1129/AB1128*100</f>
        <v>308.328940432261</v>
      </c>
      <c r="AR1129" s="5">
        <f t="shared" ref="AR1129:AR1152" si="521">AQ1129*1.88</f>
        <v>579.658408012652</v>
      </c>
    </row>
    <row r="1130" spans="1:44">
      <c r="A1130" s="2">
        <v>20260409</v>
      </c>
      <c r="B1130" s="2" t="s">
        <v>2304</v>
      </c>
      <c r="C1130" s="2" t="s">
        <v>2305</v>
      </c>
      <c r="D1130" s="2">
        <v>1</v>
      </c>
      <c r="E1130" s="2">
        <v>2</v>
      </c>
      <c r="F1130" s="2">
        <v>11</v>
      </c>
      <c r="G1130" s="2">
        <v>6</v>
      </c>
      <c r="H1130" s="2">
        <v>8</v>
      </c>
      <c r="I1130" s="3">
        <v>64</v>
      </c>
      <c r="J1130" s="2">
        <v>14</v>
      </c>
      <c r="K1130" s="2">
        <v>7</v>
      </c>
      <c r="L1130" s="2">
        <v>0</v>
      </c>
      <c r="M1130" s="2">
        <v>6</v>
      </c>
      <c r="N1130" s="2">
        <v>4</v>
      </c>
      <c r="O1130" s="2">
        <v>9</v>
      </c>
      <c r="P1130" s="3">
        <v>20</v>
      </c>
      <c r="Q1130" s="2">
        <v>5</v>
      </c>
      <c r="R1130" s="2">
        <v>14</v>
      </c>
      <c r="S1130" s="2">
        <v>2</v>
      </c>
      <c r="T1130" s="2">
        <v>2</v>
      </c>
      <c r="U1130" s="2">
        <v>0</v>
      </c>
      <c r="V1130" s="1">
        <f t="shared" si="515"/>
        <v>86</v>
      </c>
      <c r="W1130" s="2">
        <v>8</v>
      </c>
      <c r="X1130" s="2">
        <v>32</v>
      </c>
      <c r="Y1130" s="2">
        <v>1</v>
      </c>
      <c r="Z1130" s="2">
        <f t="shared" si="513"/>
        <v>41</v>
      </c>
      <c r="AA1130" s="2">
        <f t="shared" si="514"/>
        <v>127</v>
      </c>
      <c r="AB1130" s="2">
        <v>3326</v>
      </c>
      <c r="AC1130" s="20">
        <f t="shared" si="506"/>
        <v>3.81840048105833</v>
      </c>
      <c r="AD1130" s="2" t="s">
        <v>934</v>
      </c>
      <c r="AE1130" s="2">
        <v>188</v>
      </c>
      <c r="AF1130" s="21">
        <f t="shared" si="516"/>
        <v>3.81840048105833</v>
      </c>
      <c r="AG1130" s="4">
        <f t="shared" si="517"/>
        <v>2.58568851473241</v>
      </c>
      <c r="AH1130" s="4">
        <f t="shared" si="518"/>
        <v>1.23271196632592</v>
      </c>
      <c r="AI1130" s="2">
        <v>1248</v>
      </c>
      <c r="AJ1130" s="2">
        <v>231</v>
      </c>
      <c r="AK1130" s="2">
        <v>12</v>
      </c>
      <c r="AL1130" s="2">
        <v>64</v>
      </c>
      <c r="AM1130" s="2">
        <v>86</v>
      </c>
      <c r="AN1130" s="2">
        <v>2</v>
      </c>
      <c r="AO1130" s="2">
        <v>0</v>
      </c>
      <c r="AP1130" s="2">
        <f t="shared" si="519"/>
        <v>1545</v>
      </c>
      <c r="AQ1130" s="2">
        <f t="shared" si="520"/>
        <v>79.7625193598348</v>
      </c>
      <c r="AR1130" s="5">
        <f t="shared" si="521"/>
        <v>149.953536396489</v>
      </c>
    </row>
    <row r="1131" spans="1:44">
      <c r="A1131" s="2">
        <v>20260409</v>
      </c>
      <c r="B1131" s="2" t="s">
        <v>2306</v>
      </c>
      <c r="C1131" s="2" t="s">
        <v>2307</v>
      </c>
      <c r="D1131" s="2">
        <v>3</v>
      </c>
      <c r="E1131" s="2">
        <v>5</v>
      </c>
      <c r="F1131" s="2">
        <v>9</v>
      </c>
      <c r="G1131" s="2">
        <v>9</v>
      </c>
      <c r="H1131" s="2">
        <v>11</v>
      </c>
      <c r="I1131" s="3">
        <v>29</v>
      </c>
      <c r="J1131" s="2">
        <v>26</v>
      </c>
      <c r="K1131" s="2">
        <v>3</v>
      </c>
      <c r="L1131" s="2">
        <v>1</v>
      </c>
      <c r="M1131" s="2">
        <v>21</v>
      </c>
      <c r="N1131" s="2">
        <v>10</v>
      </c>
      <c r="O1131" s="2">
        <v>16</v>
      </c>
      <c r="P1131" s="3">
        <v>9</v>
      </c>
      <c r="Q1131" s="2">
        <v>2</v>
      </c>
      <c r="R1131" s="2">
        <v>11</v>
      </c>
      <c r="S1131" s="2">
        <v>1</v>
      </c>
      <c r="T1131" s="2">
        <v>3</v>
      </c>
      <c r="U1131" s="2">
        <v>0</v>
      </c>
      <c r="V1131" s="1">
        <f t="shared" si="515"/>
        <v>81</v>
      </c>
      <c r="W1131" s="2">
        <v>13</v>
      </c>
      <c r="X1131" s="2">
        <v>18</v>
      </c>
      <c r="Y1131" s="2">
        <v>0</v>
      </c>
      <c r="Z1131" s="2">
        <f t="shared" ref="Z1131:Z1152" si="522">Y1131+X1131+W1131+U1131</f>
        <v>31</v>
      </c>
      <c r="AA1131" s="2">
        <f t="shared" ref="AA1131:AA1152" si="523">G1131+H1131+I1131+J1131+K1131+L1131+M1131+P1131+T1131+U1131</f>
        <v>112</v>
      </c>
      <c r="AB1131" s="2">
        <v>3426</v>
      </c>
      <c r="AC1131" s="20">
        <f t="shared" si="506"/>
        <v>3.26911850554583</v>
      </c>
      <c r="AD1131" s="2" t="s">
        <v>934</v>
      </c>
      <c r="AE1131" s="2">
        <v>188</v>
      </c>
      <c r="AF1131" s="21">
        <f t="shared" si="516"/>
        <v>3.26911850554583</v>
      </c>
      <c r="AG1131" s="4">
        <f t="shared" si="517"/>
        <v>2.36427320490368</v>
      </c>
      <c r="AH1131" s="4">
        <f t="shared" si="518"/>
        <v>0.904845300642148</v>
      </c>
      <c r="AI1131" s="2">
        <v>2535</v>
      </c>
      <c r="AJ1131" s="2">
        <v>389</v>
      </c>
      <c r="AK1131" s="2">
        <v>22</v>
      </c>
      <c r="AL1131" s="2">
        <v>91</v>
      </c>
      <c r="AM1131" s="2">
        <v>189</v>
      </c>
      <c r="AN1131" s="2">
        <v>9</v>
      </c>
      <c r="AO1131" s="2">
        <v>0</v>
      </c>
      <c r="AP1131" s="2">
        <f t="shared" si="519"/>
        <v>3024</v>
      </c>
      <c r="AQ1131" s="2">
        <f t="shared" si="520"/>
        <v>90.9200240529164</v>
      </c>
      <c r="AR1131" s="5">
        <f t="shared" si="521"/>
        <v>170.929645219483</v>
      </c>
    </row>
    <row r="1132" spans="1:44">
      <c r="A1132" s="2">
        <v>20260409</v>
      </c>
      <c r="B1132" s="2" t="s">
        <v>2308</v>
      </c>
      <c r="C1132" s="2" t="s">
        <v>2309</v>
      </c>
      <c r="D1132" s="2">
        <v>7</v>
      </c>
      <c r="E1132" s="2">
        <v>1</v>
      </c>
      <c r="F1132" s="2">
        <v>1</v>
      </c>
      <c r="G1132" s="2">
        <v>3</v>
      </c>
      <c r="H1132" s="2">
        <v>5</v>
      </c>
      <c r="I1132" s="3">
        <v>100</v>
      </c>
      <c r="J1132" s="2">
        <v>35</v>
      </c>
      <c r="K1132" s="2">
        <v>2</v>
      </c>
      <c r="L1132" s="2">
        <v>0</v>
      </c>
      <c r="M1132" s="2">
        <v>5</v>
      </c>
      <c r="N1132" s="2">
        <v>0</v>
      </c>
      <c r="O1132" s="2">
        <v>3</v>
      </c>
      <c r="P1132" s="3">
        <v>5</v>
      </c>
      <c r="Q1132" s="2">
        <v>0</v>
      </c>
      <c r="R1132" s="2">
        <v>17</v>
      </c>
      <c r="S1132" s="2">
        <v>1</v>
      </c>
      <c r="T1132" s="2">
        <v>5</v>
      </c>
      <c r="U1132" s="2">
        <v>0</v>
      </c>
      <c r="V1132" s="1">
        <f t="shared" si="515"/>
        <v>142</v>
      </c>
      <c r="W1132" s="2">
        <v>3</v>
      </c>
      <c r="X1132" s="2">
        <v>15</v>
      </c>
      <c r="Y1132" s="2">
        <v>0</v>
      </c>
      <c r="Z1132" s="2">
        <f t="shared" si="522"/>
        <v>18</v>
      </c>
      <c r="AA1132" s="2">
        <f t="shared" si="523"/>
        <v>160</v>
      </c>
      <c r="AB1132" s="2">
        <v>3126</v>
      </c>
      <c r="AC1132" s="20">
        <f t="shared" si="506"/>
        <v>5.11836212412028</v>
      </c>
      <c r="AD1132" s="2" t="s">
        <v>934</v>
      </c>
      <c r="AE1132" s="2">
        <v>188</v>
      </c>
      <c r="AF1132" s="21">
        <f t="shared" si="516"/>
        <v>5.11836212412028</v>
      </c>
      <c r="AG1132" s="4">
        <f t="shared" si="517"/>
        <v>4.54254638515675</v>
      </c>
      <c r="AH1132" s="4">
        <f t="shared" si="518"/>
        <v>0.575815738963532</v>
      </c>
      <c r="AI1132" s="2">
        <v>2122</v>
      </c>
      <c r="AJ1132" s="2">
        <v>503</v>
      </c>
      <c r="AK1132" s="2">
        <v>23</v>
      </c>
      <c r="AL1132" s="2">
        <v>312</v>
      </c>
      <c r="AM1132" s="2">
        <v>209</v>
      </c>
      <c r="AN1132" s="2">
        <v>12</v>
      </c>
      <c r="AO1132" s="2">
        <v>0</v>
      </c>
      <c r="AP1132" s="2">
        <f t="shared" si="519"/>
        <v>2949</v>
      </c>
      <c r="AQ1132" s="2">
        <f t="shared" si="520"/>
        <v>86.077057793345</v>
      </c>
      <c r="AR1132" s="5">
        <f t="shared" si="521"/>
        <v>161.824868651489</v>
      </c>
    </row>
    <row r="1133" spans="1:44">
      <c r="A1133" s="2">
        <v>20260409</v>
      </c>
      <c r="B1133" s="2" t="s">
        <v>2310</v>
      </c>
      <c r="C1133" s="2" t="s">
        <v>2311</v>
      </c>
      <c r="D1133" s="2">
        <v>1</v>
      </c>
      <c r="E1133" s="2">
        <v>220</v>
      </c>
      <c r="F1133" s="2">
        <v>177</v>
      </c>
      <c r="G1133" s="2">
        <v>38</v>
      </c>
      <c r="H1133" s="2">
        <v>62</v>
      </c>
      <c r="I1133" s="3">
        <v>15</v>
      </c>
      <c r="J1133" s="2">
        <v>145</v>
      </c>
      <c r="K1133" s="2">
        <v>17</v>
      </c>
      <c r="L1133" s="2">
        <v>21</v>
      </c>
      <c r="M1133" s="2">
        <v>111</v>
      </c>
      <c r="N1133" s="2">
        <v>36</v>
      </c>
      <c r="O1133" s="2">
        <v>10</v>
      </c>
      <c r="P1133" s="3">
        <v>64</v>
      </c>
      <c r="Q1133" s="2">
        <v>43</v>
      </c>
      <c r="R1133" s="2">
        <v>6</v>
      </c>
      <c r="S1133" s="2">
        <v>94</v>
      </c>
      <c r="T1133" s="2">
        <v>17</v>
      </c>
      <c r="U1133" s="2">
        <v>0</v>
      </c>
      <c r="V1133" s="1">
        <f t="shared" ref="V1133:V1147" si="524">AA1133-Y1133-X1133-W1133-U1133</f>
        <v>475</v>
      </c>
      <c r="W1133" s="2">
        <v>8</v>
      </c>
      <c r="X1133" s="2">
        <v>5</v>
      </c>
      <c r="Y1133" s="2">
        <v>2</v>
      </c>
      <c r="Z1133" s="2">
        <f t="shared" si="522"/>
        <v>15</v>
      </c>
      <c r="AA1133" s="2">
        <f t="shared" si="523"/>
        <v>490</v>
      </c>
      <c r="AB1133" s="2">
        <v>3176</v>
      </c>
      <c r="AC1133" s="20">
        <f t="shared" si="506"/>
        <v>15.4282115869018</v>
      </c>
      <c r="AD1133" s="2" t="s">
        <v>934</v>
      </c>
      <c r="AE1133" s="2">
        <v>188</v>
      </c>
      <c r="AF1133" s="21">
        <f t="shared" si="516"/>
        <v>15.4282115869018</v>
      </c>
      <c r="AG1133" s="4">
        <f t="shared" si="517"/>
        <v>14.955919395466</v>
      </c>
      <c r="AH1133" s="4">
        <f t="shared" si="518"/>
        <v>0.472292191435768</v>
      </c>
      <c r="AI1133" s="2">
        <v>3370</v>
      </c>
      <c r="AJ1133" s="2">
        <v>2234</v>
      </c>
      <c r="AK1133" s="2">
        <v>29</v>
      </c>
      <c r="AL1133" s="2">
        <v>1524</v>
      </c>
      <c r="AM1133" s="2">
        <v>340</v>
      </c>
      <c r="AN1133" s="2">
        <v>7</v>
      </c>
      <c r="AO1133" s="2">
        <v>0</v>
      </c>
      <c r="AP1133" s="2">
        <f t="shared" si="519"/>
        <v>7135</v>
      </c>
      <c r="AQ1133" s="2">
        <f t="shared" si="520"/>
        <v>228.246960972489</v>
      </c>
      <c r="AR1133" s="5">
        <f t="shared" si="521"/>
        <v>429.104286628279</v>
      </c>
    </row>
    <row r="1134" spans="1:44">
      <c r="A1134" s="2">
        <v>20260409</v>
      </c>
      <c r="B1134" s="8" t="s">
        <v>2312</v>
      </c>
      <c r="C1134" s="2" t="s">
        <v>2313</v>
      </c>
      <c r="D1134" s="2">
        <v>2</v>
      </c>
      <c r="E1134" s="2">
        <v>2954</v>
      </c>
      <c r="F1134" s="2">
        <v>17</v>
      </c>
      <c r="G1134" s="2">
        <v>4</v>
      </c>
      <c r="H1134" s="2">
        <v>32</v>
      </c>
      <c r="I1134" s="3">
        <v>23</v>
      </c>
      <c r="J1134" s="2">
        <v>196</v>
      </c>
      <c r="K1134" s="2">
        <v>0</v>
      </c>
      <c r="L1134" s="2">
        <v>0</v>
      </c>
      <c r="M1134" s="2">
        <v>1</v>
      </c>
      <c r="N1134" s="2">
        <v>90</v>
      </c>
      <c r="O1134" s="2">
        <v>8</v>
      </c>
      <c r="P1134" s="3">
        <v>7</v>
      </c>
      <c r="Q1134" s="2">
        <v>2</v>
      </c>
      <c r="R1134" s="2">
        <v>46</v>
      </c>
      <c r="S1134" s="2">
        <v>1</v>
      </c>
      <c r="T1134" s="2">
        <v>328</v>
      </c>
      <c r="U1134" s="2">
        <v>0</v>
      </c>
      <c r="V1134" s="1">
        <f t="shared" si="524"/>
        <v>557</v>
      </c>
      <c r="W1134" s="2">
        <v>16</v>
      </c>
      <c r="X1134" s="2">
        <v>18</v>
      </c>
      <c r="Y1134" s="2">
        <v>0</v>
      </c>
      <c r="Z1134" s="2">
        <f t="shared" si="522"/>
        <v>34</v>
      </c>
      <c r="AA1134" s="2">
        <f t="shared" si="523"/>
        <v>591</v>
      </c>
      <c r="AB1134" s="2">
        <v>2797</v>
      </c>
      <c r="AC1134" s="20">
        <f t="shared" si="506"/>
        <v>21.1297819091884</v>
      </c>
      <c r="AD1134" s="2" t="s">
        <v>676</v>
      </c>
      <c r="AE1134" s="2">
        <v>175</v>
      </c>
      <c r="AF1134" s="21">
        <f t="shared" si="516"/>
        <v>22.6994228510138</v>
      </c>
      <c r="AG1134" s="4">
        <f t="shared" si="517"/>
        <v>19.914193779049</v>
      </c>
      <c r="AH1134" s="4">
        <f t="shared" si="518"/>
        <v>1.21558813013944</v>
      </c>
      <c r="AI1134" s="2">
        <v>1008</v>
      </c>
      <c r="AJ1134" s="2">
        <v>253</v>
      </c>
      <c r="AK1134" s="2">
        <v>43</v>
      </c>
      <c r="AL1134" s="2">
        <v>17</v>
      </c>
      <c r="AM1134" s="2">
        <v>24</v>
      </c>
      <c r="AN1134" s="2">
        <v>10</v>
      </c>
      <c r="AO1134" s="2">
        <v>0</v>
      </c>
      <c r="AP1134" s="2">
        <f t="shared" si="519"/>
        <v>1288</v>
      </c>
      <c r="AQ1134" s="2">
        <f t="shared" si="520"/>
        <v>40.5541561712846</v>
      </c>
      <c r="AR1134" s="5">
        <f t="shared" si="521"/>
        <v>76.2418136020151</v>
      </c>
    </row>
    <row r="1135" spans="1:44">
      <c r="A1135" s="2">
        <v>20260409</v>
      </c>
      <c r="B1135" s="2" t="s">
        <v>2314</v>
      </c>
      <c r="C1135" s="2" t="s">
        <v>2315</v>
      </c>
      <c r="D1135" s="2">
        <v>0</v>
      </c>
      <c r="E1135" s="2">
        <v>0</v>
      </c>
      <c r="F1135" s="2">
        <v>2</v>
      </c>
      <c r="G1135" s="2">
        <v>0</v>
      </c>
      <c r="H1135" s="2">
        <v>5</v>
      </c>
      <c r="I1135" s="3">
        <v>50</v>
      </c>
      <c r="J1135" s="2">
        <v>8</v>
      </c>
      <c r="K1135" s="2">
        <v>1</v>
      </c>
      <c r="L1135" s="2">
        <v>0</v>
      </c>
      <c r="M1135" s="2">
        <v>0</v>
      </c>
      <c r="N1135" s="2">
        <v>1</v>
      </c>
      <c r="O1135" s="2">
        <v>0</v>
      </c>
      <c r="P1135" s="3">
        <v>2</v>
      </c>
      <c r="Q1135" s="2">
        <v>3</v>
      </c>
      <c r="R1135" s="2">
        <v>5</v>
      </c>
      <c r="S1135" s="2">
        <v>1</v>
      </c>
      <c r="T1135" s="2">
        <v>2</v>
      </c>
      <c r="U1135" s="2">
        <v>0</v>
      </c>
      <c r="V1135" s="1">
        <f t="shared" si="524"/>
        <v>61</v>
      </c>
      <c r="W1135" s="2">
        <v>2</v>
      </c>
      <c r="X1135" s="2">
        <v>5</v>
      </c>
      <c r="Y1135" s="2">
        <v>0</v>
      </c>
      <c r="Z1135" s="2">
        <f t="shared" si="522"/>
        <v>7</v>
      </c>
      <c r="AA1135" s="2">
        <f t="shared" si="523"/>
        <v>68</v>
      </c>
      <c r="AB1135" s="2">
        <v>1416</v>
      </c>
      <c r="AC1135" s="20">
        <f t="shared" si="506"/>
        <v>4.80225988700565</v>
      </c>
      <c r="AD1135" s="2" t="s">
        <v>676</v>
      </c>
      <c r="AE1135" s="2">
        <v>175</v>
      </c>
      <c r="AF1135" s="21">
        <f t="shared" si="516"/>
        <v>5.1589991928975</v>
      </c>
      <c r="AG1135" s="4">
        <f t="shared" si="517"/>
        <v>4.30790960451977</v>
      </c>
      <c r="AH1135" s="4">
        <f t="shared" si="518"/>
        <v>0.494350282485876</v>
      </c>
      <c r="AI1135" s="2">
        <v>38</v>
      </c>
      <c r="AJ1135" s="2">
        <v>7</v>
      </c>
      <c r="AK1135" s="2">
        <v>0</v>
      </c>
      <c r="AL1135" s="2">
        <v>0</v>
      </c>
      <c r="AM1135" s="2">
        <v>0</v>
      </c>
      <c r="AN1135" s="2">
        <v>0</v>
      </c>
      <c r="AO1135" s="2">
        <v>0</v>
      </c>
      <c r="AP1135" s="2">
        <f t="shared" si="519"/>
        <v>45</v>
      </c>
      <c r="AQ1135" s="2">
        <f t="shared" si="520"/>
        <v>1.60886664283161</v>
      </c>
      <c r="AR1135" s="5">
        <f t="shared" si="521"/>
        <v>3.02466928852342</v>
      </c>
    </row>
    <row r="1136" spans="1:44">
      <c r="A1136" s="2">
        <v>20260409</v>
      </c>
      <c r="B1136" s="2" t="s">
        <v>2316</v>
      </c>
      <c r="C1136" s="2" t="s">
        <v>2317</v>
      </c>
      <c r="D1136" s="2">
        <v>1</v>
      </c>
      <c r="E1136" s="2">
        <v>0</v>
      </c>
      <c r="F1136" s="2">
        <v>1</v>
      </c>
      <c r="G1136" s="2">
        <v>11</v>
      </c>
      <c r="H1136" s="2">
        <v>2</v>
      </c>
      <c r="I1136" s="3">
        <v>2</v>
      </c>
      <c r="J1136" s="2">
        <v>3</v>
      </c>
      <c r="K1136" s="2">
        <v>0</v>
      </c>
      <c r="L1136" s="2">
        <v>0</v>
      </c>
      <c r="M1136" s="2">
        <v>0</v>
      </c>
      <c r="N1136" s="2">
        <v>1</v>
      </c>
      <c r="O1136" s="2">
        <v>3</v>
      </c>
      <c r="P1136" s="3">
        <v>5</v>
      </c>
      <c r="Q1136" s="2">
        <v>0</v>
      </c>
      <c r="R1136" s="2">
        <v>1</v>
      </c>
      <c r="S1136" s="2">
        <v>1</v>
      </c>
      <c r="T1136" s="2">
        <v>0</v>
      </c>
      <c r="U1136" s="2">
        <v>0</v>
      </c>
      <c r="V1136" s="1">
        <f t="shared" si="524"/>
        <v>14</v>
      </c>
      <c r="W1136" s="2">
        <v>7</v>
      </c>
      <c r="X1136" s="2">
        <v>1</v>
      </c>
      <c r="Y1136" s="2">
        <v>1</v>
      </c>
      <c r="Z1136" s="2">
        <f t="shared" si="522"/>
        <v>9</v>
      </c>
      <c r="AA1136" s="2">
        <f t="shared" si="523"/>
        <v>23</v>
      </c>
      <c r="AB1136" s="2">
        <v>2797</v>
      </c>
      <c r="AC1136" s="20">
        <f t="shared" si="506"/>
        <v>0.822309617447265</v>
      </c>
      <c r="AD1136" s="2" t="s">
        <v>676</v>
      </c>
      <c r="AE1136" s="2">
        <v>175</v>
      </c>
      <c r="AF1136" s="21">
        <f t="shared" si="516"/>
        <v>0.883395474743347</v>
      </c>
      <c r="AG1136" s="4">
        <f t="shared" si="517"/>
        <v>0.500536288880944</v>
      </c>
      <c r="AH1136" s="4">
        <f t="shared" si="518"/>
        <v>0.321773328566321</v>
      </c>
      <c r="AI1136" s="2">
        <v>625</v>
      </c>
      <c r="AJ1136" s="2">
        <v>174</v>
      </c>
      <c r="AK1136" s="2">
        <v>30</v>
      </c>
      <c r="AL1136" s="2">
        <v>6</v>
      </c>
      <c r="AM1136" s="2">
        <v>26</v>
      </c>
      <c r="AN1136" s="2">
        <v>3</v>
      </c>
      <c r="AO1136" s="2">
        <v>0</v>
      </c>
      <c r="AP1136" s="2">
        <f t="shared" si="519"/>
        <v>808</v>
      </c>
      <c r="AQ1136" s="2">
        <f t="shared" si="520"/>
        <v>57.0621468926554</v>
      </c>
      <c r="AR1136" s="5">
        <f t="shared" si="521"/>
        <v>107.276836158192</v>
      </c>
    </row>
    <row r="1137" spans="1:44">
      <c r="A1137" s="2">
        <v>20260409</v>
      </c>
      <c r="B1137" s="2" t="s">
        <v>2318</v>
      </c>
      <c r="C1137" s="2" t="s">
        <v>2319</v>
      </c>
      <c r="D1137" s="2">
        <v>3</v>
      </c>
      <c r="E1137" s="2">
        <v>2</v>
      </c>
      <c r="F1137" s="2">
        <v>3</v>
      </c>
      <c r="G1137" s="2">
        <v>4</v>
      </c>
      <c r="H1137" s="2">
        <v>9</v>
      </c>
      <c r="I1137" s="3">
        <v>19</v>
      </c>
      <c r="J1137" s="2">
        <v>15</v>
      </c>
      <c r="K1137" s="2">
        <v>2</v>
      </c>
      <c r="L1137" s="2">
        <v>0</v>
      </c>
      <c r="M1137" s="2">
        <v>7</v>
      </c>
      <c r="N1137" s="2">
        <v>7</v>
      </c>
      <c r="O1137" s="2">
        <v>19</v>
      </c>
      <c r="P1137" s="3">
        <v>8</v>
      </c>
      <c r="Q1137" s="2">
        <v>6</v>
      </c>
      <c r="R1137" s="2">
        <v>15</v>
      </c>
      <c r="S1137" s="2">
        <v>2</v>
      </c>
      <c r="T1137" s="2">
        <v>3</v>
      </c>
      <c r="U1137" s="2">
        <v>0</v>
      </c>
      <c r="V1137" s="1">
        <f t="shared" si="524"/>
        <v>48</v>
      </c>
      <c r="W1137" s="2">
        <v>14</v>
      </c>
      <c r="X1137" s="2">
        <v>4</v>
      </c>
      <c r="Y1137" s="2">
        <v>1</v>
      </c>
      <c r="Z1137" s="2">
        <f t="shared" si="522"/>
        <v>19</v>
      </c>
      <c r="AA1137" s="2">
        <f t="shared" si="523"/>
        <v>67</v>
      </c>
      <c r="AB1137" s="2">
        <v>2798</v>
      </c>
      <c r="AC1137" s="20">
        <f t="shared" si="506"/>
        <v>2.39456754824875</v>
      </c>
      <c r="AD1137" s="2" t="s">
        <v>676</v>
      </c>
      <c r="AE1137" s="2">
        <v>175</v>
      </c>
      <c r="AF1137" s="21">
        <f t="shared" si="516"/>
        <v>2.5724497089758</v>
      </c>
      <c r="AG1137" s="4">
        <f t="shared" si="517"/>
        <v>1.71551107934239</v>
      </c>
      <c r="AH1137" s="4">
        <f t="shared" si="518"/>
        <v>0.679056468906362</v>
      </c>
      <c r="AI1137" s="2">
        <v>1044</v>
      </c>
      <c r="AJ1137" s="2">
        <v>159</v>
      </c>
      <c r="AK1137" s="2">
        <v>30</v>
      </c>
      <c r="AL1137" s="2">
        <v>13</v>
      </c>
      <c r="AM1137" s="2">
        <v>29</v>
      </c>
      <c r="AN1137" s="2">
        <v>7</v>
      </c>
      <c r="AO1137" s="2">
        <v>0</v>
      </c>
      <c r="AP1137" s="2">
        <f t="shared" si="519"/>
        <v>1223</v>
      </c>
      <c r="AQ1137" s="2">
        <f t="shared" si="520"/>
        <v>43.7254200929567</v>
      </c>
      <c r="AR1137" s="5">
        <f t="shared" si="521"/>
        <v>82.2037897747587</v>
      </c>
    </row>
    <row r="1138" spans="1:44">
      <c r="A1138" s="2">
        <v>20260409</v>
      </c>
      <c r="B1138" s="2" t="s">
        <v>2320</v>
      </c>
      <c r="C1138" s="2" t="s">
        <v>2321</v>
      </c>
      <c r="D1138" s="2">
        <v>2</v>
      </c>
      <c r="E1138" s="2">
        <v>7</v>
      </c>
      <c r="F1138" s="2">
        <v>0</v>
      </c>
      <c r="G1138" s="2">
        <v>4</v>
      </c>
      <c r="H1138" s="2">
        <v>5</v>
      </c>
      <c r="I1138" s="3">
        <v>9</v>
      </c>
      <c r="J1138" s="2">
        <v>12</v>
      </c>
      <c r="K1138" s="2">
        <v>1</v>
      </c>
      <c r="L1138" s="2">
        <v>0</v>
      </c>
      <c r="M1138" s="2">
        <v>3</v>
      </c>
      <c r="N1138" s="2">
        <v>2</v>
      </c>
      <c r="O1138" s="2">
        <v>8</v>
      </c>
      <c r="P1138" s="3">
        <v>7</v>
      </c>
      <c r="Q1138" s="2">
        <v>2</v>
      </c>
      <c r="R1138" s="2">
        <v>372</v>
      </c>
      <c r="S1138" s="2">
        <v>2</v>
      </c>
      <c r="T1138" s="2">
        <v>3</v>
      </c>
      <c r="U1138" s="2">
        <v>0</v>
      </c>
      <c r="V1138" s="1">
        <f t="shared" si="524"/>
        <v>36</v>
      </c>
      <c r="W1138" s="2">
        <v>8</v>
      </c>
      <c r="X1138" s="2">
        <v>0</v>
      </c>
      <c r="Y1138" s="2">
        <v>0</v>
      </c>
      <c r="Z1138" s="2">
        <f t="shared" si="522"/>
        <v>8</v>
      </c>
      <c r="AA1138" s="2">
        <f t="shared" si="523"/>
        <v>44</v>
      </c>
      <c r="AB1138" s="2">
        <v>3231</v>
      </c>
      <c r="AC1138" s="20">
        <f t="shared" si="506"/>
        <v>1.36180748994119</v>
      </c>
      <c r="AD1138" s="2" t="s">
        <v>676</v>
      </c>
      <c r="AE1138" s="2">
        <v>165</v>
      </c>
      <c r="AF1138" s="21">
        <f t="shared" si="516"/>
        <v>1.55163520066027</v>
      </c>
      <c r="AG1138" s="4">
        <f t="shared" si="517"/>
        <v>1.1142061281337</v>
      </c>
      <c r="AH1138" s="4">
        <f t="shared" si="518"/>
        <v>0.24760136180749</v>
      </c>
      <c r="AI1138" s="2">
        <v>3303</v>
      </c>
      <c r="AJ1138" s="2">
        <v>298</v>
      </c>
      <c r="AK1138" s="2">
        <v>944</v>
      </c>
      <c r="AL1138" s="2">
        <v>34</v>
      </c>
      <c r="AM1138" s="2">
        <v>34</v>
      </c>
      <c r="AN1138" s="2">
        <v>2</v>
      </c>
      <c r="AO1138" s="2">
        <v>0</v>
      </c>
      <c r="AP1138" s="2">
        <f t="shared" si="519"/>
        <v>3637</v>
      </c>
      <c r="AQ1138" s="2">
        <f t="shared" si="520"/>
        <v>129.985704074339</v>
      </c>
      <c r="AR1138" s="5">
        <f t="shared" si="521"/>
        <v>244.373123659757</v>
      </c>
    </row>
    <row r="1139" spans="1:44">
      <c r="A1139" s="2">
        <v>20260409</v>
      </c>
      <c r="B1139" s="2" t="s">
        <v>2322</v>
      </c>
      <c r="C1139" s="2" t="s">
        <v>2323</v>
      </c>
      <c r="D1139" s="2">
        <v>1</v>
      </c>
      <c r="E1139" s="2">
        <v>6</v>
      </c>
      <c r="F1139" s="2">
        <v>0</v>
      </c>
      <c r="G1139" s="2">
        <v>12</v>
      </c>
      <c r="H1139" s="2">
        <v>10</v>
      </c>
      <c r="I1139" s="3">
        <v>21</v>
      </c>
      <c r="J1139" s="2">
        <v>18</v>
      </c>
      <c r="K1139" s="2">
        <v>2</v>
      </c>
      <c r="L1139" s="2">
        <v>0</v>
      </c>
      <c r="M1139" s="2">
        <v>6</v>
      </c>
      <c r="N1139" s="2">
        <v>2</v>
      </c>
      <c r="O1139" s="2">
        <v>11</v>
      </c>
      <c r="P1139" s="3">
        <v>7</v>
      </c>
      <c r="Q1139" s="2">
        <v>3</v>
      </c>
      <c r="R1139" s="2">
        <v>399</v>
      </c>
      <c r="S1139" s="2">
        <v>5</v>
      </c>
      <c r="T1139" s="2">
        <v>16</v>
      </c>
      <c r="U1139" s="2">
        <v>0</v>
      </c>
      <c r="V1139" s="1">
        <f t="shared" si="524"/>
        <v>86</v>
      </c>
      <c r="W1139" s="2">
        <v>6</v>
      </c>
      <c r="X1139" s="2">
        <v>0</v>
      </c>
      <c r="Y1139" s="2">
        <v>0</v>
      </c>
      <c r="Z1139" s="2">
        <f t="shared" si="522"/>
        <v>6</v>
      </c>
      <c r="AA1139" s="2">
        <f t="shared" si="523"/>
        <v>92</v>
      </c>
      <c r="AB1139" s="2">
        <v>2980</v>
      </c>
      <c r="AC1139" s="20">
        <f t="shared" si="506"/>
        <v>3.08724832214765</v>
      </c>
      <c r="AD1139" s="2" t="s">
        <v>676</v>
      </c>
      <c r="AE1139" s="2">
        <v>165</v>
      </c>
      <c r="AF1139" s="21">
        <f t="shared" si="516"/>
        <v>3.51759202765914</v>
      </c>
      <c r="AG1139" s="4">
        <f t="shared" si="517"/>
        <v>2.88590604026846</v>
      </c>
      <c r="AH1139" s="4">
        <f t="shared" si="518"/>
        <v>0.201342281879195</v>
      </c>
      <c r="AI1139" s="2">
        <v>2037</v>
      </c>
      <c r="AJ1139" s="2">
        <v>315</v>
      </c>
      <c r="AK1139" s="2">
        <v>1007</v>
      </c>
      <c r="AL1139" s="2">
        <v>26</v>
      </c>
      <c r="AM1139" s="2">
        <v>22</v>
      </c>
      <c r="AN1139" s="2">
        <v>8</v>
      </c>
      <c r="AO1139" s="2">
        <v>0</v>
      </c>
      <c r="AP1139" s="2">
        <f t="shared" si="519"/>
        <v>2386</v>
      </c>
      <c r="AQ1139" s="2">
        <f t="shared" si="520"/>
        <v>73.8471061590839</v>
      </c>
      <c r="AR1139" s="5">
        <f t="shared" si="521"/>
        <v>138.832559579078</v>
      </c>
    </row>
    <row r="1140" spans="1:44">
      <c r="A1140" s="2">
        <v>20260409</v>
      </c>
      <c r="B1140" s="2" t="s">
        <v>2324</v>
      </c>
      <c r="C1140" s="2" t="s">
        <v>2325</v>
      </c>
      <c r="D1140" s="2">
        <v>4</v>
      </c>
      <c r="E1140" s="2">
        <v>1</v>
      </c>
      <c r="F1140" s="2">
        <v>8</v>
      </c>
      <c r="G1140" s="2">
        <v>30</v>
      </c>
      <c r="H1140" s="2">
        <v>12</v>
      </c>
      <c r="I1140" s="3">
        <v>12</v>
      </c>
      <c r="J1140" s="2">
        <v>25</v>
      </c>
      <c r="K1140" s="2">
        <v>1</v>
      </c>
      <c r="L1140" s="2">
        <v>0</v>
      </c>
      <c r="M1140" s="2">
        <v>4</v>
      </c>
      <c r="N1140" s="2">
        <v>11</v>
      </c>
      <c r="O1140" s="2">
        <v>14</v>
      </c>
      <c r="P1140" s="3">
        <v>9</v>
      </c>
      <c r="Q1140" s="2">
        <v>9</v>
      </c>
      <c r="R1140" s="2">
        <v>173</v>
      </c>
      <c r="S1140" s="2">
        <v>12</v>
      </c>
      <c r="T1140" s="2">
        <v>25</v>
      </c>
      <c r="U1140" s="2">
        <v>1</v>
      </c>
      <c r="V1140" s="1">
        <f t="shared" si="524"/>
        <v>104</v>
      </c>
      <c r="W1140" s="2">
        <v>14</v>
      </c>
      <c r="X1140" s="2">
        <v>0</v>
      </c>
      <c r="Y1140" s="2">
        <v>0</v>
      </c>
      <c r="Z1140" s="2">
        <f t="shared" si="522"/>
        <v>15</v>
      </c>
      <c r="AA1140" s="2">
        <f t="shared" si="523"/>
        <v>119</v>
      </c>
      <c r="AB1140" s="2">
        <v>3490</v>
      </c>
      <c r="AC1140" s="20">
        <f t="shared" ref="AC1140:AC1167" si="525">AA1140/AB1140*100</f>
        <v>3.40974212034384</v>
      </c>
      <c r="AD1140" s="2" t="s">
        <v>676</v>
      </c>
      <c r="AE1140" s="2">
        <v>165</v>
      </c>
      <c r="AF1140" s="21">
        <f t="shared" si="516"/>
        <v>3.88503950681601</v>
      </c>
      <c r="AG1140" s="4">
        <f t="shared" si="517"/>
        <v>2.97994269340974</v>
      </c>
      <c r="AH1140" s="4">
        <f t="shared" si="518"/>
        <v>0.429799426934097</v>
      </c>
      <c r="AI1140" s="2">
        <v>1815</v>
      </c>
      <c r="AJ1140" s="2">
        <v>344</v>
      </c>
      <c r="AK1140" s="2">
        <v>1235</v>
      </c>
      <c r="AL1140" s="2">
        <v>30</v>
      </c>
      <c r="AM1140" s="2">
        <v>45</v>
      </c>
      <c r="AN1140" s="2">
        <v>10</v>
      </c>
      <c r="AO1140" s="2">
        <v>0</v>
      </c>
      <c r="AP1140" s="2">
        <f t="shared" si="519"/>
        <v>2199</v>
      </c>
      <c r="AQ1140" s="2">
        <f t="shared" si="520"/>
        <v>73.7919463087248</v>
      </c>
      <c r="AR1140" s="5">
        <f t="shared" si="521"/>
        <v>138.728859060403</v>
      </c>
    </row>
    <row r="1141" spans="1:44">
      <c r="A1141" s="2">
        <v>20260409</v>
      </c>
      <c r="B1141" s="2" t="s">
        <v>2326</v>
      </c>
      <c r="C1141" s="2" t="s">
        <v>2327</v>
      </c>
      <c r="D1141" s="2">
        <v>1</v>
      </c>
      <c r="E1141" s="2">
        <v>2</v>
      </c>
      <c r="F1141" s="2">
        <v>11</v>
      </c>
      <c r="G1141" s="2">
        <v>10</v>
      </c>
      <c r="H1141" s="2">
        <v>3</v>
      </c>
      <c r="I1141" s="3">
        <v>11</v>
      </c>
      <c r="J1141" s="2">
        <v>34</v>
      </c>
      <c r="K1141" s="2">
        <v>0</v>
      </c>
      <c r="L1141" s="2">
        <v>0</v>
      </c>
      <c r="M1141" s="2">
        <v>2</v>
      </c>
      <c r="N1141" s="2">
        <v>5</v>
      </c>
      <c r="O1141" s="2">
        <v>2</v>
      </c>
      <c r="P1141" s="3">
        <v>13</v>
      </c>
      <c r="Q1141" s="2">
        <v>2</v>
      </c>
      <c r="R1141" s="2">
        <v>95</v>
      </c>
      <c r="S1141" s="2">
        <v>3</v>
      </c>
      <c r="T1141" s="2">
        <v>2</v>
      </c>
      <c r="U1141" s="2">
        <v>0</v>
      </c>
      <c r="V1141" s="1">
        <f t="shared" si="524"/>
        <v>52</v>
      </c>
      <c r="W1141" s="2">
        <v>23</v>
      </c>
      <c r="X1141" s="2">
        <v>0</v>
      </c>
      <c r="Y1141" s="2">
        <v>0</v>
      </c>
      <c r="Z1141" s="2">
        <f t="shared" si="522"/>
        <v>23</v>
      </c>
      <c r="AA1141" s="2">
        <f t="shared" si="523"/>
        <v>75</v>
      </c>
      <c r="AB1141" s="2">
        <v>2980</v>
      </c>
      <c r="AC1141" s="20">
        <f t="shared" si="525"/>
        <v>2.51677852348993</v>
      </c>
      <c r="AD1141" s="2" t="s">
        <v>676</v>
      </c>
      <c r="AE1141" s="2">
        <v>165</v>
      </c>
      <c r="AF1141" s="21">
        <f t="shared" si="516"/>
        <v>2.86760219646126</v>
      </c>
      <c r="AG1141" s="4">
        <f t="shared" si="517"/>
        <v>1.74496644295302</v>
      </c>
      <c r="AH1141" s="4">
        <f t="shared" si="518"/>
        <v>0.771812080536913</v>
      </c>
      <c r="AI1141" s="2">
        <v>2532</v>
      </c>
      <c r="AJ1141" s="2">
        <v>286</v>
      </c>
      <c r="AK1141" s="2">
        <v>931</v>
      </c>
      <c r="AL1141" s="2">
        <v>47</v>
      </c>
      <c r="AM1141" s="2">
        <v>86</v>
      </c>
      <c r="AN1141" s="2">
        <v>6</v>
      </c>
      <c r="AO1141" s="2">
        <v>0</v>
      </c>
      <c r="AP1141" s="2">
        <f t="shared" si="519"/>
        <v>2871</v>
      </c>
      <c r="AQ1141" s="2">
        <f t="shared" si="520"/>
        <v>82.2636103151862</v>
      </c>
      <c r="AR1141" s="5">
        <f t="shared" si="521"/>
        <v>154.65558739255</v>
      </c>
    </row>
    <row r="1142" spans="1:44">
      <c r="A1142" s="2">
        <v>20260409</v>
      </c>
      <c r="B1142" s="2" t="s">
        <v>2328</v>
      </c>
      <c r="C1142" s="2" t="s">
        <v>2329</v>
      </c>
      <c r="D1142" s="2">
        <v>1</v>
      </c>
      <c r="E1142" s="2">
        <v>9</v>
      </c>
      <c r="F1142" s="2">
        <v>6</v>
      </c>
      <c r="G1142" s="2">
        <v>0</v>
      </c>
      <c r="H1142" s="2">
        <v>19</v>
      </c>
      <c r="I1142" s="3">
        <v>27</v>
      </c>
      <c r="J1142" s="2">
        <v>20</v>
      </c>
      <c r="K1142" s="2">
        <v>7</v>
      </c>
      <c r="L1142" s="2">
        <v>1</v>
      </c>
      <c r="M1142" s="2">
        <v>51</v>
      </c>
      <c r="N1142" s="2">
        <v>39</v>
      </c>
      <c r="O1142" s="2">
        <v>4</v>
      </c>
      <c r="P1142" s="3">
        <v>4</v>
      </c>
      <c r="Q1142" s="2">
        <v>5</v>
      </c>
      <c r="R1142" s="2">
        <v>73</v>
      </c>
      <c r="S1142" s="2">
        <v>0</v>
      </c>
      <c r="T1142" s="2">
        <v>8</v>
      </c>
      <c r="U1142" s="2">
        <v>1</v>
      </c>
      <c r="V1142" s="1">
        <f t="shared" si="524"/>
        <v>111</v>
      </c>
      <c r="W1142" s="2">
        <v>19</v>
      </c>
      <c r="X1142" s="2">
        <v>5</v>
      </c>
      <c r="Y1142" s="2">
        <v>2</v>
      </c>
      <c r="Z1142" s="2">
        <f t="shared" si="522"/>
        <v>27</v>
      </c>
      <c r="AA1142" s="2">
        <f t="shared" si="523"/>
        <v>138</v>
      </c>
      <c r="AB1142" s="2">
        <v>3110</v>
      </c>
      <c r="AC1142" s="20">
        <f t="shared" si="525"/>
        <v>4.43729903536977</v>
      </c>
      <c r="AD1142" s="2" t="s">
        <v>58</v>
      </c>
      <c r="AE1142" s="2">
        <v>100</v>
      </c>
      <c r="AF1142" s="21">
        <f t="shared" si="516"/>
        <v>8.34212218649518</v>
      </c>
      <c r="AG1142" s="4">
        <f t="shared" si="517"/>
        <v>3.56913183279743</v>
      </c>
      <c r="AH1142" s="4">
        <f t="shared" si="518"/>
        <v>0.868167202572347</v>
      </c>
      <c r="AI1142" s="2">
        <v>7869</v>
      </c>
      <c r="AJ1142" s="2">
        <v>690</v>
      </c>
      <c r="AK1142" s="2">
        <v>1226</v>
      </c>
      <c r="AL1142" s="2">
        <v>328</v>
      </c>
      <c r="AM1142" s="2">
        <v>225</v>
      </c>
      <c r="AN1142" s="2">
        <v>16</v>
      </c>
      <c r="AO1142" s="2">
        <v>0</v>
      </c>
      <c r="AP1142" s="2">
        <f t="shared" si="519"/>
        <v>8903</v>
      </c>
      <c r="AQ1142" s="2">
        <f t="shared" si="520"/>
        <v>298.758389261745</v>
      </c>
      <c r="AR1142" s="5">
        <f t="shared" si="521"/>
        <v>561.66577181208</v>
      </c>
    </row>
    <row r="1143" spans="1:44">
      <c r="A1143" s="2">
        <v>20260409</v>
      </c>
      <c r="B1143" s="2" t="s">
        <v>2330</v>
      </c>
      <c r="C1143" s="2" t="s">
        <v>2331</v>
      </c>
      <c r="D1143" s="2">
        <v>1</v>
      </c>
      <c r="E1143" s="2">
        <v>9</v>
      </c>
      <c r="F1143" s="2">
        <v>14</v>
      </c>
      <c r="G1143" s="2">
        <v>5</v>
      </c>
      <c r="H1143" s="2">
        <v>19</v>
      </c>
      <c r="I1143" s="3">
        <v>37</v>
      </c>
      <c r="J1143" s="2">
        <v>15</v>
      </c>
      <c r="K1143" s="2">
        <v>3</v>
      </c>
      <c r="L1143" s="2">
        <v>2</v>
      </c>
      <c r="M1143" s="2">
        <v>23</v>
      </c>
      <c r="N1143" s="2">
        <v>63</v>
      </c>
      <c r="O1143" s="2">
        <v>6</v>
      </c>
      <c r="P1143" s="3">
        <v>17</v>
      </c>
      <c r="Q1143" s="2">
        <v>5</v>
      </c>
      <c r="R1143" s="2">
        <v>136</v>
      </c>
      <c r="S1143" s="2">
        <v>3</v>
      </c>
      <c r="T1143" s="2">
        <v>9</v>
      </c>
      <c r="U1143" s="2">
        <v>1</v>
      </c>
      <c r="V1143" s="1">
        <f t="shared" si="524"/>
        <v>115</v>
      </c>
      <c r="W1143" s="2">
        <v>12</v>
      </c>
      <c r="X1143" s="2">
        <v>3</v>
      </c>
      <c r="Y1143" s="2">
        <v>0</v>
      </c>
      <c r="Z1143" s="2">
        <f t="shared" si="522"/>
        <v>16</v>
      </c>
      <c r="AA1143" s="2">
        <f t="shared" si="523"/>
        <v>131</v>
      </c>
      <c r="AB1143" s="2">
        <v>6156</v>
      </c>
      <c r="AC1143" s="20">
        <f t="shared" si="525"/>
        <v>2.12800519818064</v>
      </c>
      <c r="AD1143" s="2" t="s">
        <v>58</v>
      </c>
      <c r="AE1143" s="2">
        <v>100</v>
      </c>
      <c r="AF1143" s="21">
        <f t="shared" si="516"/>
        <v>4.0006497725796</v>
      </c>
      <c r="AG1143" s="4">
        <f t="shared" si="517"/>
        <v>1.86809616634178</v>
      </c>
      <c r="AH1143" s="4">
        <f t="shared" si="518"/>
        <v>0.259909031838856</v>
      </c>
      <c r="AI1143" s="2">
        <v>14309</v>
      </c>
      <c r="AJ1143" s="2">
        <v>1226</v>
      </c>
      <c r="AK1143" s="2">
        <v>2195</v>
      </c>
      <c r="AL1143" s="2">
        <v>343</v>
      </c>
      <c r="AM1143" s="2">
        <v>262</v>
      </c>
      <c r="AN1143" s="2">
        <v>12</v>
      </c>
      <c r="AO1143" s="2">
        <v>0</v>
      </c>
      <c r="AP1143" s="2">
        <f t="shared" si="519"/>
        <v>15890</v>
      </c>
      <c r="AQ1143" s="2">
        <f t="shared" si="520"/>
        <v>510.932475884244</v>
      </c>
      <c r="AR1143" s="5">
        <f t="shared" si="521"/>
        <v>960.553054662379</v>
      </c>
    </row>
    <row r="1144" spans="1:44">
      <c r="A1144" s="2">
        <v>20260409</v>
      </c>
      <c r="B1144" s="2" t="s">
        <v>2332</v>
      </c>
      <c r="C1144" s="2" t="s">
        <v>2333</v>
      </c>
      <c r="D1144" s="2">
        <v>3</v>
      </c>
      <c r="E1144" s="2">
        <v>198</v>
      </c>
      <c r="F1144" s="2">
        <v>36</v>
      </c>
      <c r="G1144" s="2">
        <v>11</v>
      </c>
      <c r="H1144" s="2">
        <v>31</v>
      </c>
      <c r="I1144" s="3">
        <v>49</v>
      </c>
      <c r="J1144" s="2">
        <v>22</v>
      </c>
      <c r="K1144" s="2">
        <v>8</v>
      </c>
      <c r="L1144" s="2">
        <v>2</v>
      </c>
      <c r="M1144" s="2">
        <v>31</v>
      </c>
      <c r="N1144" s="2">
        <v>48</v>
      </c>
      <c r="O1144" s="2">
        <v>56</v>
      </c>
      <c r="P1144" s="3">
        <v>14</v>
      </c>
      <c r="Q1144" s="2">
        <v>20</v>
      </c>
      <c r="R1144" s="2">
        <v>56</v>
      </c>
      <c r="S1144" s="2">
        <v>0</v>
      </c>
      <c r="T1144" s="2">
        <v>22</v>
      </c>
      <c r="U1144" s="2">
        <v>2</v>
      </c>
      <c r="V1144" s="1">
        <f t="shared" si="524"/>
        <v>148</v>
      </c>
      <c r="W1144" s="2">
        <v>26</v>
      </c>
      <c r="X1144" s="2">
        <v>15</v>
      </c>
      <c r="Y1144" s="2">
        <v>1</v>
      </c>
      <c r="Z1144" s="2">
        <f t="shared" si="522"/>
        <v>44</v>
      </c>
      <c r="AA1144" s="2">
        <f t="shared" si="523"/>
        <v>192</v>
      </c>
      <c r="AB1144" s="2">
        <v>6436</v>
      </c>
      <c r="AC1144" s="20">
        <f t="shared" si="525"/>
        <v>2.98321939092604</v>
      </c>
      <c r="AD1144" s="2" t="s">
        <v>58</v>
      </c>
      <c r="AE1144" s="2">
        <v>100</v>
      </c>
      <c r="AF1144" s="21">
        <f t="shared" si="516"/>
        <v>5.60845245494096</v>
      </c>
      <c r="AG1144" s="4">
        <f t="shared" si="517"/>
        <v>2.29956494717216</v>
      </c>
      <c r="AH1144" s="4">
        <f t="shared" si="518"/>
        <v>0.683654443753884</v>
      </c>
      <c r="AO1144" s="2">
        <v>0</v>
      </c>
      <c r="AP1144" s="2">
        <f t="shared" si="519"/>
        <v>0</v>
      </c>
      <c r="AQ1144" s="2">
        <f t="shared" si="520"/>
        <v>0</v>
      </c>
      <c r="AR1144" s="5">
        <f t="shared" si="521"/>
        <v>0</v>
      </c>
    </row>
    <row r="1145" spans="1:44">
      <c r="A1145" s="2">
        <v>20260409</v>
      </c>
      <c r="B1145" s="2" t="s">
        <v>2334</v>
      </c>
      <c r="C1145" s="2" t="s">
        <v>2335</v>
      </c>
      <c r="D1145" s="2">
        <v>3</v>
      </c>
      <c r="E1145" s="2">
        <v>8</v>
      </c>
      <c r="F1145" s="2">
        <v>4</v>
      </c>
      <c r="G1145" s="2">
        <v>7</v>
      </c>
      <c r="H1145" s="2">
        <v>17</v>
      </c>
      <c r="I1145" s="3">
        <v>25</v>
      </c>
      <c r="J1145" s="2">
        <v>13</v>
      </c>
      <c r="K1145" s="2">
        <v>7</v>
      </c>
      <c r="L1145" s="2">
        <v>1</v>
      </c>
      <c r="M1145" s="2">
        <v>24</v>
      </c>
      <c r="N1145" s="2">
        <v>31</v>
      </c>
      <c r="O1145" s="2">
        <v>6</v>
      </c>
      <c r="P1145" s="3">
        <v>6</v>
      </c>
      <c r="Q1145" s="2">
        <v>4</v>
      </c>
      <c r="R1145" s="2">
        <v>61</v>
      </c>
      <c r="S1145" s="2">
        <v>0</v>
      </c>
      <c r="T1145" s="2">
        <v>12</v>
      </c>
      <c r="U1145" s="2">
        <v>1</v>
      </c>
      <c r="V1145" s="1">
        <f t="shared" si="524"/>
        <v>88</v>
      </c>
      <c r="W1145" s="2">
        <v>18</v>
      </c>
      <c r="X1145" s="2">
        <v>6</v>
      </c>
      <c r="Y1145" s="2">
        <v>0</v>
      </c>
      <c r="Z1145" s="2">
        <f t="shared" si="522"/>
        <v>25</v>
      </c>
      <c r="AA1145" s="2">
        <f t="shared" si="523"/>
        <v>113</v>
      </c>
      <c r="AB1145" s="2">
        <v>6404</v>
      </c>
      <c r="AC1145" s="20">
        <f t="shared" si="525"/>
        <v>1.76452217364147</v>
      </c>
      <c r="AD1145" s="2" t="s">
        <v>58</v>
      </c>
      <c r="AE1145" s="2">
        <v>100</v>
      </c>
      <c r="AF1145" s="21">
        <f t="shared" si="516"/>
        <v>3.31730168644597</v>
      </c>
      <c r="AG1145" s="4">
        <f t="shared" si="517"/>
        <v>1.37414116177389</v>
      </c>
      <c r="AH1145" s="4">
        <f t="shared" si="518"/>
        <v>0.390381011867583</v>
      </c>
      <c r="AI1145" s="2">
        <v>9434</v>
      </c>
      <c r="AJ1145" s="2">
        <v>1005</v>
      </c>
      <c r="AK1145" s="2">
        <v>1938</v>
      </c>
      <c r="AL1145" s="2">
        <v>233</v>
      </c>
      <c r="AM1145" s="2">
        <v>151</v>
      </c>
      <c r="AN1145" s="2">
        <v>5</v>
      </c>
      <c r="AO1145" s="2">
        <v>0</v>
      </c>
      <c r="AP1145" s="2">
        <f t="shared" si="519"/>
        <v>10677</v>
      </c>
      <c r="AQ1145" s="2">
        <f t="shared" si="520"/>
        <v>165.894965817278</v>
      </c>
      <c r="AR1145" s="5">
        <f t="shared" si="521"/>
        <v>311.882535736482</v>
      </c>
    </row>
    <row r="1146" spans="1:44">
      <c r="A1146" s="2">
        <v>20260409</v>
      </c>
      <c r="B1146" s="2" t="s">
        <v>2336</v>
      </c>
      <c r="C1146" s="2" t="s">
        <v>2337</v>
      </c>
      <c r="D1146" s="2">
        <v>1</v>
      </c>
      <c r="E1146" s="2">
        <v>1</v>
      </c>
      <c r="F1146" s="2">
        <v>6</v>
      </c>
      <c r="G1146" s="2">
        <v>3</v>
      </c>
      <c r="H1146" s="2">
        <v>12</v>
      </c>
      <c r="I1146" s="3">
        <v>26</v>
      </c>
      <c r="J1146" s="2">
        <v>6</v>
      </c>
      <c r="K1146" s="2">
        <v>4</v>
      </c>
      <c r="L1146" s="2">
        <v>0</v>
      </c>
      <c r="M1146" s="2">
        <v>31</v>
      </c>
      <c r="N1146" s="2">
        <v>15</v>
      </c>
      <c r="O1146" s="2">
        <v>2</v>
      </c>
      <c r="P1146" s="3">
        <v>7</v>
      </c>
      <c r="Q1146" s="2">
        <v>1</v>
      </c>
      <c r="R1146" s="2">
        <v>67</v>
      </c>
      <c r="S1146" s="2">
        <v>0</v>
      </c>
      <c r="T1146" s="2">
        <v>8</v>
      </c>
      <c r="U1146" s="2">
        <v>1</v>
      </c>
      <c r="V1146" s="1">
        <f t="shared" si="524"/>
        <v>70</v>
      </c>
      <c r="W1146" s="2">
        <v>22</v>
      </c>
      <c r="X1146" s="2">
        <v>5</v>
      </c>
      <c r="Y1146" s="2">
        <v>0</v>
      </c>
      <c r="Z1146" s="2">
        <f t="shared" si="522"/>
        <v>28</v>
      </c>
      <c r="AA1146" s="2">
        <f t="shared" si="523"/>
        <v>98</v>
      </c>
      <c r="AB1146" s="2">
        <v>6274</v>
      </c>
      <c r="AC1146" s="20">
        <f t="shared" si="525"/>
        <v>1.5620019126554</v>
      </c>
      <c r="AD1146" s="2" t="s">
        <v>58</v>
      </c>
      <c r="AE1146" s="2">
        <v>100</v>
      </c>
      <c r="AF1146" s="21">
        <f t="shared" si="516"/>
        <v>2.93656359579216</v>
      </c>
      <c r="AG1146" s="4">
        <f t="shared" si="517"/>
        <v>1.11571565189672</v>
      </c>
      <c r="AH1146" s="4">
        <f t="shared" si="518"/>
        <v>0.446286260758687</v>
      </c>
      <c r="AI1146" s="2">
        <v>9109</v>
      </c>
      <c r="AJ1146" s="2">
        <v>1119</v>
      </c>
      <c r="AK1146" s="2">
        <v>2183</v>
      </c>
      <c r="AL1146" s="2">
        <v>144</v>
      </c>
      <c r="AM1146" s="2">
        <v>97</v>
      </c>
      <c r="AN1146" s="2">
        <v>1</v>
      </c>
      <c r="AO1146" s="2">
        <v>0</v>
      </c>
      <c r="AP1146" s="2">
        <f t="shared" si="519"/>
        <v>10373</v>
      </c>
      <c r="AQ1146" s="2">
        <f t="shared" si="520"/>
        <v>161.976889444097</v>
      </c>
      <c r="AR1146" s="5">
        <f t="shared" si="521"/>
        <v>304.516552154903</v>
      </c>
    </row>
    <row r="1147" spans="1:44">
      <c r="A1147" s="2">
        <v>20260410</v>
      </c>
      <c r="B1147" s="2" t="s">
        <v>2338</v>
      </c>
      <c r="C1147" s="2" t="s">
        <v>2339</v>
      </c>
      <c r="D1147" s="2">
        <v>5</v>
      </c>
      <c r="E1147" s="2">
        <v>5</v>
      </c>
      <c r="F1147" s="2">
        <v>3</v>
      </c>
      <c r="G1147" s="2">
        <v>3</v>
      </c>
      <c r="H1147" s="2">
        <v>6</v>
      </c>
      <c r="I1147" s="3">
        <v>29</v>
      </c>
      <c r="J1147" s="2">
        <v>7</v>
      </c>
      <c r="K1147" s="2">
        <v>2</v>
      </c>
      <c r="L1147" s="2">
        <v>0</v>
      </c>
      <c r="M1147" s="2">
        <v>18</v>
      </c>
      <c r="N1147" s="2">
        <v>17</v>
      </c>
      <c r="O1147" s="2">
        <v>4</v>
      </c>
      <c r="P1147" s="3">
        <v>6</v>
      </c>
      <c r="Q1147" s="2">
        <v>4</v>
      </c>
      <c r="R1147" s="2">
        <v>54</v>
      </c>
      <c r="S1147" s="2">
        <v>0</v>
      </c>
      <c r="T1147" s="2">
        <v>2</v>
      </c>
      <c r="U1147" s="2">
        <v>0</v>
      </c>
      <c r="V1147" s="1">
        <f t="shared" si="524"/>
        <v>53</v>
      </c>
      <c r="W1147" s="2">
        <v>12</v>
      </c>
      <c r="X1147" s="2">
        <v>8</v>
      </c>
      <c r="Y1147" s="2">
        <v>0</v>
      </c>
      <c r="Z1147" s="2">
        <f t="shared" si="522"/>
        <v>20</v>
      </c>
      <c r="AA1147" s="2">
        <f t="shared" si="523"/>
        <v>73</v>
      </c>
      <c r="AB1147" s="2">
        <v>3109</v>
      </c>
      <c r="AC1147" s="20">
        <f t="shared" si="525"/>
        <v>2.34802187198456</v>
      </c>
      <c r="AD1147" s="2" t="s">
        <v>58</v>
      </c>
      <c r="AE1147" s="2">
        <v>100</v>
      </c>
      <c r="AF1147" s="21">
        <f t="shared" si="516"/>
        <v>4.41428111933097</v>
      </c>
      <c r="AG1147" s="4">
        <f t="shared" si="517"/>
        <v>1.70472820842715</v>
      </c>
      <c r="AH1147" s="4">
        <f t="shared" si="518"/>
        <v>0.643293663557414</v>
      </c>
      <c r="AI1147" s="2">
        <v>4564</v>
      </c>
      <c r="AJ1147" s="2">
        <v>603</v>
      </c>
      <c r="AK1147" s="2">
        <v>1146</v>
      </c>
      <c r="AL1147" s="2">
        <v>71</v>
      </c>
      <c r="AM1147" s="2">
        <v>54</v>
      </c>
      <c r="AN1147" s="2">
        <v>7</v>
      </c>
      <c r="AO1147" s="2">
        <v>0</v>
      </c>
      <c r="AP1147" s="2">
        <f t="shared" si="519"/>
        <v>5245</v>
      </c>
      <c r="AQ1147" s="2">
        <f t="shared" si="520"/>
        <v>83.5989799171183</v>
      </c>
      <c r="AR1147" s="5">
        <f t="shared" si="521"/>
        <v>157.166082244182</v>
      </c>
    </row>
    <row r="1148" spans="1:44">
      <c r="A1148" s="2">
        <v>20260410</v>
      </c>
      <c r="B1148" s="2" t="s">
        <v>2340</v>
      </c>
      <c r="C1148" s="2" t="s">
        <v>2341</v>
      </c>
      <c r="D1148" s="2">
        <v>0</v>
      </c>
      <c r="E1148" s="2">
        <v>3</v>
      </c>
      <c r="F1148" s="2">
        <v>3</v>
      </c>
      <c r="G1148" s="2">
        <v>4</v>
      </c>
      <c r="H1148" s="2">
        <v>12</v>
      </c>
      <c r="I1148" s="3">
        <v>30</v>
      </c>
      <c r="J1148" s="2">
        <v>4</v>
      </c>
      <c r="K1148" s="2">
        <v>4</v>
      </c>
      <c r="L1148" s="2">
        <v>0</v>
      </c>
      <c r="M1148" s="2">
        <v>37</v>
      </c>
      <c r="N1148" s="2">
        <v>14</v>
      </c>
      <c r="O1148" s="2">
        <v>0</v>
      </c>
      <c r="P1148" s="3">
        <v>9</v>
      </c>
      <c r="Q1148" s="2">
        <v>0</v>
      </c>
      <c r="R1148" s="2">
        <v>94</v>
      </c>
      <c r="S1148" s="2">
        <v>0</v>
      </c>
      <c r="T1148" s="2">
        <v>7</v>
      </c>
      <c r="U1148" s="2">
        <v>2</v>
      </c>
      <c r="V1148" s="1">
        <f t="shared" ref="V1148:V1171" si="526">AA1148-Y1148-X1148-W1148-U1148</f>
        <v>81</v>
      </c>
      <c r="W1148" s="2">
        <v>21</v>
      </c>
      <c r="X1148" s="2">
        <v>5</v>
      </c>
      <c r="Y1148" s="2">
        <v>0</v>
      </c>
      <c r="Z1148" s="2">
        <f t="shared" ref="Z1148:Z1163" si="527">Y1148+X1148+W1148+U1148</f>
        <v>28</v>
      </c>
      <c r="AA1148" s="2">
        <f t="shared" ref="AA1148:AA1163" si="528">G1148+H1148+I1148+J1148+K1148+L1148+M1148+P1148+T1148+U1148</f>
        <v>109</v>
      </c>
      <c r="AB1148" s="2">
        <v>6126</v>
      </c>
      <c r="AC1148" s="20">
        <f t="shared" si="525"/>
        <v>1.77930133855697</v>
      </c>
      <c r="AD1148" s="2" t="s">
        <v>58</v>
      </c>
      <c r="AE1148" s="2">
        <v>100</v>
      </c>
      <c r="AF1148" s="21">
        <f t="shared" si="516"/>
        <v>3.3450865164871</v>
      </c>
      <c r="AG1148" s="4">
        <f t="shared" si="517"/>
        <v>1.32223310479922</v>
      </c>
      <c r="AH1148" s="4">
        <f t="shared" si="518"/>
        <v>0.457068233757754</v>
      </c>
      <c r="AI1148" s="2">
        <v>10418</v>
      </c>
      <c r="AJ1148" s="2">
        <v>1256</v>
      </c>
      <c r="AK1148" s="2">
        <v>2319</v>
      </c>
      <c r="AL1148" s="2">
        <v>144</v>
      </c>
      <c r="AM1148" s="2">
        <v>162</v>
      </c>
      <c r="AN1148" s="2">
        <v>50</v>
      </c>
      <c r="AO1148" s="2">
        <v>0</v>
      </c>
      <c r="AP1148" s="2">
        <f t="shared" si="519"/>
        <v>11868</v>
      </c>
      <c r="AQ1148" s="2">
        <f t="shared" si="520"/>
        <v>381.730459954969</v>
      </c>
      <c r="AR1148" s="5">
        <f t="shared" si="521"/>
        <v>717.653264715343</v>
      </c>
    </row>
    <row r="1149" spans="1:44">
      <c r="A1149" s="2">
        <v>20260410</v>
      </c>
      <c r="B1149" s="2" t="s">
        <v>2342</v>
      </c>
      <c r="C1149" s="2" t="s">
        <v>2343</v>
      </c>
      <c r="D1149" s="2">
        <v>0</v>
      </c>
      <c r="E1149" s="2">
        <v>17</v>
      </c>
      <c r="F1149" s="2">
        <v>4</v>
      </c>
      <c r="G1149" s="2">
        <v>4</v>
      </c>
      <c r="H1149" s="2">
        <v>17</v>
      </c>
      <c r="I1149" s="3">
        <v>40</v>
      </c>
      <c r="J1149" s="2">
        <v>14</v>
      </c>
      <c r="K1149" s="2">
        <v>5</v>
      </c>
      <c r="L1149" s="2">
        <v>0</v>
      </c>
      <c r="M1149" s="2">
        <v>27</v>
      </c>
      <c r="N1149" s="2">
        <v>29</v>
      </c>
      <c r="O1149" s="2">
        <v>1</v>
      </c>
      <c r="P1149" s="3">
        <v>11</v>
      </c>
      <c r="Q1149" s="2">
        <v>6</v>
      </c>
      <c r="R1149" s="2">
        <v>88</v>
      </c>
      <c r="S1149" s="2">
        <v>1</v>
      </c>
      <c r="T1149" s="2">
        <v>14</v>
      </c>
      <c r="U1149" s="2">
        <v>1</v>
      </c>
      <c r="V1149" s="1">
        <f t="shared" si="526"/>
        <v>86</v>
      </c>
      <c r="W1149" s="2">
        <v>41</v>
      </c>
      <c r="X1149" s="2">
        <v>5</v>
      </c>
      <c r="Y1149" s="2">
        <v>0</v>
      </c>
      <c r="Z1149" s="2">
        <f t="shared" si="527"/>
        <v>47</v>
      </c>
      <c r="AA1149" s="2">
        <f t="shared" si="528"/>
        <v>133</v>
      </c>
      <c r="AB1149" s="2">
        <v>6624</v>
      </c>
      <c r="AC1149" s="20">
        <f t="shared" si="525"/>
        <v>2.00785024154589</v>
      </c>
      <c r="AD1149" s="2" t="s">
        <v>58</v>
      </c>
      <c r="AE1149" s="2">
        <v>100</v>
      </c>
      <c r="AF1149" s="21">
        <f t="shared" si="516"/>
        <v>3.77475845410628</v>
      </c>
      <c r="AG1149" s="4">
        <f t="shared" si="517"/>
        <v>1.29830917874396</v>
      </c>
      <c r="AH1149" s="4">
        <f t="shared" si="518"/>
        <v>0.709541062801932</v>
      </c>
      <c r="AI1149" s="2">
        <v>10017</v>
      </c>
      <c r="AJ1149" s="2">
        <v>1133</v>
      </c>
      <c r="AK1149" s="2">
        <v>2275</v>
      </c>
      <c r="AL1149" s="2">
        <v>194</v>
      </c>
      <c r="AM1149" s="2">
        <v>149</v>
      </c>
      <c r="AN1149" s="2">
        <v>13</v>
      </c>
      <c r="AO1149" s="2">
        <v>0</v>
      </c>
      <c r="AP1149" s="2">
        <f t="shared" si="519"/>
        <v>11357</v>
      </c>
      <c r="AQ1149" s="2">
        <f t="shared" si="520"/>
        <v>185.390140385243</v>
      </c>
      <c r="AR1149" s="5">
        <f t="shared" si="521"/>
        <v>348.533463924257</v>
      </c>
    </row>
    <row r="1150" spans="1:44">
      <c r="A1150" s="2">
        <v>20260410</v>
      </c>
      <c r="B1150" s="2" t="s">
        <v>2344</v>
      </c>
      <c r="C1150" s="2" t="s">
        <v>2345</v>
      </c>
      <c r="D1150" s="2">
        <v>0</v>
      </c>
      <c r="E1150" s="2">
        <v>3</v>
      </c>
      <c r="F1150" s="2">
        <v>2</v>
      </c>
      <c r="G1150" s="2">
        <v>0</v>
      </c>
      <c r="H1150" s="2">
        <v>6</v>
      </c>
      <c r="I1150" s="3">
        <v>24</v>
      </c>
      <c r="J1150" s="2">
        <v>5</v>
      </c>
      <c r="K1150" s="2">
        <v>0</v>
      </c>
      <c r="L1150" s="2">
        <v>0</v>
      </c>
      <c r="M1150" s="2">
        <v>17</v>
      </c>
      <c r="N1150" s="2">
        <v>20</v>
      </c>
      <c r="O1150" s="2">
        <v>1</v>
      </c>
      <c r="P1150" s="3">
        <v>2</v>
      </c>
      <c r="Q1150" s="2">
        <v>1</v>
      </c>
      <c r="R1150" s="2">
        <v>63</v>
      </c>
      <c r="S1150" s="2">
        <v>0</v>
      </c>
      <c r="T1150" s="2">
        <v>8</v>
      </c>
      <c r="U1150" s="2">
        <v>1</v>
      </c>
      <c r="V1150" s="1">
        <f t="shared" si="526"/>
        <v>35</v>
      </c>
      <c r="W1150" s="2">
        <v>22</v>
      </c>
      <c r="X1150" s="2">
        <v>5</v>
      </c>
      <c r="Y1150" s="2">
        <v>0</v>
      </c>
      <c r="Z1150" s="2">
        <f t="shared" si="527"/>
        <v>28</v>
      </c>
      <c r="AA1150" s="2">
        <f t="shared" si="528"/>
        <v>63</v>
      </c>
      <c r="AB1150" s="2">
        <v>3130</v>
      </c>
      <c r="AC1150" s="20">
        <f t="shared" si="525"/>
        <v>2.01277955271565</v>
      </c>
      <c r="AD1150" s="2" t="s">
        <v>58</v>
      </c>
      <c r="AE1150" s="2">
        <v>100</v>
      </c>
      <c r="AF1150" s="21">
        <f t="shared" si="516"/>
        <v>3.78402555910543</v>
      </c>
      <c r="AG1150" s="4">
        <f t="shared" si="517"/>
        <v>1.11821086261981</v>
      </c>
      <c r="AH1150" s="4">
        <f t="shared" si="518"/>
        <v>0.894568690095847</v>
      </c>
      <c r="AI1150" s="2">
        <v>4270</v>
      </c>
      <c r="AJ1150" s="2">
        <v>495</v>
      </c>
      <c r="AK1150" s="2">
        <v>1056</v>
      </c>
      <c r="AL1150" s="2">
        <v>55</v>
      </c>
      <c r="AM1150" s="2">
        <v>48</v>
      </c>
      <c r="AN1150" s="2">
        <v>6</v>
      </c>
      <c r="AO1150" s="2">
        <v>0</v>
      </c>
      <c r="AP1150" s="2">
        <f t="shared" si="519"/>
        <v>4826</v>
      </c>
      <c r="AQ1150" s="2">
        <f t="shared" si="520"/>
        <v>72.8562801932367</v>
      </c>
      <c r="AR1150" s="5">
        <f t="shared" si="521"/>
        <v>136.969806763285</v>
      </c>
    </row>
    <row r="1151" spans="1:44">
      <c r="A1151" s="2">
        <v>20260410</v>
      </c>
      <c r="B1151" s="2" t="s">
        <v>2346</v>
      </c>
      <c r="C1151" s="2" t="s">
        <v>2347</v>
      </c>
      <c r="D1151" s="2">
        <v>29</v>
      </c>
      <c r="E1151" s="2">
        <v>19</v>
      </c>
      <c r="F1151" s="2">
        <v>10</v>
      </c>
      <c r="G1151" s="2">
        <v>32</v>
      </c>
      <c r="H1151" s="2">
        <v>188</v>
      </c>
      <c r="I1151" s="3">
        <v>1606</v>
      </c>
      <c r="J1151" s="2">
        <v>187</v>
      </c>
      <c r="K1151" s="2">
        <v>53</v>
      </c>
      <c r="L1151" s="2">
        <v>8</v>
      </c>
      <c r="M1151" s="2">
        <v>1150</v>
      </c>
      <c r="N1151" s="2">
        <v>163</v>
      </c>
      <c r="O1151" s="2">
        <v>1</v>
      </c>
      <c r="P1151" s="3">
        <v>174</v>
      </c>
      <c r="Q1151" s="2">
        <v>14</v>
      </c>
      <c r="R1151" s="2">
        <v>124</v>
      </c>
      <c r="S1151" s="2">
        <v>14</v>
      </c>
      <c r="T1151" s="2">
        <v>23</v>
      </c>
      <c r="U1151" s="2">
        <v>5</v>
      </c>
      <c r="V1151" s="1">
        <v>0</v>
      </c>
      <c r="W1151" s="2">
        <v>3</v>
      </c>
      <c r="X1151" s="2">
        <v>9</v>
      </c>
      <c r="Y1151" s="2">
        <v>0</v>
      </c>
      <c r="Z1151" s="2">
        <f t="shared" si="527"/>
        <v>17</v>
      </c>
      <c r="AA1151" s="2">
        <f t="shared" si="528"/>
        <v>3426</v>
      </c>
      <c r="AB1151" s="2">
        <v>6726</v>
      </c>
      <c r="AC1151" s="20">
        <f t="shared" si="525"/>
        <v>50.9366636931311</v>
      </c>
      <c r="AD1151" s="2" t="s">
        <v>58</v>
      </c>
      <c r="AE1151" s="2">
        <v>100</v>
      </c>
      <c r="AF1151" s="21">
        <f t="shared" si="516"/>
        <v>95.7609277430865</v>
      </c>
      <c r="AG1151" s="4">
        <f t="shared" si="517"/>
        <v>0</v>
      </c>
      <c r="AH1151" s="4">
        <f t="shared" si="518"/>
        <v>0.252750520368718</v>
      </c>
      <c r="AI1151" s="2">
        <v>13061</v>
      </c>
      <c r="AJ1151" s="2">
        <v>9644</v>
      </c>
      <c r="AK1151" s="2">
        <v>2358</v>
      </c>
      <c r="AL1151" s="2">
        <v>1142</v>
      </c>
      <c r="AM1151" s="2">
        <v>3773</v>
      </c>
      <c r="AN1151" s="2">
        <v>1705</v>
      </c>
      <c r="AO1151" s="2">
        <v>0</v>
      </c>
      <c r="AP1151" s="2">
        <f t="shared" si="519"/>
        <v>25552</v>
      </c>
      <c r="AQ1151" s="2">
        <f t="shared" si="520"/>
        <v>816.357827476038</v>
      </c>
      <c r="AR1151" s="5">
        <f t="shared" si="521"/>
        <v>1534.75271565495</v>
      </c>
    </row>
    <row r="1152" spans="1:44">
      <c r="A1152" s="2">
        <v>20260410</v>
      </c>
      <c r="B1152" s="2" t="s">
        <v>2348</v>
      </c>
      <c r="C1152" s="2" t="s">
        <v>2349</v>
      </c>
      <c r="D1152" s="2">
        <v>0</v>
      </c>
      <c r="E1152" s="2">
        <v>6</v>
      </c>
      <c r="F1152" s="2">
        <v>4</v>
      </c>
      <c r="G1152" s="2">
        <v>1</v>
      </c>
      <c r="H1152" s="2">
        <v>0</v>
      </c>
      <c r="I1152" s="3">
        <v>13</v>
      </c>
      <c r="J1152" s="2">
        <v>2</v>
      </c>
      <c r="K1152" s="2">
        <v>2</v>
      </c>
      <c r="L1152" s="2">
        <v>1</v>
      </c>
      <c r="M1152" s="2">
        <v>4</v>
      </c>
      <c r="N1152" s="2">
        <v>19</v>
      </c>
      <c r="O1152" s="2">
        <v>3</v>
      </c>
      <c r="P1152" s="3">
        <v>0</v>
      </c>
      <c r="Q1152" s="2">
        <v>3</v>
      </c>
      <c r="R1152" s="2">
        <v>42</v>
      </c>
      <c r="S1152" s="2">
        <v>0</v>
      </c>
      <c r="T1152" s="2">
        <v>7</v>
      </c>
      <c r="U1152" s="2">
        <v>2</v>
      </c>
      <c r="V1152" s="1">
        <f t="shared" si="526"/>
        <v>24</v>
      </c>
      <c r="W1152" s="2">
        <v>0</v>
      </c>
      <c r="X1152" s="2">
        <v>6</v>
      </c>
      <c r="Y1152" s="2">
        <v>0</v>
      </c>
      <c r="Z1152" s="2">
        <f t="shared" si="527"/>
        <v>8</v>
      </c>
      <c r="AA1152" s="2">
        <f t="shared" si="528"/>
        <v>32</v>
      </c>
      <c r="AB1152" s="2">
        <v>2703</v>
      </c>
      <c r="AC1152" s="20">
        <f t="shared" si="525"/>
        <v>1.18386977432482</v>
      </c>
      <c r="AD1152" s="2" t="s">
        <v>58</v>
      </c>
      <c r="AE1152" s="2">
        <v>100</v>
      </c>
      <c r="AF1152" s="21">
        <f t="shared" si="516"/>
        <v>2.22567517573067</v>
      </c>
      <c r="AG1152" s="4">
        <f t="shared" si="517"/>
        <v>0.887902330743618</v>
      </c>
      <c r="AH1152" s="4">
        <f t="shared" si="518"/>
        <v>0.295967443581206</v>
      </c>
      <c r="AI1152" s="2">
        <v>3926</v>
      </c>
      <c r="AJ1152" s="2">
        <v>395</v>
      </c>
      <c r="AK1152" s="2">
        <v>1056</v>
      </c>
      <c r="AL1152" s="2">
        <v>60</v>
      </c>
      <c r="AM1152" s="2">
        <v>51</v>
      </c>
      <c r="AN1152" s="2">
        <v>0</v>
      </c>
      <c r="AO1152" s="2">
        <v>0</v>
      </c>
      <c r="AP1152" s="2">
        <f t="shared" si="519"/>
        <v>4381</v>
      </c>
      <c r="AQ1152" s="2">
        <f t="shared" si="520"/>
        <v>65.1352958667856</v>
      </c>
      <c r="AR1152" s="5">
        <f t="shared" ref="AR1152:AR1158" si="529">AQ1152*1.88</f>
        <v>122.454356229557</v>
      </c>
    </row>
    <row r="1153" spans="1:44">
      <c r="A1153" s="2">
        <v>20260410</v>
      </c>
      <c r="B1153" s="2" t="s">
        <v>2350</v>
      </c>
      <c r="C1153" s="2" t="s">
        <v>2351</v>
      </c>
      <c r="D1153" s="2">
        <v>2</v>
      </c>
      <c r="E1153" s="2">
        <v>11</v>
      </c>
      <c r="F1153" s="2">
        <v>5</v>
      </c>
      <c r="G1153" s="2">
        <v>3</v>
      </c>
      <c r="H1153" s="2">
        <v>11</v>
      </c>
      <c r="I1153" s="3">
        <v>17</v>
      </c>
      <c r="J1153" s="2">
        <v>9</v>
      </c>
      <c r="K1153" s="2">
        <v>1</v>
      </c>
      <c r="L1153" s="2">
        <v>0</v>
      </c>
      <c r="M1153" s="2">
        <v>2</v>
      </c>
      <c r="N1153" s="2">
        <v>29</v>
      </c>
      <c r="O1153" s="2">
        <v>0</v>
      </c>
      <c r="P1153" s="3">
        <v>0</v>
      </c>
      <c r="Q1153" s="2">
        <v>2</v>
      </c>
      <c r="R1153" s="2">
        <v>148</v>
      </c>
      <c r="S1153" s="2">
        <v>0</v>
      </c>
      <c r="T1153" s="2">
        <v>2</v>
      </c>
      <c r="U1153" s="2">
        <v>1</v>
      </c>
      <c r="V1153" s="1">
        <f t="shared" si="526"/>
        <v>32</v>
      </c>
      <c r="W1153" s="2">
        <v>3</v>
      </c>
      <c r="X1153" s="2">
        <v>10</v>
      </c>
      <c r="Y1153" s="2">
        <v>0</v>
      </c>
      <c r="Z1153" s="2">
        <f t="shared" si="527"/>
        <v>14</v>
      </c>
      <c r="AA1153" s="2">
        <f t="shared" si="528"/>
        <v>46</v>
      </c>
      <c r="AB1153" s="2">
        <v>6174</v>
      </c>
      <c r="AC1153" s="20">
        <f t="shared" si="525"/>
        <v>0.745059928733398</v>
      </c>
      <c r="AD1153" s="2" t="s">
        <v>58</v>
      </c>
      <c r="AE1153" s="2">
        <v>100</v>
      </c>
      <c r="AF1153" s="21">
        <f t="shared" si="516"/>
        <v>1.40071266601879</v>
      </c>
      <c r="AG1153" s="4">
        <f t="shared" si="517"/>
        <v>0.518302559118886</v>
      </c>
      <c r="AH1153" s="4">
        <f t="shared" si="518"/>
        <v>0.226757369614512</v>
      </c>
      <c r="AI1153" s="2">
        <v>7831</v>
      </c>
      <c r="AJ1153" s="2">
        <v>716</v>
      </c>
      <c r="AK1153" s="2">
        <v>1948</v>
      </c>
      <c r="AL1153" s="2">
        <v>110</v>
      </c>
      <c r="AM1153" s="2">
        <v>90</v>
      </c>
      <c r="AN1153" s="2">
        <v>5</v>
      </c>
      <c r="AO1153" s="2">
        <v>0</v>
      </c>
      <c r="AP1153" s="2">
        <f t="shared" si="519"/>
        <v>8662</v>
      </c>
      <c r="AQ1153" s="2">
        <f t="shared" si="520"/>
        <v>320.458749537551</v>
      </c>
      <c r="AR1153" s="5">
        <f t="shared" si="529"/>
        <v>602.462449130596</v>
      </c>
    </row>
    <row r="1154" spans="1:44">
      <c r="A1154" s="2">
        <v>20260410</v>
      </c>
      <c r="B1154" s="2" t="s">
        <v>2352</v>
      </c>
      <c r="C1154" s="2" t="s">
        <v>2353</v>
      </c>
      <c r="D1154" s="2">
        <v>6</v>
      </c>
      <c r="E1154" s="2">
        <v>4</v>
      </c>
      <c r="F1154" s="2">
        <v>0</v>
      </c>
      <c r="G1154" s="2">
        <v>0</v>
      </c>
      <c r="H1154" s="2">
        <v>9</v>
      </c>
      <c r="I1154" s="3">
        <v>83</v>
      </c>
      <c r="J1154" s="2">
        <v>2</v>
      </c>
      <c r="K1154" s="2">
        <v>3</v>
      </c>
      <c r="L1154" s="2">
        <v>0</v>
      </c>
      <c r="M1154" s="2">
        <v>5</v>
      </c>
      <c r="N1154" s="2">
        <v>27</v>
      </c>
      <c r="O1154" s="2">
        <v>2</v>
      </c>
      <c r="P1154" s="3">
        <v>6</v>
      </c>
      <c r="Q1154" s="2">
        <v>2</v>
      </c>
      <c r="R1154" s="2">
        <v>128</v>
      </c>
      <c r="S1154" s="2">
        <v>0</v>
      </c>
      <c r="T1154" s="2">
        <v>6</v>
      </c>
      <c r="U1154" s="2">
        <v>1</v>
      </c>
      <c r="V1154" s="1">
        <f t="shared" si="526"/>
        <v>105</v>
      </c>
      <c r="W1154" s="2">
        <v>3</v>
      </c>
      <c r="X1154" s="2">
        <v>6</v>
      </c>
      <c r="Y1154" s="2">
        <v>0</v>
      </c>
      <c r="Z1154" s="2">
        <f t="shared" si="527"/>
        <v>10</v>
      </c>
      <c r="AA1154" s="2">
        <f t="shared" si="528"/>
        <v>115</v>
      </c>
      <c r="AB1154" s="2">
        <v>6176</v>
      </c>
      <c r="AC1154" s="20">
        <f t="shared" si="525"/>
        <v>1.86204663212435</v>
      </c>
      <c r="AD1154" s="2" t="s">
        <v>58</v>
      </c>
      <c r="AE1154" s="2">
        <v>100</v>
      </c>
      <c r="AF1154" s="21">
        <f t="shared" si="516"/>
        <v>3.50064766839378</v>
      </c>
      <c r="AG1154" s="4">
        <f t="shared" si="517"/>
        <v>1.70012953367876</v>
      </c>
      <c r="AH1154" s="4">
        <f t="shared" si="518"/>
        <v>0.161917098445596</v>
      </c>
      <c r="AI1154" s="2">
        <v>7576</v>
      </c>
      <c r="AJ1154" s="2">
        <v>554</v>
      </c>
      <c r="AK1154" s="2">
        <v>1793</v>
      </c>
      <c r="AL1154" s="2">
        <v>290</v>
      </c>
      <c r="AM1154" s="2">
        <v>125</v>
      </c>
      <c r="AN1154" s="2">
        <v>7</v>
      </c>
      <c r="AO1154" s="2">
        <v>0</v>
      </c>
      <c r="AP1154" s="2">
        <f t="shared" si="519"/>
        <v>8427</v>
      </c>
      <c r="AQ1154" s="2">
        <f t="shared" si="520"/>
        <v>136.491739552964</v>
      </c>
      <c r="AR1154" s="5">
        <f t="shared" si="529"/>
        <v>256.604470359572</v>
      </c>
    </row>
    <row r="1155" spans="1:44">
      <c r="A1155" s="2">
        <v>20260410</v>
      </c>
      <c r="B1155" s="2" t="s">
        <v>2354</v>
      </c>
      <c r="C1155" s="2" t="s">
        <v>2355</v>
      </c>
      <c r="D1155" s="2">
        <v>1</v>
      </c>
      <c r="E1155" s="2">
        <v>1</v>
      </c>
      <c r="F1155" s="2">
        <v>14</v>
      </c>
      <c r="G1155" s="2">
        <v>1</v>
      </c>
      <c r="H1155" s="2">
        <v>5</v>
      </c>
      <c r="I1155" s="3">
        <v>11</v>
      </c>
      <c r="J1155" s="2">
        <v>6</v>
      </c>
      <c r="K1155" s="2">
        <v>5</v>
      </c>
      <c r="L1155" s="2">
        <v>0</v>
      </c>
      <c r="M1155" s="2">
        <v>8</v>
      </c>
      <c r="N1155" s="2">
        <v>14</v>
      </c>
      <c r="O1155" s="2">
        <v>20</v>
      </c>
      <c r="P1155" s="3">
        <v>6</v>
      </c>
      <c r="Q1155" s="2">
        <v>6</v>
      </c>
      <c r="R1155" s="2">
        <v>94</v>
      </c>
      <c r="S1155" s="2">
        <v>0</v>
      </c>
      <c r="T1155" s="2">
        <v>3</v>
      </c>
      <c r="U1155" s="2">
        <v>1</v>
      </c>
      <c r="V1155" s="1">
        <f t="shared" si="526"/>
        <v>37</v>
      </c>
      <c r="W1155" s="2">
        <v>1</v>
      </c>
      <c r="X1155" s="2">
        <v>7</v>
      </c>
      <c r="Y1155" s="2">
        <v>0</v>
      </c>
      <c r="Z1155" s="2">
        <f t="shared" si="527"/>
        <v>9</v>
      </c>
      <c r="AA1155" s="2">
        <f t="shared" si="528"/>
        <v>46</v>
      </c>
      <c r="AB1155" s="2">
        <v>3469</v>
      </c>
      <c r="AC1155" s="20">
        <f t="shared" si="525"/>
        <v>1.3260305563563</v>
      </c>
      <c r="AD1155" s="2" t="s">
        <v>58</v>
      </c>
      <c r="AE1155" s="2">
        <v>100</v>
      </c>
      <c r="AF1155" s="21">
        <f t="shared" si="516"/>
        <v>2.49293744594984</v>
      </c>
      <c r="AG1155" s="4">
        <f t="shared" si="517"/>
        <v>1.06658979533007</v>
      </c>
      <c r="AH1155" s="4">
        <f t="shared" si="518"/>
        <v>0.259440761026232</v>
      </c>
      <c r="AO1155" s="2">
        <v>1</v>
      </c>
      <c r="AP1155" s="2">
        <f t="shared" ref="AP1155:AP1172" si="530">AI1155+AJ1155+AL1155+AN1155</f>
        <v>0</v>
      </c>
      <c r="AQ1155" s="2">
        <f t="shared" ref="AQ1155:AQ1172" si="531">AP1155/AB1154*100</f>
        <v>0</v>
      </c>
      <c r="AR1155" s="5">
        <f t="shared" ref="AR1155:AR1172" si="532">AQ1155*1.88</f>
        <v>0</v>
      </c>
    </row>
    <row r="1156" spans="1:44">
      <c r="A1156" s="2">
        <v>20260410</v>
      </c>
      <c r="B1156" s="2" t="s">
        <v>2356</v>
      </c>
      <c r="C1156" s="2" t="s">
        <v>2357</v>
      </c>
      <c r="D1156" s="2">
        <v>2</v>
      </c>
      <c r="E1156" s="2">
        <v>4</v>
      </c>
      <c r="F1156" s="2">
        <v>8</v>
      </c>
      <c r="G1156" s="2">
        <v>1</v>
      </c>
      <c r="H1156" s="2">
        <v>3</v>
      </c>
      <c r="I1156" s="3">
        <v>8</v>
      </c>
      <c r="J1156" s="2">
        <v>7</v>
      </c>
      <c r="K1156" s="2">
        <v>2</v>
      </c>
      <c r="L1156" s="2">
        <v>0</v>
      </c>
      <c r="M1156" s="2">
        <v>4</v>
      </c>
      <c r="N1156" s="2">
        <v>13</v>
      </c>
      <c r="O1156" s="2">
        <v>3</v>
      </c>
      <c r="P1156" s="3">
        <v>5</v>
      </c>
      <c r="Q1156" s="2">
        <v>7</v>
      </c>
      <c r="R1156" s="2">
        <v>58</v>
      </c>
      <c r="S1156" s="2">
        <v>0</v>
      </c>
      <c r="T1156" s="2">
        <v>5</v>
      </c>
      <c r="U1156" s="2">
        <v>0</v>
      </c>
      <c r="V1156" s="1">
        <f t="shared" si="526"/>
        <v>28</v>
      </c>
      <c r="W1156" s="2">
        <v>5</v>
      </c>
      <c r="X1156" s="2">
        <v>2</v>
      </c>
      <c r="Y1156" s="2">
        <v>0</v>
      </c>
      <c r="Z1156" s="2">
        <f t="shared" si="527"/>
        <v>7</v>
      </c>
      <c r="AA1156" s="2">
        <f t="shared" si="528"/>
        <v>35</v>
      </c>
      <c r="AB1156" s="2">
        <v>3319</v>
      </c>
      <c r="AC1156" s="20">
        <f t="shared" si="525"/>
        <v>1.05453449834287</v>
      </c>
      <c r="AD1156" s="2" t="s">
        <v>58</v>
      </c>
      <c r="AE1156" s="2">
        <v>100</v>
      </c>
      <c r="AF1156" s="21">
        <f t="shared" si="516"/>
        <v>1.9825248568846</v>
      </c>
      <c r="AG1156" s="4">
        <f t="shared" si="517"/>
        <v>0.843627598674299</v>
      </c>
      <c r="AH1156" s="4">
        <f t="shared" si="518"/>
        <v>0.210906899668575</v>
      </c>
      <c r="AI1156" s="2">
        <v>4001</v>
      </c>
      <c r="AJ1156" s="2">
        <v>206</v>
      </c>
      <c r="AK1156" s="2">
        <v>1032</v>
      </c>
      <c r="AL1156" s="2">
        <v>31</v>
      </c>
      <c r="AM1156" s="2">
        <v>35</v>
      </c>
      <c r="AN1156" s="2">
        <v>1</v>
      </c>
      <c r="AO1156" s="2">
        <v>2</v>
      </c>
      <c r="AP1156" s="2">
        <f t="shared" si="530"/>
        <v>4239</v>
      </c>
      <c r="AQ1156" s="2">
        <f t="shared" si="531"/>
        <v>122.196598443355</v>
      </c>
      <c r="AR1156" s="5">
        <f t="shared" si="532"/>
        <v>229.729605073508</v>
      </c>
    </row>
    <row r="1157" spans="1:44">
      <c r="A1157" s="2">
        <v>20260410</v>
      </c>
      <c r="B1157" s="2" t="s">
        <v>2358</v>
      </c>
      <c r="C1157" s="2" t="s">
        <v>2359</v>
      </c>
      <c r="D1157" s="2">
        <v>1</v>
      </c>
      <c r="E1157" s="2">
        <v>7</v>
      </c>
      <c r="F1157" s="2">
        <v>2</v>
      </c>
      <c r="G1157" s="2">
        <v>5</v>
      </c>
      <c r="H1157" s="2">
        <v>13</v>
      </c>
      <c r="I1157" s="3">
        <v>46</v>
      </c>
      <c r="J1157" s="2">
        <v>9</v>
      </c>
      <c r="K1157" s="2">
        <v>3</v>
      </c>
      <c r="L1157" s="2">
        <v>1</v>
      </c>
      <c r="M1157" s="2">
        <v>9</v>
      </c>
      <c r="N1157" s="2">
        <v>24</v>
      </c>
      <c r="O1157" s="2">
        <v>4</v>
      </c>
      <c r="P1157" s="3">
        <v>4</v>
      </c>
      <c r="Q1157" s="2">
        <v>4</v>
      </c>
      <c r="R1157" s="2">
        <v>129</v>
      </c>
      <c r="S1157" s="2">
        <v>0</v>
      </c>
      <c r="T1157" s="2">
        <v>7</v>
      </c>
      <c r="U1157" s="2">
        <v>0</v>
      </c>
      <c r="V1157" s="1">
        <f t="shared" si="526"/>
        <v>88</v>
      </c>
      <c r="W1157" s="2">
        <v>1</v>
      </c>
      <c r="X1157" s="2">
        <v>8</v>
      </c>
      <c r="Y1157" s="2">
        <v>0</v>
      </c>
      <c r="Z1157" s="2">
        <f t="shared" si="527"/>
        <v>9</v>
      </c>
      <c r="AA1157" s="2">
        <f t="shared" si="528"/>
        <v>97</v>
      </c>
      <c r="AB1157" s="2">
        <v>6356</v>
      </c>
      <c r="AC1157" s="20">
        <f t="shared" si="525"/>
        <v>1.52611705475142</v>
      </c>
      <c r="AD1157" s="2" t="s">
        <v>58</v>
      </c>
      <c r="AE1157" s="2">
        <v>100</v>
      </c>
      <c r="AF1157" s="21">
        <f t="shared" si="516"/>
        <v>2.86910006293266</v>
      </c>
      <c r="AG1157" s="4">
        <f t="shared" si="517"/>
        <v>1.38451856513531</v>
      </c>
      <c r="AH1157" s="4">
        <f t="shared" si="518"/>
        <v>0.141598489616111</v>
      </c>
      <c r="AI1157" s="2">
        <v>8154</v>
      </c>
      <c r="AJ1157" s="2">
        <v>472</v>
      </c>
      <c r="AK1157" s="2">
        <v>1980</v>
      </c>
      <c r="AL1157" s="2">
        <v>77</v>
      </c>
      <c r="AM1157" s="2">
        <v>87</v>
      </c>
      <c r="AN1157" s="2">
        <v>4</v>
      </c>
      <c r="AO1157" s="2">
        <v>0</v>
      </c>
      <c r="AP1157" s="2">
        <f t="shared" si="530"/>
        <v>8707</v>
      </c>
      <c r="AQ1157" s="2">
        <f t="shared" si="531"/>
        <v>262.338053630612</v>
      </c>
      <c r="AR1157" s="5">
        <f t="shared" si="532"/>
        <v>493.19554082555</v>
      </c>
    </row>
    <row r="1158" spans="1:44">
      <c r="A1158" s="2">
        <v>20260410</v>
      </c>
      <c r="B1158" s="2" t="s">
        <v>2360</v>
      </c>
      <c r="C1158" s="2" t="s">
        <v>2361</v>
      </c>
      <c r="D1158" s="2">
        <v>0</v>
      </c>
      <c r="E1158" s="2">
        <v>5</v>
      </c>
      <c r="F1158" s="2">
        <v>2</v>
      </c>
      <c r="G1158" s="2">
        <v>3</v>
      </c>
      <c r="H1158" s="2">
        <v>5</v>
      </c>
      <c r="I1158" s="3">
        <v>18</v>
      </c>
      <c r="J1158" s="2">
        <v>7</v>
      </c>
      <c r="K1158" s="2">
        <v>4</v>
      </c>
      <c r="L1158" s="2">
        <v>2</v>
      </c>
      <c r="M1158" s="2">
        <v>5</v>
      </c>
      <c r="N1158" s="2">
        <v>19</v>
      </c>
      <c r="O1158" s="2">
        <v>2</v>
      </c>
      <c r="P1158" s="3">
        <v>3</v>
      </c>
      <c r="Q1158" s="2">
        <v>4</v>
      </c>
      <c r="R1158" s="2">
        <v>158</v>
      </c>
      <c r="S1158" s="2">
        <v>0</v>
      </c>
      <c r="T1158" s="2">
        <v>4</v>
      </c>
      <c r="U1158" s="2">
        <v>1</v>
      </c>
      <c r="V1158" s="1">
        <f t="shared" si="526"/>
        <v>35</v>
      </c>
      <c r="W1158" s="2">
        <v>0</v>
      </c>
      <c r="X1158" s="2">
        <v>14</v>
      </c>
      <c r="Y1158" s="2">
        <v>2</v>
      </c>
      <c r="Z1158" s="2">
        <f t="shared" si="527"/>
        <v>17</v>
      </c>
      <c r="AA1158" s="2">
        <f t="shared" si="528"/>
        <v>52</v>
      </c>
      <c r="AB1158" s="2">
        <v>6176</v>
      </c>
      <c r="AC1158" s="20">
        <f t="shared" si="525"/>
        <v>0.841968911917098</v>
      </c>
      <c r="AD1158" s="2" t="s">
        <v>58</v>
      </c>
      <c r="AE1158" s="2">
        <v>100</v>
      </c>
      <c r="AF1158" s="21">
        <f t="shared" si="516"/>
        <v>1.58290155440414</v>
      </c>
      <c r="AG1158" s="4">
        <f t="shared" si="517"/>
        <v>0.566709844559586</v>
      </c>
      <c r="AH1158" s="4">
        <f t="shared" si="518"/>
        <v>0.275259067357513</v>
      </c>
      <c r="AI1158" s="2">
        <v>8552</v>
      </c>
      <c r="AJ1158" s="2">
        <v>355</v>
      </c>
      <c r="AK1158" s="2">
        <v>1865</v>
      </c>
      <c r="AL1158" s="2">
        <v>60</v>
      </c>
      <c r="AM1158" s="2">
        <v>72</v>
      </c>
      <c r="AN1158" s="2">
        <v>2</v>
      </c>
      <c r="AO1158" s="2">
        <v>0</v>
      </c>
      <c r="AP1158" s="2">
        <f t="shared" si="530"/>
        <v>8969</v>
      </c>
      <c r="AQ1158" s="2">
        <f t="shared" si="531"/>
        <v>141.110761485211</v>
      </c>
      <c r="AR1158" s="5">
        <f t="shared" si="532"/>
        <v>265.288231592196</v>
      </c>
    </row>
    <row r="1159" spans="1:44">
      <c r="A1159" s="2">
        <v>20260410</v>
      </c>
      <c r="B1159" s="2" t="s">
        <v>2362</v>
      </c>
      <c r="C1159" s="2" t="s">
        <v>2363</v>
      </c>
      <c r="D1159" s="2">
        <v>1</v>
      </c>
      <c r="E1159" s="2">
        <v>7</v>
      </c>
      <c r="F1159" s="2">
        <v>4</v>
      </c>
      <c r="G1159" s="2">
        <v>1</v>
      </c>
      <c r="H1159" s="2">
        <v>1</v>
      </c>
      <c r="I1159" s="3">
        <v>4</v>
      </c>
      <c r="J1159" s="2">
        <v>3</v>
      </c>
      <c r="K1159" s="2">
        <v>4</v>
      </c>
      <c r="L1159" s="2">
        <v>0</v>
      </c>
      <c r="M1159" s="2">
        <v>2</v>
      </c>
      <c r="N1159" s="2">
        <v>4</v>
      </c>
      <c r="O1159" s="2">
        <v>0</v>
      </c>
      <c r="P1159" s="3">
        <v>2</v>
      </c>
      <c r="Q1159" s="2">
        <v>1</v>
      </c>
      <c r="R1159" s="2">
        <v>49</v>
      </c>
      <c r="S1159" s="2">
        <v>0</v>
      </c>
      <c r="T1159" s="2">
        <v>6</v>
      </c>
      <c r="U1159" s="2">
        <v>0</v>
      </c>
      <c r="V1159" s="1">
        <f t="shared" si="526"/>
        <v>18</v>
      </c>
      <c r="W1159" s="2">
        <v>1</v>
      </c>
      <c r="X1159" s="2">
        <v>3</v>
      </c>
      <c r="Y1159" s="2">
        <v>1</v>
      </c>
      <c r="Z1159" s="2">
        <f t="shared" si="527"/>
        <v>5</v>
      </c>
      <c r="AA1159" s="2">
        <f t="shared" si="528"/>
        <v>23</v>
      </c>
      <c r="AB1159" s="2">
        <v>3120</v>
      </c>
      <c r="AC1159" s="20">
        <f t="shared" si="525"/>
        <v>0.737179487179487</v>
      </c>
      <c r="AD1159" s="2" t="s">
        <v>58</v>
      </c>
      <c r="AE1159" s="2">
        <v>100</v>
      </c>
      <c r="AF1159" s="21">
        <f t="shared" si="516"/>
        <v>1.38589743589744</v>
      </c>
      <c r="AG1159" s="4">
        <f t="shared" si="517"/>
        <v>0.576923076923077</v>
      </c>
      <c r="AH1159" s="4">
        <f t="shared" si="518"/>
        <v>0.16025641025641</v>
      </c>
      <c r="AI1159" s="2">
        <v>5484</v>
      </c>
      <c r="AJ1159" s="2">
        <v>142</v>
      </c>
      <c r="AK1159" s="2">
        <v>995</v>
      </c>
      <c r="AL1159" s="2">
        <v>99</v>
      </c>
      <c r="AM1159" s="2">
        <v>67</v>
      </c>
      <c r="AN1159" s="2">
        <v>0</v>
      </c>
      <c r="AO1159" s="2">
        <v>0</v>
      </c>
      <c r="AP1159" s="2">
        <f t="shared" si="530"/>
        <v>5725</v>
      </c>
      <c r="AQ1159" s="2">
        <f t="shared" si="531"/>
        <v>92.6975388601036</v>
      </c>
      <c r="AR1159" s="5">
        <f t="shared" si="532"/>
        <v>174.271373056995</v>
      </c>
    </row>
    <row r="1160" spans="1:44">
      <c r="A1160" s="2">
        <v>20260410</v>
      </c>
      <c r="B1160" s="2" t="s">
        <v>2364</v>
      </c>
      <c r="C1160" s="2" t="s">
        <v>2365</v>
      </c>
      <c r="D1160" s="2">
        <v>1</v>
      </c>
      <c r="E1160" s="2">
        <v>4</v>
      </c>
      <c r="F1160" s="2">
        <v>4</v>
      </c>
      <c r="G1160" s="2">
        <v>5</v>
      </c>
      <c r="H1160" s="2">
        <v>6</v>
      </c>
      <c r="I1160" s="3">
        <v>10</v>
      </c>
      <c r="J1160" s="2">
        <v>3</v>
      </c>
      <c r="K1160" s="2">
        <v>10</v>
      </c>
      <c r="L1160" s="2">
        <v>1</v>
      </c>
      <c r="M1160" s="2">
        <v>3</v>
      </c>
      <c r="N1160" s="2">
        <v>26</v>
      </c>
      <c r="O1160" s="2">
        <v>3</v>
      </c>
      <c r="P1160" s="3">
        <v>2</v>
      </c>
      <c r="Q1160" s="2">
        <v>3</v>
      </c>
      <c r="R1160" s="2">
        <v>81</v>
      </c>
      <c r="S1160" s="2">
        <v>0</v>
      </c>
      <c r="T1160" s="2">
        <v>10</v>
      </c>
      <c r="U1160" s="2">
        <v>4</v>
      </c>
      <c r="V1160" s="1">
        <f t="shared" si="526"/>
        <v>44</v>
      </c>
      <c r="W1160" s="2">
        <v>2</v>
      </c>
      <c r="X1160" s="2">
        <v>4</v>
      </c>
      <c r="Y1160" s="2">
        <v>0</v>
      </c>
      <c r="Z1160" s="2">
        <f t="shared" si="527"/>
        <v>10</v>
      </c>
      <c r="AA1160" s="2">
        <f t="shared" si="528"/>
        <v>54</v>
      </c>
      <c r="AB1160" s="2">
        <v>3176</v>
      </c>
      <c r="AC1160" s="20">
        <f t="shared" si="525"/>
        <v>1.70025188916877</v>
      </c>
      <c r="AD1160" s="2" t="s">
        <v>58</v>
      </c>
      <c r="AE1160" s="2">
        <v>100</v>
      </c>
      <c r="AF1160" s="21">
        <f t="shared" si="516"/>
        <v>3.19647355163728</v>
      </c>
      <c r="AG1160" s="4">
        <f t="shared" si="517"/>
        <v>1.38539042821159</v>
      </c>
      <c r="AH1160" s="4">
        <f t="shared" si="518"/>
        <v>0.314861460957179</v>
      </c>
      <c r="AI1160" s="2">
        <v>15286</v>
      </c>
      <c r="AJ1160" s="2">
        <v>333</v>
      </c>
      <c r="AK1160" s="2">
        <v>1968</v>
      </c>
      <c r="AL1160" s="2">
        <v>70</v>
      </c>
      <c r="AM1160" s="2">
        <v>76</v>
      </c>
      <c r="AN1160" s="2">
        <v>3</v>
      </c>
      <c r="AO1160" s="2">
        <v>0</v>
      </c>
      <c r="AP1160" s="2">
        <f t="shared" si="530"/>
        <v>15692</v>
      </c>
      <c r="AQ1160" s="2">
        <f t="shared" si="531"/>
        <v>502.948717948718</v>
      </c>
      <c r="AR1160" s="5">
        <f t="shared" si="532"/>
        <v>945.54358974359</v>
      </c>
    </row>
    <row r="1161" spans="1:44">
      <c r="A1161" s="2">
        <v>20260410</v>
      </c>
      <c r="B1161" s="2" t="s">
        <v>2366</v>
      </c>
      <c r="C1161" s="2" t="s">
        <v>2367</v>
      </c>
      <c r="D1161" s="2">
        <v>0</v>
      </c>
      <c r="E1161" s="2">
        <v>13</v>
      </c>
      <c r="F1161" s="2">
        <v>2</v>
      </c>
      <c r="G1161" s="2">
        <v>2</v>
      </c>
      <c r="H1161" s="2">
        <v>2</v>
      </c>
      <c r="I1161" s="3">
        <v>4</v>
      </c>
      <c r="J1161" s="2">
        <v>5</v>
      </c>
      <c r="K1161" s="2">
        <v>0</v>
      </c>
      <c r="L1161" s="2">
        <v>0</v>
      </c>
      <c r="M1161" s="2">
        <v>0</v>
      </c>
      <c r="N1161" s="2">
        <v>9</v>
      </c>
      <c r="O1161" s="2">
        <v>2</v>
      </c>
      <c r="P1161" s="3">
        <v>4</v>
      </c>
      <c r="Q1161" s="2">
        <v>2</v>
      </c>
      <c r="R1161" s="2">
        <v>46</v>
      </c>
      <c r="S1161" s="2">
        <v>1</v>
      </c>
      <c r="T1161" s="2">
        <v>5</v>
      </c>
      <c r="U1161" s="2">
        <v>0</v>
      </c>
      <c r="V1161" s="1">
        <f t="shared" si="526"/>
        <v>19</v>
      </c>
      <c r="W1161" s="2">
        <v>2</v>
      </c>
      <c r="X1161" s="2">
        <v>1</v>
      </c>
      <c r="Y1161" s="2">
        <v>0</v>
      </c>
      <c r="Z1161" s="2">
        <f t="shared" si="527"/>
        <v>3</v>
      </c>
      <c r="AA1161" s="2">
        <f t="shared" si="528"/>
        <v>22</v>
      </c>
      <c r="AB1161" s="2">
        <v>3120</v>
      </c>
      <c r="AC1161" s="20">
        <f t="shared" si="525"/>
        <v>0.705128205128205</v>
      </c>
      <c r="AD1161" s="2" t="s">
        <v>58</v>
      </c>
      <c r="AE1161" s="2">
        <v>100</v>
      </c>
      <c r="AF1161" s="21">
        <f t="shared" si="516"/>
        <v>1.32564102564103</v>
      </c>
      <c r="AG1161" s="4">
        <f t="shared" si="517"/>
        <v>0.608974358974359</v>
      </c>
      <c r="AH1161" s="4">
        <f t="shared" si="518"/>
        <v>0.0961538461538462</v>
      </c>
      <c r="AI1161" s="2">
        <v>11289</v>
      </c>
      <c r="AJ1161" s="2">
        <v>165</v>
      </c>
      <c r="AK1161" s="2">
        <v>1019</v>
      </c>
      <c r="AL1161" s="2">
        <v>36</v>
      </c>
      <c r="AM1161" s="2">
        <v>40</v>
      </c>
      <c r="AN1161" s="2">
        <v>0</v>
      </c>
      <c r="AO1161" s="2">
        <v>0</v>
      </c>
      <c r="AP1161" s="2">
        <f t="shared" si="530"/>
        <v>11490</v>
      </c>
      <c r="AQ1161" s="2">
        <f t="shared" si="531"/>
        <v>361.775818639799</v>
      </c>
      <c r="AR1161" s="5">
        <f t="shared" si="532"/>
        <v>680.138539042821</v>
      </c>
    </row>
    <row r="1162" spans="1:44">
      <c r="A1162" s="2">
        <v>20260410</v>
      </c>
      <c r="B1162" s="2" t="s">
        <v>2368</v>
      </c>
      <c r="C1162" s="2" t="s">
        <v>2369</v>
      </c>
      <c r="D1162" s="2">
        <v>2</v>
      </c>
      <c r="E1162" s="2">
        <v>2</v>
      </c>
      <c r="F1162" s="2">
        <v>1</v>
      </c>
      <c r="G1162" s="2">
        <v>2</v>
      </c>
      <c r="H1162" s="2">
        <v>5</v>
      </c>
      <c r="I1162" s="3">
        <v>16</v>
      </c>
      <c r="J1162" s="2">
        <v>7</v>
      </c>
      <c r="K1162" s="2">
        <v>3</v>
      </c>
      <c r="L1162" s="2">
        <v>2</v>
      </c>
      <c r="M1162" s="2">
        <v>6</v>
      </c>
      <c r="N1162" s="2">
        <v>20</v>
      </c>
      <c r="O1162" s="2">
        <v>0</v>
      </c>
      <c r="P1162" s="3">
        <v>5</v>
      </c>
      <c r="Q1162" s="2">
        <v>3</v>
      </c>
      <c r="R1162" s="2">
        <v>79</v>
      </c>
      <c r="S1162" s="2">
        <v>0</v>
      </c>
      <c r="T1162" s="2">
        <v>6</v>
      </c>
      <c r="U1162" s="2">
        <v>0</v>
      </c>
      <c r="V1162" s="1">
        <f t="shared" si="526"/>
        <v>47</v>
      </c>
      <c r="W1162" s="2">
        <v>0</v>
      </c>
      <c r="X1162" s="2">
        <v>5</v>
      </c>
      <c r="Y1162" s="2">
        <v>0</v>
      </c>
      <c r="Z1162" s="2">
        <f t="shared" si="527"/>
        <v>5</v>
      </c>
      <c r="AA1162" s="2">
        <f t="shared" si="528"/>
        <v>52</v>
      </c>
      <c r="AB1162" s="2">
        <v>6176</v>
      </c>
      <c r="AC1162" s="20">
        <f t="shared" si="525"/>
        <v>0.841968911917098</v>
      </c>
      <c r="AD1162" s="2" t="s">
        <v>58</v>
      </c>
      <c r="AE1162" s="2">
        <v>100</v>
      </c>
      <c r="AF1162" s="21">
        <f t="shared" si="516"/>
        <v>1.58290155440414</v>
      </c>
      <c r="AG1162" s="4">
        <f t="shared" si="517"/>
        <v>0.761010362694301</v>
      </c>
      <c r="AH1162" s="4">
        <f t="shared" si="518"/>
        <v>0.0809585492227979</v>
      </c>
      <c r="AI1162" s="2">
        <v>22596</v>
      </c>
      <c r="AJ1162" s="2">
        <v>372</v>
      </c>
      <c r="AK1162" s="2">
        <v>1948</v>
      </c>
      <c r="AL1162" s="2">
        <v>101</v>
      </c>
      <c r="AM1162" s="2">
        <v>99</v>
      </c>
      <c r="AN1162" s="2">
        <v>0</v>
      </c>
      <c r="AO1162" s="2">
        <v>0</v>
      </c>
      <c r="AP1162" s="2">
        <f t="shared" si="530"/>
        <v>23069</v>
      </c>
      <c r="AQ1162" s="2">
        <f t="shared" si="531"/>
        <v>739.391025641026</v>
      </c>
      <c r="AR1162" s="5">
        <f t="shared" si="532"/>
        <v>1390.05512820513</v>
      </c>
    </row>
    <row r="1163" spans="1:44">
      <c r="A1163" s="2">
        <v>20260410</v>
      </c>
      <c r="B1163" s="2" t="s">
        <v>2370</v>
      </c>
      <c r="C1163" s="2" t="s">
        <v>2371</v>
      </c>
      <c r="D1163" s="2">
        <v>3</v>
      </c>
      <c r="E1163" s="2">
        <v>7</v>
      </c>
      <c r="F1163" s="2">
        <v>3</v>
      </c>
      <c r="G1163" s="2">
        <v>3</v>
      </c>
      <c r="H1163" s="2">
        <v>4</v>
      </c>
      <c r="I1163" s="3">
        <v>12</v>
      </c>
      <c r="J1163" s="2">
        <v>9</v>
      </c>
      <c r="K1163" s="2">
        <v>2</v>
      </c>
      <c r="L1163" s="2">
        <v>0</v>
      </c>
      <c r="M1163" s="2">
        <v>2</v>
      </c>
      <c r="N1163" s="2">
        <v>20</v>
      </c>
      <c r="O1163" s="2">
        <v>1</v>
      </c>
      <c r="P1163" s="3">
        <v>5</v>
      </c>
      <c r="Q1163" s="2">
        <v>4</v>
      </c>
      <c r="R1163" s="2">
        <v>190</v>
      </c>
      <c r="S1163" s="2">
        <v>0</v>
      </c>
      <c r="T1163" s="2">
        <v>3</v>
      </c>
      <c r="U1163" s="2">
        <v>0</v>
      </c>
      <c r="V1163" s="1">
        <f t="shared" si="526"/>
        <v>37</v>
      </c>
      <c r="W1163" s="2">
        <v>1</v>
      </c>
      <c r="X1163" s="2">
        <v>1</v>
      </c>
      <c r="Y1163" s="2">
        <v>1</v>
      </c>
      <c r="Z1163" s="2">
        <f t="shared" si="527"/>
        <v>3</v>
      </c>
      <c r="AA1163" s="2">
        <f t="shared" si="528"/>
        <v>40</v>
      </c>
      <c r="AB1163" s="2">
        <v>6166</v>
      </c>
      <c r="AC1163" s="20">
        <f t="shared" si="525"/>
        <v>0.648718780408693</v>
      </c>
      <c r="AD1163" s="2" t="s">
        <v>58</v>
      </c>
      <c r="AE1163" s="2">
        <v>100</v>
      </c>
      <c r="AF1163" s="21">
        <f t="shared" si="516"/>
        <v>1.21959130716834</v>
      </c>
      <c r="AG1163" s="4">
        <f t="shared" si="517"/>
        <v>0.600064871878041</v>
      </c>
      <c r="AH1163" s="4">
        <f t="shared" si="518"/>
        <v>0.048653908530652</v>
      </c>
      <c r="AI1163" s="2">
        <v>16994</v>
      </c>
      <c r="AJ1163" s="2">
        <v>404</v>
      </c>
      <c r="AK1163" s="2">
        <v>1712</v>
      </c>
      <c r="AL1163" s="2">
        <v>57</v>
      </c>
      <c r="AM1163" s="2">
        <v>55</v>
      </c>
      <c r="AN1163" s="2">
        <v>1</v>
      </c>
      <c r="AO1163" s="2">
        <v>0</v>
      </c>
      <c r="AP1163" s="2">
        <f t="shared" si="530"/>
        <v>17456</v>
      </c>
      <c r="AQ1163" s="2">
        <f t="shared" si="531"/>
        <v>282.642487046632</v>
      </c>
      <c r="AR1163" s="5">
        <f t="shared" si="532"/>
        <v>531.367875647668</v>
      </c>
    </row>
    <row r="1164" spans="1:44">
      <c r="A1164" s="2">
        <v>20260410</v>
      </c>
      <c r="B1164" s="2" t="s">
        <v>2372</v>
      </c>
      <c r="C1164" s="2" t="s">
        <v>2373</v>
      </c>
      <c r="D1164" s="2">
        <v>2</v>
      </c>
      <c r="E1164" s="2">
        <v>13</v>
      </c>
      <c r="F1164" s="2">
        <v>18</v>
      </c>
      <c r="G1164" s="2">
        <v>6</v>
      </c>
      <c r="H1164" s="2">
        <v>11</v>
      </c>
      <c r="I1164" s="3">
        <v>35</v>
      </c>
      <c r="J1164" s="2">
        <v>7</v>
      </c>
      <c r="K1164" s="2">
        <v>4</v>
      </c>
      <c r="L1164" s="2">
        <v>2</v>
      </c>
      <c r="M1164" s="2">
        <v>12</v>
      </c>
      <c r="N1164" s="2">
        <v>34</v>
      </c>
      <c r="O1164" s="2">
        <v>37</v>
      </c>
      <c r="P1164" s="3">
        <v>14</v>
      </c>
      <c r="Q1164" s="2">
        <v>8</v>
      </c>
      <c r="R1164" s="2">
        <v>104</v>
      </c>
      <c r="S1164" s="2">
        <v>0</v>
      </c>
      <c r="T1164" s="2">
        <v>13</v>
      </c>
      <c r="U1164" s="2">
        <v>2</v>
      </c>
      <c r="V1164" s="1">
        <f t="shared" si="526"/>
        <v>102</v>
      </c>
      <c r="W1164" s="2">
        <v>1</v>
      </c>
      <c r="X1164" s="2">
        <v>1</v>
      </c>
      <c r="Y1164" s="2">
        <v>0</v>
      </c>
      <c r="Z1164" s="2">
        <f t="shared" ref="Z1164:Z1179" si="533">Y1164+X1164+W1164+U1164</f>
        <v>4</v>
      </c>
      <c r="AA1164" s="2">
        <f t="shared" ref="AA1164:AA1179" si="534">G1164+H1164+I1164+J1164+K1164+L1164+M1164+P1164+T1164+U1164</f>
        <v>106</v>
      </c>
      <c r="AB1164" s="2">
        <v>6586</v>
      </c>
      <c r="AC1164" s="20">
        <f t="shared" ref="AC1164:AC1179" si="535">AA1164/AB1164*100</f>
        <v>1.60947464318251</v>
      </c>
      <c r="AD1164" s="2" t="s">
        <v>58</v>
      </c>
      <c r="AE1164" s="2">
        <v>100</v>
      </c>
      <c r="AF1164" s="21">
        <f t="shared" ref="AF1164:AF1179" si="536">188/AE1164*AC1164</f>
        <v>3.02581232918311</v>
      </c>
      <c r="AG1164" s="4">
        <f t="shared" ref="AG1164:AG1179" si="537">V1164/AB1164*100</f>
        <v>1.54873975098694</v>
      </c>
      <c r="AH1164" s="4">
        <f t="shared" ref="AH1164:AH1179" si="538">Z1164/AB1164*100</f>
        <v>0.0607348921955664</v>
      </c>
      <c r="AI1164" s="2">
        <v>11493</v>
      </c>
      <c r="AJ1164" s="2">
        <v>544</v>
      </c>
      <c r="AK1164" s="2">
        <v>1710</v>
      </c>
      <c r="AL1164" s="2">
        <v>121</v>
      </c>
      <c r="AM1164" s="2">
        <v>139</v>
      </c>
      <c r="AN1164" s="2">
        <v>4</v>
      </c>
      <c r="AO1164" s="2">
        <v>0</v>
      </c>
      <c r="AP1164" s="2">
        <f t="shared" si="530"/>
        <v>12162</v>
      </c>
      <c r="AQ1164" s="2">
        <f t="shared" ref="AQ1164:AQ1179" si="539">AP1164/AB1163*100</f>
        <v>197.242945183263</v>
      </c>
      <c r="AR1164" s="5">
        <f t="shared" ref="AR1164:AR1179" si="540">AQ1164*1.88</f>
        <v>370.816736944535</v>
      </c>
    </row>
    <row r="1165" spans="1:44">
      <c r="A1165" s="2">
        <v>20260411</v>
      </c>
      <c r="B1165" s="2" t="s">
        <v>2374</v>
      </c>
      <c r="C1165" s="2" t="s">
        <v>2375</v>
      </c>
      <c r="D1165" s="2">
        <v>3</v>
      </c>
      <c r="E1165" s="2">
        <v>9</v>
      </c>
      <c r="F1165" s="2">
        <v>7</v>
      </c>
      <c r="G1165" s="2">
        <v>0</v>
      </c>
      <c r="H1165" s="2">
        <v>6</v>
      </c>
      <c r="I1165" s="3">
        <v>11</v>
      </c>
      <c r="J1165" s="2">
        <v>7</v>
      </c>
      <c r="K1165" s="2">
        <v>0</v>
      </c>
      <c r="L1165" s="2">
        <v>0</v>
      </c>
      <c r="M1165" s="2">
        <v>3</v>
      </c>
      <c r="N1165" s="2">
        <v>8</v>
      </c>
      <c r="O1165" s="2">
        <v>2</v>
      </c>
      <c r="P1165" s="3">
        <v>3</v>
      </c>
      <c r="Q1165" s="2">
        <v>1</v>
      </c>
      <c r="R1165" s="2">
        <v>63</v>
      </c>
      <c r="S1165" s="2">
        <v>3</v>
      </c>
      <c r="T1165" s="2">
        <v>3</v>
      </c>
      <c r="U1165" s="2">
        <v>0</v>
      </c>
      <c r="V1165" s="1">
        <f t="shared" si="526"/>
        <v>30</v>
      </c>
      <c r="W1165" s="2">
        <v>3</v>
      </c>
      <c r="X1165" s="2">
        <v>0</v>
      </c>
      <c r="Y1165" s="2">
        <v>0</v>
      </c>
      <c r="Z1165" s="2">
        <f t="shared" si="533"/>
        <v>3</v>
      </c>
      <c r="AA1165" s="2">
        <f t="shared" si="534"/>
        <v>33</v>
      </c>
      <c r="AB1165" s="2">
        <v>3111</v>
      </c>
      <c r="AC1165" s="20">
        <f t="shared" si="535"/>
        <v>1.06075216972035</v>
      </c>
      <c r="AD1165" s="2" t="s">
        <v>58</v>
      </c>
      <c r="AE1165" s="2">
        <v>100</v>
      </c>
      <c r="AF1165" s="21">
        <f t="shared" si="536"/>
        <v>1.99421407907425</v>
      </c>
      <c r="AG1165" s="4">
        <f t="shared" si="537"/>
        <v>0.964320154291225</v>
      </c>
      <c r="AH1165" s="4">
        <f t="shared" si="538"/>
        <v>0.0964320154291225</v>
      </c>
      <c r="AI1165" s="2">
        <v>4000</v>
      </c>
      <c r="AJ1165" s="2">
        <v>250</v>
      </c>
      <c r="AK1165" s="2">
        <v>874</v>
      </c>
      <c r="AL1165" s="2">
        <v>23</v>
      </c>
      <c r="AM1165" s="2">
        <v>29</v>
      </c>
      <c r="AN1165" s="2">
        <v>0</v>
      </c>
      <c r="AO1165" s="2">
        <v>0</v>
      </c>
      <c r="AP1165" s="2">
        <f t="shared" si="530"/>
        <v>4273</v>
      </c>
      <c r="AQ1165" s="2">
        <f t="shared" si="539"/>
        <v>64.8800485879137</v>
      </c>
      <c r="AR1165" s="5">
        <f t="shared" si="540"/>
        <v>121.974491345278</v>
      </c>
    </row>
    <row r="1166" spans="1:44">
      <c r="A1166" s="2">
        <v>20260411</v>
      </c>
      <c r="B1166" s="2" t="s">
        <v>2376</v>
      </c>
      <c r="C1166" s="2" t="s">
        <v>2377</v>
      </c>
      <c r="D1166" s="2">
        <v>4</v>
      </c>
      <c r="E1166" s="2">
        <v>1</v>
      </c>
      <c r="F1166" s="2">
        <v>3</v>
      </c>
      <c r="G1166" s="2">
        <v>8</v>
      </c>
      <c r="H1166" s="2">
        <v>11</v>
      </c>
      <c r="I1166" s="3">
        <v>11</v>
      </c>
      <c r="J1166" s="2">
        <v>15</v>
      </c>
      <c r="K1166" s="2">
        <v>3</v>
      </c>
      <c r="L1166" s="2">
        <v>0</v>
      </c>
      <c r="M1166" s="2">
        <v>8</v>
      </c>
      <c r="N1166" s="2">
        <v>22</v>
      </c>
      <c r="O1166" s="2">
        <v>2</v>
      </c>
      <c r="P1166" s="3">
        <v>5</v>
      </c>
      <c r="Q1166" s="2">
        <v>7</v>
      </c>
      <c r="R1166" s="2">
        <v>129</v>
      </c>
      <c r="S1166" s="2">
        <v>1</v>
      </c>
      <c r="T1166" s="2">
        <v>7</v>
      </c>
      <c r="U1166" s="2">
        <v>1</v>
      </c>
      <c r="V1166" s="1">
        <f t="shared" si="526"/>
        <v>65</v>
      </c>
      <c r="W1166" s="2">
        <v>3</v>
      </c>
      <c r="X1166" s="2">
        <v>0</v>
      </c>
      <c r="Y1166" s="2">
        <v>0</v>
      </c>
      <c r="Z1166" s="2">
        <f t="shared" si="533"/>
        <v>4</v>
      </c>
      <c r="AA1166" s="2">
        <f t="shared" si="534"/>
        <v>69</v>
      </c>
      <c r="AB1166" s="2">
        <v>6167</v>
      </c>
      <c r="AC1166" s="20">
        <f t="shared" si="535"/>
        <v>1.11885844008432</v>
      </c>
      <c r="AD1166" s="2" t="s">
        <v>58</v>
      </c>
      <c r="AE1166" s="2">
        <v>100</v>
      </c>
      <c r="AF1166" s="21">
        <f t="shared" si="536"/>
        <v>2.10345386735852</v>
      </c>
      <c r="AG1166" s="4">
        <f t="shared" si="537"/>
        <v>1.05399708123885</v>
      </c>
      <c r="AH1166" s="4">
        <f t="shared" si="538"/>
        <v>0.0648613588454678</v>
      </c>
      <c r="AI1166" s="2">
        <v>7983</v>
      </c>
      <c r="AJ1166" s="2">
        <v>506</v>
      </c>
      <c r="AK1166" s="2">
        <v>1640</v>
      </c>
      <c r="AL1166" s="2">
        <v>101</v>
      </c>
      <c r="AM1166" s="2">
        <v>74</v>
      </c>
      <c r="AN1166" s="2">
        <v>4</v>
      </c>
      <c r="AO1166" s="2">
        <v>0</v>
      </c>
      <c r="AP1166" s="2">
        <f t="shared" si="530"/>
        <v>8594</v>
      </c>
      <c r="AQ1166" s="2">
        <f t="shared" si="539"/>
        <v>276.245580199293</v>
      </c>
      <c r="AR1166" s="5">
        <f t="shared" si="540"/>
        <v>519.34169077467</v>
      </c>
    </row>
    <row r="1167" spans="1:44">
      <c r="A1167" s="2">
        <v>20260411</v>
      </c>
      <c r="B1167" s="2" t="s">
        <v>2378</v>
      </c>
      <c r="C1167" s="2" t="s">
        <v>2379</v>
      </c>
      <c r="D1167" s="2">
        <v>0</v>
      </c>
      <c r="E1167" s="2">
        <v>9</v>
      </c>
      <c r="F1167" s="2">
        <v>10</v>
      </c>
      <c r="G1167" s="2">
        <v>6</v>
      </c>
      <c r="H1167" s="2">
        <v>14</v>
      </c>
      <c r="I1167" s="3">
        <v>21</v>
      </c>
      <c r="J1167" s="2">
        <v>7</v>
      </c>
      <c r="K1167" s="2">
        <v>1</v>
      </c>
      <c r="L1167" s="2">
        <v>0</v>
      </c>
      <c r="M1167" s="2">
        <v>6</v>
      </c>
      <c r="N1167" s="2">
        <v>21</v>
      </c>
      <c r="O1167" s="2">
        <v>3</v>
      </c>
      <c r="P1167" s="3">
        <v>7</v>
      </c>
      <c r="Q1167" s="2">
        <v>2</v>
      </c>
      <c r="R1167" s="2">
        <v>160</v>
      </c>
      <c r="S1167" s="2">
        <v>0</v>
      </c>
      <c r="T1167" s="2">
        <v>9</v>
      </c>
      <c r="U1167" s="2">
        <v>0</v>
      </c>
      <c r="V1167" s="1">
        <f t="shared" si="526"/>
        <v>65</v>
      </c>
      <c r="W1167" s="2">
        <v>5</v>
      </c>
      <c r="X1167" s="2">
        <v>0</v>
      </c>
      <c r="Y1167" s="2">
        <v>1</v>
      </c>
      <c r="Z1167" s="2">
        <f t="shared" si="533"/>
        <v>6</v>
      </c>
      <c r="AA1167" s="2">
        <f t="shared" si="534"/>
        <v>71</v>
      </c>
      <c r="AB1167" s="2">
        <v>6167</v>
      </c>
      <c r="AC1167" s="20">
        <f t="shared" si="535"/>
        <v>1.15128911950705</v>
      </c>
      <c r="AD1167" s="2" t="s">
        <v>58</v>
      </c>
      <c r="AE1167" s="2">
        <v>100</v>
      </c>
      <c r="AF1167" s="21">
        <f t="shared" si="536"/>
        <v>2.16442354467326</v>
      </c>
      <c r="AG1167" s="4">
        <f t="shared" si="537"/>
        <v>1.05399708123885</v>
      </c>
      <c r="AH1167" s="4">
        <f t="shared" si="538"/>
        <v>0.0972920382682017</v>
      </c>
      <c r="AI1167" s="2">
        <v>7924</v>
      </c>
      <c r="AJ1167" s="2">
        <v>495</v>
      </c>
      <c r="AK1167" s="2">
        <v>1692</v>
      </c>
      <c r="AL1167" s="2">
        <v>89</v>
      </c>
      <c r="AM1167" s="2">
        <v>84</v>
      </c>
      <c r="AN1167" s="2">
        <v>4</v>
      </c>
      <c r="AO1167" s="2">
        <v>0</v>
      </c>
      <c r="AP1167" s="2">
        <f t="shared" si="530"/>
        <v>8512</v>
      </c>
      <c r="AQ1167" s="2">
        <f t="shared" si="539"/>
        <v>138.024971623155</v>
      </c>
      <c r="AR1167" s="5">
        <f t="shared" si="540"/>
        <v>259.486946651532</v>
      </c>
    </row>
    <row r="1168" spans="1:44">
      <c r="A1168" s="2">
        <v>20260411</v>
      </c>
      <c r="B1168" s="2" t="s">
        <v>2380</v>
      </c>
      <c r="C1168" s="2" t="s">
        <v>2381</v>
      </c>
      <c r="D1168" s="2">
        <v>3</v>
      </c>
      <c r="E1168" s="2">
        <v>3</v>
      </c>
      <c r="F1168" s="2">
        <v>6</v>
      </c>
      <c r="G1168" s="2">
        <v>5</v>
      </c>
      <c r="H1168" s="2">
        <v>10</v>
      </c>
      <c r="I1168" s="3">
        <v>14</v>
      </c>
      <c r="J1168" s="2">
        <v>9</v>
      </c>
      <c r="K1168" s="2">
        <v>4</v>
      </c>
      <c r="L1168" s="2">
        <v>2</v>
      </c>
      <c r="M1168" s="2">
        <v>8</v>
      </c>
      <c r="N1168" s="2">
        <v>37</v>
      </c>
      <c r="O1168" s="2">
        <v>1</v>
      </c>
      <c r="P1168" s="3">
        <v>9</v>
      </c>
      <c r="Q1168" s="2">
        <v>7</v>
      </c>
      <c r="R1168" s="2">
        <v>179</v>
      </c>
      <c r="S1168" s="2">
        <v>0</v>
      </c>
      <c r="T1168" s="2">
        <v>8</v>
      </c>
      <c r="U1168" s="2">
        <v>2</v>
      </c>
      <c r="V1168" s="1">
        <f t="shared" si="526"/>
        <v>67</v>
      </c>
      <c r="W1168" s="2">
        <v>1</v>
      </c>
      <c r="X1168" s="2">
        <v>0</v>
      </c>
      <c r="Y1168" s="2">
        <v>1</v>
      </c>
      <c r="Z1168" s="2">
        <f t="shared" si="533"/>
        <v>4</v>
      </c>
      <c r="AA1168" s="2">
        <f t="shared" si="534"/>
        <v>71</v>
      </c>
      <c r="AB1168" s="2">
        <v>6167</v>
      </c>
      <c r="AC1168" s="20">
        <f t="shared" si="535"/>
        <v>1.15128911950705</v>
      </c>
      <c r="AD1168" s="2" t="s">
        <v>58</v>
      </c>
      <c r="AE1168" s="2">
        <v>100</v>
      </c>
      <c r="AF1168" s="21">
        <f t="shared" si="536"/>
        <v>2.16442354467326</v>
      </c>
      <c r="AG1168" s="4">
        <f t="shared" si="537"/>
        <v>1.08642776066159</v>
      </c>
      <c r="AH1168" s="4">
        <f t="shared" si="538"/>
        <v>0.0648613588454678</v>
      </c>
      <c r="AI1168" s="2">
        <v>741</v>
      </c>
      <c r="AJ1168" s="2">
        <v>44</v>
      </c>
      <c r="AK1168" s="2">
        <v>170</v>
      </c>
      <c r="AL1168" s="2">
        <v>11</v>
      </c>
      <c r="AM1168" s="2">
        <v>5</v>
      </c>
      <c r="AN1168" s="2">
        <v>2</v>
      </c>
      <c r="AO1168" s="2">
        <v>0</v>
      </c>
      <c r="AP1168" s="2">
        <f t="shared" si="530"/>
        <v>798</v>
      </c>
      <c r="AQ1168" s="2">
        <f t="shared" si="539"/>
        <v>12.9398410896708</v>
      </c>
      <c r="AR1168" s="5">
        <f t="shared" si="540"/>
        <v>24.3269012485812</v>
      </c>
    </row>
    <row r="1169" spans="1:44">
      <c r="A1169" s="2">
        <v>20260411</v>
      </c>
      <c r="B1169" s="8" t="s">
        <v>2382</v>
      </c>
      <c r="C1169" s="2" t="s">
        <v>2383</v>
      </c>
      <c r="D1169" s="2">
        <v>2</v>
      </c>
      <c r="E1169" s="2">
        <v>6</v>
      </c>
      <c r="F1169" s="2">
        <v>3</v>
      </c>
      <c r="G1169" s="2">
        <v>0</v>
      </c>
      <c r="H1169" s="2">
        <v>10</v>
      </c>
      <c r="I1169" s="3">
        <v>9</v>
      </c>
      <c r="J1169" s="2">
        <v>12</v>
      </c>
      <c r="K1169" s="2">
        <v>2</v>
      </c>
      <c r="L1169" s="2">
        <v>0</v>
      </c>
      <c r="M1169" s="2">
        <v>18</v>
      </c>
      <c r="N1169" s="2">
        <v>31</v>
      </c>
      <c r="O1169" s="2">
        <v>2</v>
      </c>
      <c r="P1169" s="3">
        <v>4</v>
      </c>
      <c r="Q1169" s="2">
        <v>3</v>
      </c>
      <c r="R1169" s="2">
        <v>129</v>
      </c>
      <c r="S1169" s="2">
        <v>0</v>
      </c>
      <c r="T1169" s="2">
        <v>10</v>
      </c>
      <c r="U1169" s="2">
        <v>0</v>
      </c>
      <c r="V1169" s="1">
        <f t="shared" si="526"/>
        <v>52</v>
      </c>
      <c r="W1169" s="2">
        <v>4</v>
      </c>
      <c r="X1169" s="2">
        <v>6</v>
      </c>
      <c r="Y1169" s="2">
        <v>3</v>
      </c>
      <c r="Z1169" s="2">
        <f t="shared" si="533"/>
        <v>13</v>
      </c>
      <c r="AA1169" s="2">
        <f t="shared" si="534"/>
        <v>65</v>
      </c>
      <c r="AB1169" s="2">
        <v>6167</v>
      </c>
      <c r="AC1169" s="20">
        <f t="shared" si="535"/>
        <v>1.05399708123885</v>
      </c>
      <c r="AD1169" s="2" t="s">
        <v>58</v>
      </c>
      <c r="AE1169" s="2">
        <v>100</v>
      </c>
      <c r="AF1169" s="21">
        <f t="shared" si="536"/>
        <v>1.98151451272904</v>
      </c>
      <c r="AG1169" s="4">
        <f t="shared" si="537"/>
        <v>0.843197664991082</v>
      </c>
      <c r="AH1169" s="4">
        <f t="shared" si="538"/>
        <v>0.21079941624777</v>
      </c>
      <c r="AI1169" s="2">
        <v>863</v>
      </c>
      <c r="AJ1169" s="2">
        <v>35</v>
      </c>
      <c r="AK1169" s="2">
        <v>237</v>
      </c>
      <c r="AL1169" s="2">
        <v>10</v>
      </c>
      <c r="AM1169" s="2">
        <v>10</v>
      </c>
      <c r="AN1169" s="2">
        <v>1</v>
      </c>
      <c r="AO1169" s="2">
        <v>0</v>
      </c>
      <c r="AP1169" s="2">
        <f t="shared" si="530"/>
        <v>909</v>
      </c>
      <c r="AQ1169" s="2">
        <f t="shared" si="539"/>
        <v>14.7397437976326</v>
      </c>
      <c r="AR1169" s="5">
        <f t="shared" si="540"/>
        <v>27.7107183395492</v>
      </c>
    </row>
    <row r="1170" spans="1:44">
      <c r="A1170" s="2">
        <v>20260411</v>
      </c>
      <c r="B1170" s="8" t="s">
        <v>2384</v>
      </c>
      <c r="C1170" s="2" t="s">
        <v>2385</v>
      </c>
      <c r="D1170" s="2">
        <v>0</v>
      </c>
      <c r="E1170" s="2">
        <v>4</v>
      </c>
      <c r="F1170" s="2">
        <v>11</v>
      </c>
      <c r="G1170" s="2">
        <v>0</v>
      </c>
      <c r="H1170" s="2">
        <v>5</v>
      </c>
      <c r="I1170" s="3">
        <v>16</v>
      </c>
      <c r="J1170" s="2">
        <v>7</v>
      </c>
      <c r="K1170" s="2">
        <v>2</v>
      </c>
      <c r="L1170" s="2">
        <v>0</v>
      </c>
      <c r="M1170" s="2">
        <v>15</v>
      </c>
      <c r="N1170" s="2">
        <v>30</v>
      </c>
      <c r="O1170" s="2">
        <v>1</v>
      </c>
      <c r="P1170" s="3">
        <v>3</v>
      </c>
      <c r="Q1170" s="2">
        <v>1</v>
      </c>
      <c r="R1170" s="2">
        <v>145</v>
      </c>
      <c r="S1170" s="2">
        <v>0</v>
      </c>
      <c r="T1170" s="2">
        <v>6</v>
      </c>
      <c r="U1170" s="2">
        <v>2</v>
      </c>
      <c r="V1170" s="1">
        <f t="shared" si="526"/>
        <v>41</v>
      </c>
      <c r="W1170" s="2">
        <v>11</v>
      </c>
      <c r="X1170" s="2">
        <v>1</v>
      </c>
      <c r="Y1170" s="2">
        <v>1</v>
      </c>
      <c r="Z1170" s="2">
        <f t="shared" si="533"/>
        <v>15</v>
      </c>
      <c r="AA1170" s="2">
        <f t="shared" si="534"/>
        <v>56</v>
      </c>
      <c r="AB1170" s="2">
        <v>6167</v>
      </c>
      <c r="AC1170" s="20">
        <f t="shared" si="535"/>
        <v>0.908059023836549</v>
      </c>
      <c r="AD1170" s="2" t="s">
        <v>58</v>
      </c>
      <c r="AE1170" s="2">
        <v>100</v>
      </c>
      <c r="AF1170" s="21">
        <f t="shared" si="536"/>
        <v>1.70715096481271</v>
      </c>
      <c r="AG1170" s="4">
        <f t="shared" si="537"/>
        <v>0.664828928166045</v>
      </c>
      <c r="AH1170" s="4">
        <f t="shared" si="538"/>
        <v>0.243230095670504</v>
      </c>
      <c r="AI1170" s="2">
        <v>6506</v>
      </c>
      <c r="AJ1170" s="2">
        <v>243</v>
      </c>
      <c r="AK1170" s="2">
        <v>1666</v>
      </c>
      <c r="AL1170" s="2">
        <v>57</v>
      </c>
      <c r="AM1170" s="2">
        <v>69</v>
      </c>
      <c r="AN1170" s="2">
        <v>4</v>
      </c>
      <c r="AO1170" s="2">
        <v>0</v>
      </c>
      <c r="AP1170" s="2">
        <f t="shared" si="530"/>
        <v>6810</v>
      </c>
      <c r="AQ1170" s="2">
        <f t="shared" si="539"/>
        <v>110.426463434409</v>
      </c>
      <c r="AR1170" s="5">
        <f t="shared" si="540"/>
        <v>207.601751256689</v>
      </c>
    </row>
    <row r="1171" spans="1:44">
      <c r="A1171" s="2">
        <v>20260411</v>
      </c>
      <c r="B1171" s="8" t="s">
        <v>2386</v>
      </c>
      <c r="C1171" s="2" t="s">
        <v>2387</v>
      </c>
      <c r="D1171" s="2">
        <v>3</v>
      </c>
      <c r="E1171" s="2">
        <v>2</v>
      </c>
      <c r="F1171" s="2">
        <v>0</v>
      </c>
      <c r="G1171" s="2">
        <v>4</v>
      </c>
      <c r="H1171" s="2">
        <v>5</v>
      </c>
      <c r="I1171" s="3">
        <v>21</v>
      </c>
      <c r="J1171" s="2">
        <v>4</v>
      </c>
      <c r="K1171" s="2">
        <v>0</v>
      </c>
      <c r="L1171" s="2">
        <v>0</v>
      </c>
      <c r="M1171" s="2">
        <v>9</v>
      </c>
      <c r="N1171" s="2">
        <v>17</v>
      </c>
      <c r="O1171" s="2">
        <v>0</v>
      </c>
      <c r="P1171" s="2">
        <v>2</v>
      </c>
      <c r="Q1171" s="3">
        <v>4</v>
      </c>
      <c r="R1171" s="2">
        <v>94</v>
      </c>
      <c r="S1171" s="2">
        <v>0</v>
      </c>
      <c r="T1171" s="2">
        <v>7</v>
      </c>
      <c r="U1171" s="2">
        <v>1</v>
      </c>
      <c r="V1171" s="1">
        <f t="shared" si="526"/>
        <v>47</v>
      </c>
      <c r="W1171" s="2">
        <v>4</v>
      </c>
      <c r="X1171" s="2">
        <v>1</v>
      </c>
      <c r="Y1171" s="2">
        <v>0</v>
      </c>
      <c r="Z1171" s="2">
        <f t="shared" si="533"/>
        <v>6</v>
      </c>
      <c r="AA1171" s="2">
        <f t="shared" si="534"/>
        <v>53</v>
      </c>
      <c r="AB1171" s="2">
        <v>3094</v>
      </c>
      <c r="AC1171" s="20">
        <f t="shared" si="535"/>
        <v>1.71299288946348</v>
      </c>
      <c r="AD1171" s="2" t="s">
        <v>58</v>
      </c>
      <c r="AE1171" s="2">
        <v>100</v>
      </c>
      <c r="AF1171" s="21">
        <f t="shared" si="536"/>
        <v>3.22042663219134</v>
      </c>
      <c r="AG1171" s="4">
        <f t="shared" si="537"/>
        <v>1.51906916612799</v>
      </c>
      <c r="AH1171" s="4">
        <f t="shared" si="538"/>
        <v>0.193923723335488</v>
      </c>
      <c r="AO1171" s="2">
        <v>0</v>
      </c>
      <c r="AP1171" s="2">
        <f t="shared" ref="AP1171:AP1180" si="541">AI1171+AJ1171+AL1171+AN1171</f>
        <v>0</v>
      </c>
      <c r="AQ1171" s="2">
        <f t="shared" si="539"/>
        <v>0</v>
      </c>
      <c r="AR1171" s="5">
        <f t="shared" si="540"/>
        <v>0</v>
      </c>
    </row>
    <row r="1172" spans="1:44">
      <c r="A1172" s="2">
        <v>20260411</v>
      </c>
      <c r="B1172" s="8" t="s">
        <v>2388</v>
      </c>
      <c r="C1172" s="2" t="s">
        <v>2389</v>
      </c>
      <c r="D1172" s="2">
        <v>0</v>
      </c>
      <c r="E1172" s="2">
        <v>0</v>
      </c>
      <c r="F1172" s="2">
        <v>5</v>
      </c>
      <c r="G1172" s="2">
        <v>0</v>
      </c>
      <c r="H1172" s="2">
        <v>6</v>
      </c>
      <c r="I1172" s="3">
        <v>7</v>
      </c>
      <c r="J1172" s="2">
        <v>7</v>
      </c>
      <c r="K1172" s="2">
        <v>1</v>
      </c>
      <c r="L1172" s="2">
        <v>2</v>
      </c>
      <c r="M1172" s="2">
        <v>11</v>
      </c>
      <c r="N1172" s="2">
        <v>2</v>
      </c>
      <c r="O1172" s="2">
        <v>0</v>
      </c>
      <c r="P1172" s="3">
        <v>17</v>
      </c>
      <c r="Q1172" s="2">
        <v>6</v>
      </c>
      <c r="R1172" s="2">
        <v>6</v>
      </c>
      <c r="S1172" s="2">
        <v>0</v>
      </c>
      <c r="T1172" s="2">
        <v>0</v>
      </c>
      <c r="U1172" s="2">
        <v>0</v>
      </c>
      <c r="V1172" s="1">
        <f t="shared" ref="V1172:V1180" si="542">AA1172-Y1172-X1172-W1172-U1172</f>
        <v>41</v>
      </c>
      <c r="W1172" s="2">
        <v>7</v>
      </c>
      <c r="X1172" s="2">
        <v>3</v>
      </c>
      <c r="Y1172" s="2">
        <v>0</v>
      </c>
      <c r="Z1172" s="2">
        <f t="shared" si="533"/>
        <v>10</v>
      </c>
      <c r="AA1172" s="2">
        <f t="shared" si="534"/>
        <v>51</v>
      </c>
      <c r="AB1172" s="2">
        <v>1387</v>
      </c>
      <c r="AC1172" s="20">
        <f t="shared" si="535"/>
        <v>3.67700072098053</v>
      </c>
      <c r="AD1172" s="2" t="s">
        <v>58</v>
      </c>
      <c r="AE1172" s="2">
        <v>188</v>
      </c>
      <c r="AF1172" s="21">
        <f t="shared" si="536"/>
        <v>3.67700072098053</v>
      </c>
      <c r="AG1172" s="4">
        <f t="shared" si="537"/>
        <v>2.95602018745494</v>
      </c>
      <c r="AH1172" s="4">
        <f t="shared" si="538"/>
        <v>0.720980533525595</v>
      </c>
      <c r="AI1172" s="2">
        <v>4718</v>
      </c>
      <c r="AJ1172" s="2">
        <v>120</v>
      </c>
      <c r="AK1172" s="2">
        <v>50</v>
      </c>
      <c r="AL1172" s="2">
        <v>70</v>
      </c>
      <c r="AM1172" s="2">
        <v>41</v>
      </c>
      <c r="AN1172" s="2">
        <v>1</v>
      </c>
      <c r="AO1172" s="2">
        <v>0</v>
      </c>
      <c r="AP1172" s="2">
        <f t="shared" si="541"/>
        <v>4909</v>
      </c>
      <c r="AQ1172" s="2">
        <f t="shared" si="539"/>
        <v>158.661926308985</v>
      </c>
      <c r="AR1172" s="5">
        <f t="shared" si="540"/>
        <v>298.284421460892</v>
      </c>
    </row>
    <row r="1173" spans="1:44">
      <c r="A1173" s="2">
        <v>20260411</v>
      </c>
      <c r="B1173" s="2" t="s">
        <v>2390</v>
      </c>
      <c r="C1173" s="2" t="s">
        <v>2391</v>
      </c>
      <c r="D1173" s="2">
        <v>6</v>
      </c>
      <c r="E1173" s="2">
        <v>1</v>
      </c>
      <c r="F1173" s="2">
        <v>28</v>
      </c>
      <c r="G1173" s="2">
        <v>11</v>
      </c>
      <c r="H1173" s="2">
        <v>18</v>
      </c>
      <c r="I1173" s="3">
        <v>10</v>
      </c>
      <c r="J1173" s="2">
        <v>13</v>
      </c>
      <c r="K1173" s="2">
        <v>42</v>
      </c>
      <c r="L1173" s="2">
        <v>4</v>
      </c>
      <c r="M1173" s="2">
        <v>16</v>
      </c>
      <c r="N1173" s="2">
        <v>13</v>
      </c>
      <c r="O1173" s="3">
        <v>44</v>
      </c>
      <c r="P1173" s="2">
        <v>43</v>
      </c>
      <c r="Q1173" s="2">
        <v>12</v>
      </c>
      <c r="R1173" s="2">
        <v>9</v>
      </c>
      <c r="S1173" s="2">
        <v>0</v>
      </c>
      <c r="T1173" s="2">
        <v>33</v>
      </c>
      <c r="U1173" s="1">
        <v>3</v>
      </c>
      <c r="V1173" s="1">
        <f t="shared" si="542"/>
        <v>186</v>
      </c>
      <c r="W1173" s="2">
        <v>4</v>
      </c>
      <c r="X1173" s="2">
        <v>0</v>
      </c>
      <c r="Y1173" s="2">
        <v>0</v>
      </c>
      <c r="Z1173" s="2">
        <f t="shared" si="533"/>
        <v>7</v>
      </c>
      <c r="AA1173" s="2">
        <f t="shared" si="534"/>
        <v>193</v>
      </c>
      <c r="AB1173" s="2">
        <v>2180</v>
      </c>
      <c r="AC1173" s="20">
        <f t="shared" si="535"/>
        <v>8.85321100917431</v>
      </c>
      <c r="AD1173" s="2" t="s">
        <v>58</v>
      </c>
      <c r="AE1173" s="2">
        <v>188</v>
      </c>
      <c r="AF1173" s="21">
        <f t="shared" si="536"/>
        <v>8.85321100917431</v>
      </c>
      <c r="AG1173" s="4">
        <f t="shared" si="537"/>
        <v>8.53211009174312</v>
      </c>
      <c r="AH1173" s="4">
        <f t="shared" si="538"/>
        <v>0.321100917431193</v>
      </c>
      <c r="AI1173" s="2">
        <v>6276</v>
      </c>
      <c r="AJ1173" s="2">
        <v>188</v>
      </c>
      <c r="AK1173" s="2">
        <v>82</v>
      </c>
      <c r="AL1173" s="2">
        <v>97</v>
      </c>
      <c r="AM1173" s="2">
        <v>115</v>
      </c>
      <c r="AN1173" s="2">
        <v>6</v>
      </c>
      <c r="AO1173" s="2">
        <v>0</v>
      </c>
      <c r="AP1173" s="2">
        <f t="shared" si="541"/>
        <v>6567</v>
      </c>
      <c r="AQ1173" s="2">
        <f t="shared" si="539"/>
        <v>473.467916366258</v>
      </c>
      <c r="AR1173" s="5">
        <f t="shared" si="540"/>
        <v>890.119682768565</v>
      </c>
    </row>
    <row r="1174" spans="1:44">
      <c r="A1174" s="2">
        <v>20260411</v>
      </c>
      <c r="B1174" s="2" t="s">
        <v>2392</v>
      </c>
      <c r="C1174" s="2" t="s">
        <v>2393</v>
      </c>
      <c r="D1174" s="2">
        <v>2</v>
      </c>
      <c r="E1174" s="2">
        <v>7</v>
      </c>
      <c r="F1174" s="2">
        <v>9</v>
      </c>
      <c r="G1174" s="2">
        <v>3</v>
      </c>
      <c r="H1174" s="2">
        <v>14</v>
      </c>
      <c r="I1174" s="3">
        <v>25</v>
      </c>
      <c r="J1174" s="2">
        <v>8</v>
      </c>
      <c r="K1174" s="2">
        <v>5</v>
      </c>
      <c r="L1174" s="2">
        <v>3</v>
      </c>
      <c r="M1174" s="2">
        <v>18</v>
      </c>
      <c r="N1174" s="2">
        <v>7</v>
      </c>
      <c r="O1174" s="2">
        <v>26</v>
      </c>
      <c r="P1174" s="3">
        <v>32</v>
      </c>
      <c r="Q1174" s="2">
        <v>10</v>
      </c>
      <c r="R1174" s="2">
        <v>16</v>
      </c>
      <c r="S1174" s="2">
        <v>0</v>
      </c>
      <c r="T1174" s="2">
        <v>3</v>
      </c>
      <c r="U1174" s="2">
        <v>0</v>
      </c>
      <c r="V1174" s="1">
        <f t="shared" si="542"/>
        <v>93</v>
      </c>
      <c r="W1174" s="2">
        <v>12</v>
      </c>
      <c r="X1174" s="2">
        <v>6</v>
      </c>
      <c r="Y1174" s="2">
        <v>0</v>
      </c>
      <c r="Z1174" s="2">
        <f t="shared" si="533"/>
        <v>18</v>
      </c>
      <c r="AA1174" s="2">
        <f t="shared" si="534"/>
        <v>111</v>
      </c>
      <c r="AB1174" s="2">
        <v>2814</v>
      </c>
      <c r="AC1174" s="20">
        <f t="shared" si="535"/>
        <v>3.94456289978678</v>
      </c>
      <c r="AD1174" s="2" t="s">
        <v>58</v>
      </c>
      <c r="AE1174" s="2">
        <v>188</v>
      </c>
      <c r="AF1174" s="21">
        <f t="shared" si="536"/>
        <v>3.94456289978678</v>
      </c>
      <c r="AG1174" s="4">
        <f t="shared" si="537"/>
        <v>3.30490405117271</v>
      </c>
      <c r="AH1174" s="4">
        <f t="shared" si="538"/>
        <v>0.639658848614073</v>
      </c>
      <c r="AI1174" s="2">
        <v>10569</v>
      </c>
      <c r="AJ1174" s="2">
        <v>467</v>
      </c>
      <c r="AK1174" s="2">
        <v>131</v>
      </c>
      <c r="AL1174" s="2">
        <v>339</v>
      </c>
      <c r="AM1174" s="2">
        <v>194</v>
      </c>
      <c r="AN1174" s="2">
        <v>3</v>
      </c>
      <c r="AO1174" s="2">
        <v>0</v>
      </c>
      <c r="AP1174" s="2">
        <f t="shared" si="541"/>
        <v>11378</v>
      </c>
      <c r="AQ1174" s="2">
        <f t="shared" si="539"/>
        <v>521.926605504587</v>
      </c>
      <c r="AR1174" s="5">
        <f t="shared" si="540"/>
        <v>981.222018348624</v>
      </c>
    </row>
    <row r="1175" spans="1:44">
      <c r="A1175" s="2">
        <v>20260411</v>
      </c>
      <c r="B1175" s="2" t="s">
        <v>2394</v>
      </c>
      <c r="C1175" s="2" t="s">
        <v>2395</v>
      </c>
      <c r="D1175" s="2">
        <v>1</v>
      </c>
      <c r="E1175" s="2">
        <v>2</v>
      </c>
      <c r="F1175" s="2">
        <v>3</v>
      </c>
      <c r="G1175" s="2">
        <v>3</v>
      </c>
      <c r="H1175" s="2">
        <v>1</v>
      </c>
      <c r="I1175" s="3">
        <v>9</v>
      </c>
      <c r="J1175" s="2">
        <v>8</v>
      </c>
      <c r="K1175" s="2">
        <v>4</v>
      </c>
      <c r="L1175" s="2">
        <v>2</v>
      </c>
      <c r="M1175" s="2">
        <v>14</v>
      </c>
      <c r="N1175" s="2">
        <v>1</v>
      </c>
      <c r="O1175" s="2">
        <v>6</v>
      </c>
      <c r="P1175" s="3">
        <v>23</v>
      </c>
      <c r="Q1175" s="2">
        <v>3</v>
      </c>
      <c r="R1175" s="2">
        <v>3</v>
      </c>
      <c r="S1175" s="2">
        <v>0</v>
      </c>
      <c r="T1175" s="2">
        <v>1</v>
      </c>
      <c r="U1175" s="2">
        <v>0</v>
      </c>
      <c r="V1175" s="1">
        <f t="shared" si="542"/>
        <v>44</v>
      </c>
      <c r="W1175" s="2">
        <v>16</v>
      </c>
      <c r="X1175" s="2">
        <v>5</v>
      </c>
      <c r="Y1175" s="2">
        <v>0</v>
      </c>
      <c r="Z1175" s="2">
        <f t="shared" si="533"/>
        <v>21</v>
      </c>
      <c r="AA1175" s="2">
        <f t="shared" si="534"/>
        <v>65</v>
      </c>
      <c r="AB1175" s="2">
        <v>1946</v>
      </c>
      <c r="AC1175" s="20">
        <f t="shared" si="535"/>
        <v>3.34018499486125</v>
      </c>
      <c r="AD1175" s="2" t="s">
        <v>49</v>
      </c>
      <c r="AE1175" s="2">
        <v>188</v>
      </c>
      <c r="AF1175" s="21">
        <f t="shared" si="536"/>
        <v>3.34018499486125</v>
      </c>
      <c r="AG1175" s="4">
        <f t="shared" si="537"/>
        <v>2.26104830421377</v>
      </c>
      <c r="AH1175" s="4">
        <f t="shared" si="538"/>
        <v>1.07913669064748</v>
      </c>
      <c r="AI1175" s="2">
        <v>6415</v>
      </c>
      <c r="AJ1175" s="2">
        <v>632</v>
      </c>
      <c r="AK1175" s="2">
        <v>168</v>
      </c>
      <c r="AL1175" s="2">
        <v>262</v>
      </c>
      <c r="AM1175" s="2">
        <v>169</v>
      </c>
      <c r="AN1175" s="2">
        <v>4</v>
      </c>
      <c r="AO1175" s="2">
        <v>0</v>
      </c>
      <c r="AP1175" s="2">
        <f t="shared" si="541"/>
        <v>7313</v>
      </c>
      <c r="AQ1175" s="2">
        <f t="shared" si="539"/>
        <v>259.879175550817</v>
      </c>
      <c r="AR1175" s="5">
        <f t="shared" si="540"/>
        <v>488.572850035537</v>
      </c>
    </row>
    <row r="1176" spans="1:44">
      <c r="A1176" s="2">
        <v>20260411</v>
      </c>
      <c r="B1176" s="2" t="s">
        <v>2396</v>
      </c>
      <c r="C1176" s="2" t="s">
        <v>2397</v>
      </c>
      <c r="D1176" s="2">
        <v>5</v>
      </c>
      <c r="E1176" s="2">
        <v>6</v>
      </c>
      <c r="F1176" s="2">
        <v>14</v>
      </c>
      <c r="G1176" s="2">
        <v>4</v>
      </c>
      <c r="H1176" s="2">
        <v>13</v>
      </c>
      <c r="I1176" s="3">
        <v>29</v>
      </c>
      <c r="J1176" s="2">
        <v>18</v>
      </c>
      <c r="K1176" s="2">
        <v>2</v>
      </c>
      <c r="L1176" s="2">
        <v>2</v>
      </c>
      <c r="M1176" s="2">
        <v>29</v>
      </c>
      <c r="N1176" s="2">
        <v>14</v>
      </c>
      <c r="O1176" s="2">
        <v>31</v>
      </c>
      <c r="P1176" s="3">
        <v>24</v>
      </c>
      <c r="Q1176" s="2">
        <v>8</v>
      </c>
      <c r="R1176" s="2">
        <v>8</v>
      </c>
      <c r="S1176" s="2">
        <v>1</v>
      </c>
      <c r="T1176" s="2">
        <v>1</v>
      </c>
      <c r="U1176" s="2">
        <v>0</v>
      </c>
      <c r="V1176" s="1">
        <f t="shared" si="542"/>
        <v>116</v>
      </c>
      <c r="W1176" s="2">
        <v>5</v>
      </c>
      <c r="X1176" s="2">
        <v>1</v>
      </c>
      <c r="Y1176" s="2">
        <v>0</v>
      </c>
      <c r="Z1176" s="2">
        <f t="shared" si="533"/>
        <v>6</v>
      </c>
      <c r="AA1176" s="2">
        <f t="shared" si="534"/>
        <v>122</v>
      </c>
      <c r="AB1176" s="2">
        <v>2415</v>
      </c>
      <c r="AC1176" s="20">
        <f t="shared" si="535"/>
        <v>5.05175983436853</v>
      </c>
      <c r="AD1176" s="2" t="s">
        <v>58</v>
      </c>
      <c r="AE1176" s="2">
        <v>188</v>
      </c>
      <c r="AF1176" s="21">
        <f t="shared" si="536"/>
        <v>5.05175983436853</v>
      </c>
      <c r="AG1176" s="4">
        <f t="shared" si="537"/>
        <v>4.80331262939959</v>
      </c>
      <c r="AH1176" s="4">
        <f t="shared" si="538"/>
        <v>0.248447204968944</v>
      </c>
      <c r="AI1176" s="2">
        <v>8941</v>
      </c>
      <c r="AJ1176" s="2">
        <v>1064</v>
      </c>
      <c r="AK1176" s="2">
        <v>189</v>
      </c>
      <c r="AL1176" s="2">
        <v>264</v>
      </c>
      <c r="AM1176" s="2">
        <v>236</v>
      </c>
      <c r="AN1176" s="2">
        <v>4</v>
      </c>
      <c r="AO1176" s="2">
        <v>0</v>
      </c>
      <c r="AP1176" s="2">
        <f t="shared" si="541"/>
        <v>10273</v>
      </c>
      <c r="AQ1176" s="2">
        <f t="shared" si="539"/>
        <v>527.903391572456</v>
      </c>
      <c r="AR1176" s="5">
        <f t="shared" si="540"/>
        <v>992.458376156218</v>
      </c>
    </row>
    <row r="1177" spans="1:44">
      <c r="A1177" s="2">
        <v>20260411</v>
      </c>
      <c r="B1177" s="2" t="s">
        <v>2398</v>
      </c>
      <c r="C1177" s="2" t="s">
        <v>2399</v>
      </c>
      <c r="D1177" s="2">
        <v>32</v>
      </c>
      <c r="E1177" s="2">
        <v>2</v>
      </c>
      <c r="F1177" s="2">
        <v>54</v>
      </c>
      <c r="G1177" s="2">
        <v>10</v>
      </c>
      <c r="H1177" s="2">
        <v>39</v>
      </c>
      <c r="I1177" s="3">
        <v>30</v>
      </c>
      <c r="J1177" s="2">
        <v>18</v>
      </c>
      <c r="K1177" s="2">
        <v>49</v>
      </c>
      <c r="L1177" s="2">
        <v>1</v>
      </c>
      <c r="M1177" s="2">
        <v>28</v>
      </c>
      <c r="N1177" s="2">
        <v>53</v>
      </c>
      <c r="O1177" s="2">
        <v>62</v>
      </c>
      <c r="P1177" s="3">
        <v>42</v>
      </c>
      <c r="Q1177" s="2">
        <v>20</v>
      </c>
      <c r="R1177" s="2">
        <v>6</v>
      </c>
      <c r="S1177" s="2">
        <v>2</v>
      </c>
      <c r="T1177" s="2">
        <v>13</v>
      </c>
      <c r="U1177" s="2">
        <v>3</v>
      </c>
      <c r="V1177" s="1">
        <f t="shared" si="542"/>
        <v>224</v>
      </c>
      <c r="W1177" s="2">
        <v>5</v>
      </c>
      <c r="X1177" s="2">
        <v>1</v>
      </c>
      <c r="Y1177" s="2">
        <v>0</v>
      </c>
      <c r="Z1177" s="2">
        <f t="shared" si="533"/>
        <v>9</v>
      </c>
      <c r="AA1177" s="2">
        <f t="shared" si="534"/>
        <v>233</v>
      </c>
      <c r="AB1177" s="2">
        <v>2284</v>
      </c>
      <c r="AC1177" s="20">
        <f t="shared" si="535"/>
        <v>10.2014010507881</v>
      </c>
      <c r="AD1177" s="2" t="s">
        <v>49</v>
      </c>
      <c r="AE1177" s="2">
        <v>188</v>
      </c>
      <c r="AF1177" s="21">
        <f t="shared" si="536"/>
        <v>10.2014010507881</v>
      </c>
      <c r="AG1177" s="4">
        <f t="shared" si="537"/>
        <v>9.80735551663748</v>
      </c>
      <c r="AH1177" s="4">
        <f t="shared" si="538"/>
        <v>0.394045534150613</v>
      </c>
      <c r="AI1177" s="2">
        <v>4044</v>
      </c>
      <c r="AJ1177" s="2">
        <v>166</v>
      </c>
      <c r="AK1177" s="2">
        <v>182</v>
      </c>
      <c r="AL1177" s="2">
        <v>91</v>
      </c>
      <c r="AM1177" s="2">
        <v>83</v>
      </c>
      <c r="AN1177" s="2">
        <v>5</v>
      </c>
      <c r="AO1177" s="2">
        <v>0</v>
      </c>
      <c r="AP1177" s="2">
        <f t="shared" si="541"/>
        <v>4306</v>
      </c>
      <c r="AQ1177" s="2">
        <f t="shared" si="539"/>
        <v>178.302277432712</v>
      </c>
      <c r="AR1177" s="5">
        <f t="shared" si="540"/>
        <v>335.208281573499</v>
      </c>
    </row>
    <row r="1178" spans="1:44">
      <c r="A1178" s="2">
        <v>20260411</v>
      </c>
      <c r="B1178" s="2" t="s">
        <v>2400</v>
      </c>
      <c r="C1178" s="2" t="s">
        <v>2401</v>
      </c>
      <c r="D1178" s="2">
        <v>3</v>
      </c>
      <c r="E1178" s="2">
        <v>0</v>
      </c>
      <c r="F1178" s="2">
        <v>8</v>
      </c>
      <c r="G1178" s="2">
        <v>64</v>
      </c>
      <c r="H1178" s="2">
        <v>25</v>
      </c>
      <c r="I1178" s="3">
        <v>43</v>
      </c>
      <c r="J1178" s="2">
        <v>49</v>
      </c>
      <c r="K1178" s="2">
        <v>1</v>
      </c>
      <c r="L1178" s="2">
        <v>1</v>
      </c>
      <c r="M1178" s="2">
        <v>104</v>
      </c>
      <c r="N1178" s="2">
        <v>11</v>
      </c>
      <c r="O1178" s="2">
        <v>5</v>
      </c>
      <c r="P1178" s="3">
        <v>24</v>
      </c>
      <c r="Q1178" s="2">
        <v>9</v>
      </c>
      <c r="R1178" s="2">
        <v>2</v>
      </c>
      <c r="S1178" s="2">
        <v>1</v>
      </c>
      <c r="T1178" s="2">
        <v>9</v>
      </c>
      <c r="U1178" s="2">
        <v>1</v>
      </c>
      <c r="V1178" s="1">
        <f t="shared" si="542"/>
        <v>310</v>
      </c>
      <c r="W1178" s="2">
        <v>7</v>
      </c>
      <c r="X1178" s="2">
        <v>3</v>
      </c>
      <c r="Y1178" s="2">
        <v>0</v>
      </c>
      <c r="Z1178" s="2">
        <f t="shared" si="533"/>
        <v>11</v>
      </c>
      <c r="AA1178" s="2">
        <f t="shared" si="534"/>
        <v>321</v>
      </c>
      <c r="AB1178" s="2">
        <v>2535</v>
      </c>
      <c r="AC1178" s="20">
        <f t="shared" si="535"/>
        <v>12.6627218934911</v>
      </c>
      <c r="AD1178" s="2" t="s">
        <v>49</v>
      </c>
      <c r="AE1178" s="2">
        <v>188</v>
      </c>
      <c r="AF1178" s="21">
        <f t="shared" si="536"/>
        <v>12.6627218934911</v>
      </c>
      <c r="AG1178" s="4">
        <f t="shared" si="537"/>
        <v>12.2287968441815</v>
      </c>
      <c r="AH1178" s="4">
        <f t="shared" si="538"/>
        <v>0.433925049309665</v>
      </c>
      <c r="AI1178" s="2">
        <v>7521</v>
      </c>
      <c r="AJ1178" s="2">
        <v>508</v>
      </c>
      <c r="AK1178" s="2">
        <v>191</v>
      </c>
      <c r="AL1178" s="2">
        <v>140</v>
      </c>
      <c r="AM1178" s="2">
        <v>105</v>
      </c>
      <c r="AN1178" s="2">
        <v>13</v>
      </c>
      <c r="AO1178" s="2">
        <v>0</v>
      </c>
      <c r="AP1178" s="2">
        <f t="shared" si="541"/>
        <v>8182</v>
      </c>
      <c r="AQ1178" s="2">
        <f t="shared" si="539"/>
        <v>358.231173380035</v>
      </c>
      <c r="AR1178" s="5">
        <f t="shared" si="540"/>
        <v>673.474605954466</v>
      </c>
    </row>
    <row r="1179" spans="1:44">
      <c r="A1179" s="2">
        <v>20260411</v>
      </c>
      <c r="B1179" s="2" t="s">
        <v>2402</v>
      </c>
      <c r="C1179" s="2" t="s">
        <v>2403</v>
      </c>
      <c r="D1179" s="2">
        <v>0</v>
      </c>
      <c r="E1179" s="2">
        <v>11</v>
      </c>
      <c r="F1179" s="2">
        <v>4</v>
      </c>
      <c r="G1179" s="2">
        <v>9</v>
      </c>
      <c r="H1179" s="2">
        <v>9</v>
      </c>
      <c r="I1179" s="3">
        <v>4</v>
      </c>
      <c r="J1179" s="2">
        <v>10</v>
      </c>
      <c r="K1179" s="2">
        <v>6</v>
      </c>
      <c r="L1179" s="2">
        <v>1</v>
      </c>
      <c r="M1179" s="2">
        <v>69</v>
      </c>
      <c r="N1179" s="2">
        <v>9</v>
      </c>
      <c r="O1179" s="2">
        <v>11</v>
      </c>
      <c r="P1179" s="3">
        <v>11</v>
      </c>
      <c r="Q1179" s="2">
        <v>7</v>
      </c>
      <c r="R1179" s="2">
        <v>14</v>
      </c>
      <c r="S1179" s="2">
        <v>0</v>
      </c>
      <c r="T1179" s="2">
        <v>3</v>
      </c>
      <c r="U1179" s="2">
        <v>0</v>
      </c>
      <c r="V1179" s="1">
        <f t="shared" si="542"/>
        <v>112</v>
      </c>
      <c r="W1179" s="2">
        <v>4</v>
      </c>
      <c r="X1179" s="2">
        <v>6</v>
      </c>
      <c r="Y1179" s="2">
        <v>0</v>
      </c>
      <c r="Z1179" s="2">
        <f t="shared" ref="Z1179:Z1199" si="543">Y1179+X1179+W1179+U1179</f>
        <v>10</v>
      </c>
      <c r="AA1179" s="2">
        <f t="shared" ref="AA1179:AA1199" si="544">G1179+H1179+I1179+J1179+K1179+L1179+M1179+P1179+T1179+U1179</f>
        <v>122</v>
      </c>
      <c r="AB1179" s="2">
        <v>1288</v>
      </c>
      <c r="AC1179" s="20">
        <f t="shared" si="535"/>
        <v>9.47204968944099</v>
      </c>
      <c r="AD1179" s="2" t="s">
        <v>49</v>
      </c>
      <c r="AE1179" s="2">
        <v>188</v>
      </c>
      <c r="AF1179" s="21">
        <f t="shared" si="536"/>
        <v>9.47204968944099</v>
      </c>
      <c r="AG1179" s="4">
        <f t="shared" si="537"/>
        <v>8.69565217391304</v>
      </c>
      <c r="AH1179" s="4">
        <f t="shared" si="538"/>
        <v>0.77639751552795</v>
      </c>
      <c r="AI1179" s="2">
        <v>2649</v>
      </c>
      <c r="AJ1179" s="2">
        <v>129</v>
      </c>
      <c r="AK1179" s="2">
        <v>68</v>
      </c>
      <c r="AL1179" s="2">
        <v>18</v>
      </c>
      <c r="AM1179" s="2">
        <v>39</v>
      </c>
      <c r="AN1179" s="2">
        <v>5</v>
      </c>
      <c r="AO1179" s="2">
        <v>0</v>
      </c>
      <c r="AP1179" s="2">
        <f t="shared" si="541"/>
        <v>2801</v>
      </c>
      <c r="AQ1179" s="2">
        <f t="shared" si="539"/>
        <v>110.493096646943</v>
      </c>
      <c r="AR1179" s="5">
        <f t="shared" si="540"/>
        <v>207.727021696252</v>
      </c>
    </row>
    <row r="1180" spans="1:44">
      <c r="A1180" s="2">
        <v>20260411</v>
      </c>
      <c r="B1180" s="2" t="s">
        <v>2404</v>
      </c>
      <c r="C1180" s="2" t="s">
        <v>2405</v>
      </c>
      <c r="D1180" s="2">
        <v>0</v>
      </c>
      <c r="E1180" s="2">
        <v>7</v>
      </c>
      <c r="F1180" s="2">
        <v>4</v>
      </c>
      <c r="G1180" s="2">
        <v>6</v>
      </c>
      <c r="H1180" s="2">
        <v>17</v>
      </c>
      <c r="I1180" s="3">
        <v>202</v>
      </c>
      <c r="J1180" s="2">
        <v>14</v>
      </c>
      <c r="K1180" s="2">
        <v>4</v>
      </c>
      <c r="L1180" s="2">
        <v>2</v>
      </c>
      <c r="M1180" s="2">
        <v>139</v>
      </c>
      <c r="N1180" s="2">
        <v>41</v>
      </c>
      <c r="O1180" s="2">
        <v>3</v>
      </c>
      <c r="P1180" s="3">
        <v>45</v>
      </c>
      <c r="Q1180" s="2">
        <v>3</v>
      </c>
      <c r="R1180" s="2">
        <v>17</v>
      </c>
      <c r="S1180" s="2">
        <v>4</v>
      </c>
      <c r="T1180" s="2">
        <v>4</v>
      </c>
      <c r="U1180" s="2">
        <v>0</v>
      </c>
      <c r="V1180" s="1">
        <f t="shared" si="542"/>
        <v>421</v>
      </c>
      <c r="W1180" s="2">
        <v>2</v>
      </c>
      <c r="X1180" s="2">
        <v>10</v>
      </c>
      <c r="Y1180" s="2">
        <v>0</v>
      </c>
      <c r="Z1180" s="2">
        <f t="shared" si="543"/>
        <v>12</v>
      </c>
      <c r="AA1180" s="2">
        <f t="shared" si="544"/>
        <v>433</v>
      </c>
      <c r="AB1180" s="2">
        <v>2625</v>
      </c>
      <c r="AC1180" s="20">
        <f t="shared" ref="AC1180:AC1199" si="545">AA1180/AB1180*100</f>
        <v>16.4952380952381</v>
      </c>
      <c r="AD1180" s="2" t="s">
        <v>58</v>
      </c>
      <c r="AE1180" s="2">
        <v>188</v>
      </c>
      <c r="AF1180" s="21">
        <f t="shared" ref="AF1180:AF1201" si="546">188/AE1180*AC1180</f>
        <v>16.4952380952381</v>
      </c>
      <c r="AG1180" s="4">
        <f t="shared" ref="AG1180:AG1201" si="547">V1180/AB1180*100</f>
        <v>16.0380952380952</v>
      </c>
      <c r="AH1180" s="4">
        <f t="shared" ref="AH1180:AH1201" si="548">Z1180/AB1180*100</f>
        <v>0.457142857142857</v>
      </c>
      <c r="AI1180" s="2">
        <v>2113</v>
      </c>
      <c r="AJ1180" s="2">
        <v>129</v>
      </c>
      <c r="AK1180" s="2">
        <v>42</v>
      </c>
      <c r="AL1180" s="2">
        <v>34</v>
      </c>
      <c r="AM1180" s="2">
        <v>35</v>
      </c>
      <c r="AN1180" s="2">
        <v>1</v>
      </c>
      <c r="AO1180" s="2">
        <v>0</v>
      </c>
      <c r="AP1180" s="2">
        <f t="shared" ref="AP1180:AP1197" si="549">AI1180+AJ1180+AL1180+AN1180</f>
        <v>2277</v>
      </c>
      <c r="AQ1180" s="2">
        <f t="shared" ref="AQ1180:AQ1197" si="550">AP1180/AB1179*100</f>
        <v>176.785714285714</v>
      </c>
      <c r="AR1180" s="5">
        <f t="shared" ref="AR1180:AR1197" si="551">AQ1180*1.88</f>
        <v>332.357142857143</v>
      </c>
    </row>
    <row r="1181" spans="1:44">
      <c r="A1181" s="2">
        <v>20260412</v>
      </c>
      <c r="B1181" s="2" t="s">
        <v>2406</v>
      </c>
      <c r="C1181" s="2" t="s">
        <v>2407</v>
      </c>
      <c r="D1181" s="2">
        <v>4</v>
      </c>
      <c r="E1181" s="2">
        <v>466</v>
      </c>
      <c r="F1181" s="2">
        <v>157</v>
      </c>
      <c r="G1181" s="2">
        <v>19</v>
      </c>
      <c r="H1181" s="2">
        <v>35</v>
      </c>
      <c r="I1181" s="3">
        <v>48</v>
      </c>
      <c r="J1181" s="2">
        <v>237</v>
      </c>
      <c r="K1181" s="2">
        <v>14</v>
      </c>
      <c r="L1181" s="2">
        <v>2</v>
      </c>
      <c r="M1181" s="2">
        <v>173</v>
      </c>
      <c r="N1181" s="2">
        <v>128</v>
      </c>
      <c r="O1181" s="2">
        <v>87</v>
      </c>
      <c r="P1181" s="3">
        <v>34</v>
      </c>
      <c r="Q1181" s="2">
        <v>70</v>
      </c>
      <c r="R1181" s="2">
        <v>55</v>
      </c>
      <c r="S1181" s="2">
        <v>2</v>
      </c>
      <c r="T1181" s="2">
        <v>105</v>
      </c>
      <c r="U1181" s="2">
        <v>1</v>
      </c>
      <c r="V1181" s="1">
        <f t="shared" ref="V1181:V1196" si="552">AA1181-Y1181-X1181-W1181-U1181</f>
        <v>656</v>
      </c>
      <c r="W1181" s="2">
        <v>4</v>
      </c>
      <c r="X1181" s="2">
        <v>5</v>
      </c>
      <c r="Y1181" s="2">
        <v>2</v>
      </c>
      <c r="Z1181" s="2">
        <f t="shared" si="543"/>
        <v>12</v>
      </c>
      <c r="AA1181" s="2">
        <f t="shared" si="544"/>
        <v>668</v>
      </c>
      <c r="AB1181" s="2">
        <v>3125</v>
      </c>
      <c r="AC1181" s="20">
        <f t="shared" si="545"/>
        <v>21.376</v>
      </c>
      <c r="AD1181" s="2" t="s">
        <v>58</v>
      </c>
      <c r="AE1181" s="2">
        <v>188</v>
      </c>
      <c r="AF1181" s="21">
        <f t="shared" si="546"/>
        <v>21.376</v>
      </c>
      <c r="AG1181" s="4">
        <f t="shared" si="547"/>
        <v>20.992</v>
      </c>
      <c r="AH1181" s="4">
        <f t="shared" si="548"/>
        <v>0.384</v>
      </c>
      <c r="AI1181" s="2">
        <v>4721</v>
      </c>
      <c r="AJ1181" s="2">
        <v>633</v>
      </c>
      <c r="AK1181" s="2">
        <v>63</v>
      </c>
      <c r="AL1181" s="2">
        <v>2518</v>
      </c>
      <c r="AM1181" s="2">
        <v>222</v>
      </c>
      <c r="AN1181" s="2">
        <v>7</v>
      </c>
      <c r="AO1181" s="2">
        <v>0</v>
      </c>
      <c r="AP1181" s="2">
        <f t="shared" si="549"/>
        <v>7879</v>
      </c>
      <c r="AQ1181" s="2">
        <f t="shared" si="550"/>
        <v>300.152380952381</v>
      </c>
      <c r="AR1181" s="5">
        <f t="shared" si="551"/>
        <v>564.286476190476</v>
      </c>
    </row>
    <row r="1182" spans="1:44">
      <c r="A1182" s="2">
        <v>20260412</v>
      </c>
      <c r="B1182" s="2" t="s">
        <v>2408</v>
      </c>
      <c r="C1182" s="2" t="s">
        <v>2409</v>
      </c>
      <c r="D1182" s="2">
        <v>2</v>
      </c>
      <c r="E1182" s="2">
        <v>1</v>
      </c>
      <c r="F1182" s="2">
        <v>8</v>
      </c>
      <c r="G1182" s="2">
        <v>6</v>
      </c>
      <c r="H1182" s="2">
        <v>2</v>
      </c>
      <c r="I1182" s="3">
        <v>7</v>
      </c>
      <c r="J1182" s="2">
        <v>12</v>
      </c>
      <c r="K1182" s="2">
        <v>2</v>
      </c>
      <c r="L1182" s="2">
        <v>1</v>
      </c>
      <c r="M1182" s="2">
        <v>126</v>
      </c>
      <c r="N1182" s="2">
        <v>9</v>
      </c>
      <c r="O1182" s="2">
        <v>4</v>
      </c>
      <c r="P1182" s="3">
        <v>18</v>
      </c>
      <c r="Q1182" s="2">
        <v>2</v>
      </c>
      <c r="R1182" s="2">
        <v>7</v>
      </c>
      <c r="S1182" s="2">
        <v>0</v>
      </c>
      <c r="T1182" s="2">
        <v>3</v>
      </c>
      <c r="U1182" s="2">
        <v>0</v>
      </c>
      <c r="V1182" s="1">
        <f t="shared" si="552"/>
        <v>174</v>
      </c>
      <c r="W1182" s="2">
        <v>1</v>
      </c>
      <c r="X1182" s="2">
        <v>2</v>
      </c>
      <c r="Y1182" s="2">
        <v>0</v>
      </c>
      <c r="Z1182" s="2">
        <f t="shared" si="543"/>
        <v>3</v>
      </c>
      <c r="AA1182" s="2">
        <f t="shared" si="544"/>
        <v>177</v>
      </c>
      <c r="AB1182" s="2">
        <v>2525</v>
      </c>
      <c r="AC1182" s="20">
        <f t="shared" si="545"/>
        <v>7.00990099009901</v>
      </c>
      <c r="AD1182" s="2" t="s">
        <v>58</v>
      </c>
      <c r="AE1182" s="2">
        <v>188</v>
      </c>
      <c r="AF1182" s="21">
        <f t="shared" si="546"/>
        <v>7.00990099009901</v>
      </c>
      <c r="AG1182" s="4">
        <f t="shared" si="547"/>
        <v>6.89108910891089</v>
      </c>
      <c r="AH1182" s="4">
        <f t="shared" si="548"/>
        <v>0.118811881188119</v>
      </c>
      <c r="AI1182" s="2">
        <v>3423</v>
      </c>
      <c r="AJ1182" s="2">
        <v>312</v>
      </c>
      <c r="AK1182" s="2">
        <v>128</v>
      </c>
      <c r="AL1182" s="2">
        <v>37</v>
      </c>
      <c r="AM1182" s="2">
        <v>30</v>
      </c>
      <c r="AN1182" s="2">
        <v>1</v>
      </c>
      <c r="AO1182" s="2">
        <v>0</v>
      </c>
      <c r="AP1182" s="2">
        <f t="shared" si="549"/>
        <v>3773</v>
      </c>
      <c r="AQ1182" s="2">
        <f t="shared" si="550"/>
        <v>120.736</v>
      </c>
      <c r="AR1182" s="5">
        <f t="shared" si="551"/>
        <v>226.98368</v>
      </c>
    </row>
    <row r="1183" spans="1:44">
      <c r="A1183" s="2">
        <v>20260412</v>
      </c>
      <c r="B1183" s="2" t="s">
        <v>2410</v>
      </c>
      <c r="C1183" s="2" t="s">
        <v>2411</v>
      </c>
      <c r="D1183" s="2">
        <v>6</v>
      </c>
      <c r="E1183" s="2">
        <v>1198</v>
      </c>
      <c r="F1183" s="2">
        <v>496</v>
      </c>
      <c r="G1183" s="2">
        <v>19</v>
      </c>
      <c r="H1183" s="2">
        <v>194</v>
      </c>
      <c r="I1183" s="3">
        <v>24</v>
      </c>
      <c r="J1183" s="2">
        <v>1070</v>
      </c>
      <c r="K1183" s="2">
        <v>27</v>
      </c>
      <c r="L1183" s="2">
        <v>6</v>
      </c>
      <c r="M1183" s="2">
        <v>144</v>
      </c>
      <c r="N1183" s="2">
        <v>196</v>
      </c>
      <c r="O1183" s="2">
        <v>181</v>
      </c>
      <c r="P1183" s="3">
        <v>25</v>
      </c>
      <c r="Q1183" s="2">
        <v>78</v>
      </c>
      <c r="R1183" s="2">
        <v>131</v>
      </c>
      <c r="S1183" s="2">
        <v>3</v>
      </c>
      <c r="T1183" s="2">
        <v>197</v>
      </c>
      <c r="U1183" s="2">
        <v>7</v>
      </c>
      <c r="V1183" s="1">
        <f t="shared" si="552"/>
        <v>1697</v>
      </c>
      <c r="W1183" s="2">
        <v>2</v>
      </c>
      <c r="X1183" s="2">
        <v>6</v>
      </c>
      <c r="Y1183" s="2">
        <v>1</v>
      </c>
      <c r="Z1183" s="2">
        <f t="shared" si="543"/>
        <v>16</v>
      </c>
      <c r="AA1183" s="2">
        <f t="shared" si="544"/>
        <v>1713</v>
      </c>
      <c r="AB1183" s="2">
        <v>2925</v>
      </c>
      <c r="AC1183" s="20">
        <f t="shared" si="545"/>
        <v>58.5641025641026</v>
      </c>
      <c r="AD1183" s="2" t="s">
        <v>58</v>
      </c>
      <c r="AE1183" s="2">
        <v>188</v>
      </c>
      <c r="AF1183" s="21">
        <f t="shared" si="546"/>
        <v>58.5641025641026</v>
      </c>
      <c r="AG1183" s="4">
        <f t="shared" si="547"/>
        <v>58.017094017094</v>
      </c>
      <c r="AH1183" s="4">
        <f t="shared" si="548"/>
        <v>0.547008547008547</v>
      </c>
      <c r="AI1183" s="2">
        <v>10999</v>
      </c>
      <c r="AJ1183" s="2">
        <v>2407</v>
      </c>
      <c r="AK1183" s="2">
        <v>182</v>
      </c>
      <c r="AL1183" s="2">
        <v>6343</v>
      </c>
      <c r="AM1183" s="2">
        <v>209</v>
      </c>
      <c r="AN1183" s="2">
        <v>8</v>
      </c>
      <c r="AO1183" s="2">
        <v>0</v>
      </c>
      <c r="AP1183" s="2">
        <f t="shared" si="549"/>
        <v>19757</v>
      </c>
      <c r="AQ1183" s="2">
        <f t="shared" si="550"/>
        <v>782.455445544554</v>
      </c>
      <c r="AR1183" s="5">
        <f t="shared" si="551"/>
        <v>1471.01623762376</v>
      </c>
    </row>
    <row r="1184" spans="1:44">
      <c r="A1184" s="2">
        <v>20260412</v>
      </c>
      <c r="B1184" s="2" t="s">
        <v>2412</v>
      </c>
      <c r="C1184" s="2" t="s">
        <v>2413</v>
      </c>
      <c r="D1184" s="2">
        <v>2</v>
      </c>
      <c r="E1184" s="2">
        <v>0</v>
      </c>
      <c r="F1184" s="2">
        <v>1</v>
      </c>
      <c r="G1184" s="2">
        <v>10</v>
      </c>
      <c r="H1184" s="2">
        <v>4</v>
      </c>
      <c r="I1184" s="3">
        <v>11</v>
      </c>
      <c r="J1184" s="2">
        <v>8</v>
      </c>
      <c r="K1184" s="2">
        <v>0</v>
      </c>
      <c r="L1184" s="2">
        <v>0</v>
      </c>
      <c r="M1184" s="2">
        <v>120</v>
      </c>
      <c r="N1184" s="2">
        <v>1</v>
      </c>
      <c r="O1184" s="2">
        <v>5</v>
      </c>
      <c r="P1184" s="3">
        <v>14</v>
      </c>
      <c r="Q1184" s="2">
        <v>0</v>
      </c>
      <c r="R1184" s="2">
        <v>5</v>
      </c>
      <c r="S1184" s="2">
        <v>1</v>
      </c>
      <c r="T1184" s="2">
        <v>4</v>
      </c>
      <c r="U1184" s="2">
        <v>1</v>
      </c>
      <c r="V1184" s="1">
        <f t="shared" si="552"/>
        <v>170</v>
      </c>
      <c r="W1184" s="2">
        <v>1</v>
      </c>
      <c r="X1184" s="2">
        <v>0</v>
      </c>
      <c r="Y1184" s="2">
        <v>0</v>
      </c>
      <c r="Z1184" s="2">
        <f t="shared" si="543"/>
        <v>2</v>
      </c>
      <c r="AA1184" s="2">
        <f t="shared" si="544"/>
        <v>172</v>
      </c>
      <c r="AB1184" s="2">
        <v>2515</v>
      </c>
      <c r="AC1184" s="20">
        <f t="shared" si="545"/>
        <v>6.8389662027833</v>
      </c>
      <c r="AD1184" s="2" t="s">
        <v>58</v>
      </c>
      <c r="AE1184" s="2">
        <v>188</v>
      </c>
      <c r="AF1184" s="21">
        <f t="shared" si="546"/>
        <v>6.8389662027833</v>
      </c>
      <c r="AG1184" s="4">
        <f t="shared" si="547"/>
        <v>6.75944333996024</v>
      </c>
      <c r="AH1184" s="4">
        <f t="shared" si="548"/>
        <v>0.0795228628230616</v>
      </c>
      <c r="AI1184" s="2">
        <v>4681</v>
      </c>
      <c r="AJ1184" s="2">
        <v>249</v>
      </c>
      <c r="AK1184" s="2">
        <v>126</v>
      </c>
      <c r="AL1184" s="2">
        <v>45</v>
      </c>
      <c r="AM1184" s="2">
        <v>29</v>
      </c>
      <c r="AN1184" s="2">
        <v>2</v>
      </c>
      <c r="AO1184" s="2">
        <v>0</v>
      </c>
      <c r="AP1184" s="2">
        <f t="shared" si="549"/>
        <v>4977</v>
      </c>
      <c r="AQ1184" s="2">
        <f t="shared" si="550"/>
        <v>170.153846153846</v>
      </c>
      <c r="AR1184" s="5">
        <f t="shared" si="551"/>
        <v>319.889230769231</v>
      </c>
    </row>
    <row r="1185" spans="1:44">
      <c r="A1185" s="2">
        <v>20260412</v>
      </c>
      <c r="B1185" s="2" t="s">
        <v>2414</v>
      </c>
      <c r="C1185" s="2" t="s">
        <v>2415</v>
      </c>
      <c r="D1185" s="2">
        <v>1</v>
      </c>
      <c r="E1185" s="2">
        <v>1</v>
      </c>
      <c r="F1185" s="2">
        <v>11</v>
      </c>
      <c r="G1185" s="2">
        <v>11</v>
      </c>
      <c r="H1185" s="2">
        <v>9</v>
      </c>
      <c r="I1185" s="3">
        <v>20</v>
      </c>
      <c r="J1185" s="2">
        <v>9</v>
      </c>
      <c r="K1185" s="2">
        <v>3</v>
      </c>
      <c r="L1185" s="2">
        <v>2</v>
      </c>
      <c r="M1185" s="2">
        <v>131</v>
      </c>
      <c r="N1185" s="2">
        <v>5</v>
      </c>
      <c r="O1185" s="2">
        <v>10</v>
      </c>
      <c r="P1185" s="3">
        <v>12</v>
      </c>
      <c r="Q1185" s="2">
        <v>4</v>
      </c>
      <c r="R1185" s="2">
        <v>6</v>
      </c>
      <c r="S1185" s="2">
        <v>4</v>
      </c>
      <c r="T1185" s="2">
        <v>9</v>
      </c>
      <c r="U1185" s="2">
        <v>0</v>
      </c>
      <c r="V1185" s="1">
        <f t="shared" si="552"/>
        <v>205</v>
      </c>
      <c r="W1185" s="2">
        <v>0</v>
      </c>
      <c r="X1185" s="2">
        <v>1</v>
      </c>
      <c r="Y1185" s="2">
        <v>0</v>
      </c>
      <c r="Z1185" s="2">
        <f t="shared" si="543"/>
        <v>1</v>
      </c>
      <c r="AA1185" s="2">
        <f t="shared" si="544"/>
        <v>206</v>
      </c>
      <c r="AB1185" s="2">
        <v>2515</v>
      </c>
      <c r="AC1185" s="20">
        <f t="shared" si="545"/>
        <v>8.19085487077535</v>
      </c>
      <c r="AD1185" s="2" t="s">
        <v>58</v>
      </c>
      <c r="AE1185" s="2">
        <v>188</v>
      </c>
      <c r="AF1185" s="21">
        <f t="shared" si="546"/>
        <v>8.19085487077535</v>
      </c>
      <c r="AG1185" s="4">
        <f t="shared" si="547"/>
        <v>8.15109343936382</v>
      </c>
      <c r="AH1185" s="4">
        <f t="shared" si="548"/>
        <v>0.0397614314115308</v>
      </c>
      <c r="AI1185" s="2">
        <v>3380</v>
      </c>
      <c r="AJ1185" s="2">
        <v>168</v>
      </c>
      <c r="AK1185" s="2">
        <v>81</v>
      </c>
      <c r="AL1185" s="2">
        <v>74</v>
      </c>
      <c r="AM1185" s="2">
        <v>52</v>
      </c>
      <c r="AN1185" s="2">
        <v>3</v>
      </c>
      <c r="AO1185" s="2">
        <v>0</v>
      </c>
      <c r="AP1185" s="2">
        <f t="shared" si="549"/>
        <v>3625</v>
      </c>
      <c r="AQ1185" s="2">
        <f t="shared" si="550"/>
        <v>144.135188866799</v>
      </c>
      <c r="AR1185" s="5">
        <f t="shared" si="551"/>
        <v>270.974155069582</v>
      </c>
    </row>
    <row r="1186" spans="1:44">
      <c r="A1186" s="2">
        <v>20260412</v>
      </c>
      <c r="B1186" s="2" t="s">
        <v>2416</v>
      </c>
      <c r="C1186" s="2" t="s">
        <v>2417</v>
      </c>
      <c r="D1186" s="2">
        <v>1</v>
      </c>
      <c r="E1186" s="2">
        <v>10</v>
      </c>
      <c r="F1186" s="2">
        <v>4</v>
      </c>
      <c r="G1186" s="2">
        <v>1</v>
      </c>
      <c r="H1186" s="2">
        <v>3</v>
      </c>
      <c r="I1186" s="3">
        <v>6</v>
      </c>
      <c r="J1186" s="2">
        <v>25</v>
      </c>
      <c r="K1186" s="2">
        <v>0</v>
      </c>
      <c r="L1186" s="2">
        <v>0</v>
      </c>
      <c r="M1186" s="2">
        <v>63</v>
      </c>
      <c r="N1186" s="2">
        <v>2</v>
      </c>
      <c r="O1186" s="2">
        <v>4</v>
      </c>
      <c r="P1186" s="3">
        <v>0</v>
      </c>
      <c r="Q1186" s="2">
        <v>3</v>
      </c>
      <c r="R1186" s="2">
        <v>0</v>
      </c>
      <c r="S1186" s="2">
        <v>1</v>
      </c>
      <c r="T1186" s="2">
        <v>0</v>
      </c>
      <c r="U1186" s="2">
        <v>0</v>
      </c>
      <c r="V1186" s="1">
        <f t="shared" si="552"/>
        <v>98</v>
      </c>
      <c r="W1186" s="2">
        <v>0</v>
      </c>
      <c r="X1186" s="2">
        <v>0</v>
      </c>
      <c r="Y1186" s="2">
        <v>0</v>
      </c>
      <c r="Z1186" s="2">
        <f t="shared" si="543"/>
        <v>0</v>
      </c>
      <c r="AA1186" s="2">
        <f t="shared" si="544"/>
        <v>98</v>
      </c>
      <c r="AB1186" s="2">
        <v>1278</v>
      </c>
      <c r="AC1186" s="20">
        <f t="shared" si="545"/>
        <v>7.66823161189358</v>
      </c>
      <c r="AD1186" s="2" t="s">
        <v>58</v>
      </c>
      <c r="AE1186" s="2">
        <v>188</v>
      </c>
      <c r="AF1186" s="21">
        <f t="shared" si="546"/>
        <v>7.66823161189358</v>
      </c>
      <c r="AG1186" s="4">
        <f t="shared" si="547"/>
        <v>7.66823161189358</v>
      </c>
      <c r="AH1186" s="4">
        <f t="shared" si="548"/>
        <v>0</v>
      </c>
      <c r="AI1186" s="2">
        <v>1582</v>
      </c>
      <c r="AJ1186" s="2">
        <v>989</v>
      </c>
      <c r="AK1186" s="2">
        <v>44</v>
      </c>
      <c r="AL1186" s="2">
        <v>18</v>
      </c>
      <c r="AM1186" s="2">
        <v>32</v>
      </c>
      <c r="AN1186" s="2">
        <v>2</v>
      </c>
      <c r="AO1186" s="2">
        <v>0</v>
      </c>
      <c r="AP1186" s="2">
        <f t="shared" si="549"/>
        <v>2591</v>
      </c>
      <c r="AQ1186" s="2">
        <f t="shared" si="550"/>
        <v>103.021868787276</v>
      </c>
      <c r="AR1186" s="5">
        <f t="shared" si="551"/>
        <v>193.68111332008</v>
      </c>
    </row>
    <row r="1187" spans="1:44">
      <c r="A1187" s="2">
        <v>20260412</v>
      </c>
      <c r="B1187" s="37" t="s">
        <v>2418</v>
      </c>
      <c r="C1187" s="2" t="s">
        <v>2419</v>
      </c>
      <c r="D1187" s="2">
        <v>5</v>
      </c>
      <c r="E1187" s="2">
        <v>2819</v>
      </c>
      <c r="F1187" s="2">
        <v>25</v>
      </c>
      <c r="G1187" s="2">
        <v>8</v>
      </c>
      <c r="H1187" s="2">
        <v>14</v>
      </c>
      <c r="I1187" s="3">
        <v>54</v>
      </c>
      <c r="J1187" s="2">
        <v>32</v>
      </c>
      <c r="K1187" s="2">
        <v>5</v>
      </c>
      <c r="L1187" s="2">
        <v>3</v>
      </c>
      <c r="M1187" s="2">
        <v>102</v>
      </c>
      <c r="N1187" s="2">
        <v>46</v>
      </c>
      <c r="O1187" s="2">
        <v>22</v>
      </c>
      <c r="P1187" s="3">
        <v>7</v>
      </c>
      <c r="Q1187" s="2">
        <v>4</v>
      </c>
      <c r="R1187" s="2">
        <v>36</v>
      </c>
      <c r="S1187" s="2">
        <v>1</v>
      </c>
      <c r="T1187" s="2">
        <v>18</v>
      </c>
      <c r="U1187" s="2">
        <v>0</v>
      </c>
      <c r="V1187" s="1">
        <f t="shared" si="552"/>
        <v>241</v>
      </c>
      <c r="W1187" s="2">
        <v>1</v>
      </c>
      <c r="X1187" s="2">
        <v>0</v>
      </c>
      <c r="Y1187" s="2">
        <v>1</v>
      </c>
      <c r="Z1187" s="2">
        <f t="shared" si="543"/>
        <v>2</v>
      </c>
      <c r="AA1187" s="2">
        <f t="shared" si="544"/>
        <v>243</v>
      </c>
      <c r="AB1187" s="2">
        <v>3910</v>
      </c>
      <c r="AC1187" s="20">
        <f t="shared" si="545"/>
        <v>6.21483375959079</v>
      </c>
      <c r="AD1187" s="2" t="s">
        <v>257</v>
      </c>
      <c r="AE1187" s="2">
        <v>100</v>
      </c>
      <c r="AF1187" s="21">
        <f t="shared" si="546"/>
        <v>11.6838874680307</v>
      </c>
      <c r="AG1187" s="4">
        <f t="shared" si="547"/>
        <v>6.16368286445013</v>
      </c>
      <c r="AH1187" s="4">
        <f t="shared" si="548"/>
        <v>0.051150895140665</v>
      </c>
      <c r="AI1187" s="2">
        <v>9530</v>
      </c>
      <c r="AJ1187" s="2">
        <v>1038</v>
      </c>
      <c r="AK1187" s="2">
        <v>6017</v>
      </c>
      <c r="AL1187" s="2">
        <v>765</v>
      </c>
      <c r="AM1187" s="2">
        <v>203</v>
      </c>
      <c r="AN1187" s="2">
        <v>7</v>
      </c>
      <c r="AO1187" s="2">
        <v>0</v>
      </c>
      <c r="AP1187" s="2">
        <f t="shared" si="549"/>
        <v>11340</v>
      </c>
      <c r="AQ1187" s="2">
        <f t="shared" si="550"/>
        <v>887.323943661972</v>
      </c>
      <c r="AR1187" s="5">
        <f t="shared" si="551"/>
        <v>1668.16901408451</v>
      </c>
    </row>
    <row r="1188" spans="1:44">
      <c r="A1188" s="2">
        <v>20260412</v>
      </c>
      <c r="B1188" s="2" t="s">
        <v>2420</v>
      </c>
      <c r="C1188" s="2" t="s">
        <v>2421</v>
      </c>
      <c r="D1188" s="2">
        <v>401</v>
      </c>
      <c r="E1188" s="2">
        <v>74</v>
      </c>
      <c r="F1188" s="2">
        <v>3</v>
      </c>
      <c r="G1188" s="2">
        <v>20</v>
      </c>
      <c r="H1188" s="2">
        <v>15</v>
      </c>
      <c r="I1188" s="3">
        <v>4974</v>
      </c>
      <c r="J1188" s="2">
        <v>7</v>
      </c>
      <c r="K1188" s="2">
        <v>4</v>
      </c>
      <c r="L1188" s="2">
        <v>1</v>
      </c>
      <c r="M1188" s="2">
        <v>276</v>
      </c>
      <c r="N1188" s="2">
        <v>68</v>
      </c>
      <c r="O1188" s="2">
        <v>42</v>
      </c>
      <c r="P1188" s="3">
        <v>3</v>
      </c>
      <c r="Q1188" s="2">
        <v>4</v>
      </c>
      <c r="R1188" s="2">
        <v>4</v>
      </c>
      <c r="S1188" s="2">
        <v>0</v>
      </c>
      <c r="T1188" s="2">
        <v>8</v>
      </c>
      <c r="U1188" s="2">
        <v>3</v>
      </c>
      <c r="V1188" s="1">
        <f t="shared" si="552"/>
        <v>5308</v>
      </c>
      <c r="W1188" s="2">
        <v>0</v>
      </c>
      <c r="X1188" s="2">
        <v>0</v>
      </c>
      <c r="Y1188" s="2">
        <v>0</v>
      </c>
      <c r="Z1188" s="2">
        <f t="shared" si="543"/>
        <v>3</v>
      </c>
      <c r="AA1188" s="2">
        <f t="shared" si="544"/>
        <v>5311</v>
      </c>
      <c r="AB1188" s="2">
        <v>6348</v>
      </c>
      <c r="AC1188" s="20">
        <f t="shared" si="545"/>
        <v>83.6641461877757</v>
      </c>
      <c r="AD1188" s="2" t="s">
        <v>257</v>
      </c>
      <c r="AE1188" s="2">
        <v>100</v>
      </c>
      <c r="AF1188" s="21">
        <f t="shared" si="546"/>
        <v>157.288594833018</v>
      </c>
      <c r="AG1188" s="4">
        <f t="shared" si="547"/>
        <v>83.6168872085696</v>
      </c>
      <c r="AH1188" s="4">
        <f t="shared" si="548"/>
        <v>0.0472589792060491</v>
      </c>
      <c r="AI1188" s="2">
        <v>10019</v>
      </c>
      <c r="AJ1188" s="2">
        <v>608</v>
      </c>
      <c r="AK1188" s="2">
        <v>18016</v>
      </c>
      <c r="AL1188" s="2">
        <v>106</v>
      </c>
      <c r="AM1188" s="2">
        <v>88</v>
      </c>
      <c r="AN1188" s="2">
        <v>4</v>
      </c>
      <c r="AO1188" s="2">
        <v>0</v>
      </c>
      <c r="AP1188" s="2">
        <f t="shared" si="549"/>
        <v>10737</v>
      </c>
      <c r="AQ1188" s="2">
        <f t="shared" si="550"/>
        <v>274.60358056266</v>
      </c>
      <c r="AR1188" s="5">
        <f t="shared" si="551"/>
        <v>516.2547314578</v>
      </c>
    </row>
    <row r="1189" spans="1:44">
      <c r="A1189" s="2">
        <v>20260412</v>
      </c>
      <c r="B1189" s="2" t="s">
        <v>2422</v>
      </c>
      <c r="C1189" s="2" t="s">
        <v>2423</v>
      </c>
      <c r="D1189" s="2">
        <v>19</v>
      </c>
      <c r="E1189" s="2">
        <v>177</v>
      </c>
      <c r="F1189" s="2">
        <v>24</v>
      </c>
      <c r="G1189" s="2">
        <v>6</v>
      </c>
      <c r="H1189" s="2">
        <v>2</v>
      </c>
      <c r="I1189" s="3">
        <v>23</v>
      </c>
      <c r="J1189" s="2">
        <v>4</v>
      </c>
      <c r="K1189" s="2">
        <v>2</v>
      </c>
      <c r="L1189" s="2">
        <v>0</v>
      </c>
      <c r="M1189" s="2">
        <v>132</v>
      </c>
      <c r="N1189" s="2">
        <v>29</v>
      </c>
      <c r="O1189" s="2">
        <v>20</v>
      </c>
      <c r="P1189" s="3">
        <v>0</v>
      </c>
      <c r="Q1189" s="2">
        <v>2</v>
      </c>
      <c r="R1189" s="2">
        <v>3</v>
      </c>
      <c r="S1189" s="2">
        <v>0</v>
      </c>
      <c r="T1189" s="2">
        <v>34</v>
      </c>
      <c r="U1189" s="2">
        <v>0</v>
      </c>
      <c r="V1189" s="1">
        <f t="shared" si="552"/>
        <v>197</v>
      </c>
      <c r="W1189" s="2">
        <v>0</v>
      </c>
      <c r="X1189" s="2">
        <v>6</v>
      </c>
      <c r="Y1189" s="2">
        <v>0</v>
      </c>
      <c r="Z1189" s="2">
        <f t="shared" si="543"/>
        <v>6</v>
      </c>
      <c r="AA1189" s="2">
        <f t="shared" si="544"/>
        <v>203</v>
      </c>
      <c r="AB1189" s="2">
        <v>3212</v>
      </c>
      <c r="AC1189" s="20">
        <f t="shared" si="545"/>
        <v>6.3200498132005</v>
      </c>
      <c r="AD1189" s="2" t="s">
        <v>257</v>
      </c>
      <c r="AE1189" s="2">
        <v>100</v>
      </c>
      <c r="AF1189" s="21">
        <f t="shared" si="546"/>
        <v>11.8816936488169</v>
      </c>
      <c r="AG1189" s="4">
        <f t="shared" si="547"/>
        <v>6.1332503113325</v>
      </c>
      <c r="AH1189" s="4">
        <f t="shared" si="548"/>
        <v>0.186799501867995</v>
      </c>
      <c r="AP1189" s="2">
        <f t="shared" si="549"/>
        <v>0</v>
      </c>
      <c r="AQ1189" s="2">
        <f t="shared" si="550"/>
        <v>0</v>
      </c>
      <c r="AR1189" s="5">
        <f t="shared" si="551"/>
        <v>0</v>
      </c>
    </row>
    <row r="1190" spans="1:44">
      <c r="A1190" s="2">
        <v>20260412</v>
      </c>
      <c r="B1190" s="2" t="s">
        <v>2424</v>
      </c>
      <c r="C1190" s="2" t="s">
        <v>2425</v>
      </c>
      <c r="D1190" s="2">
        <v>0</v>
      </c>
      <c r="E1190" s="2">
        <v>2</v>
      </c>
      <c r="F1190" s="2">
        <v>4</v>
      </c>
      <c r="G1190" s="2">
        <v>7</v>
      </c>
      <c r="H1190" s="2">
        <v>4</v>
      </c>
      <c r="I1190" s="3">
        <v>2</v>
      </c>
      <c r="J1190" s="2">
        <v>2</v>
      </c>
      <c r="K1190" s="2">
        <v>3</v>
      </c>
      <c r="L1190" s="2">
        <v>1</v>
      </c>
      <c r="M1190" s="2">
        <v>142</v>
      </c>
      <c r="N1190" s="2">
        <v>11</v>
      </c>
      <c r="O1190" s="2">
        <v>0</v>
      </c>
      <c r="P1190" s="3">
        <v>2</v>
      </c>
      <c r="Q1190" s="2">
        <v>1</v>
      </c>
      <c r="R1190" s="2">
        <v>0</v>
      </c>
      <c r="S1190" s="2">
        <v>0</v>
      </c>
      <c r="T1190" s="2">
        <v>4</v>
      </c>
      <c r="U1190" s="2">
        <v>3</v>
      </c>
      <c r="V1190" s="1">
        <f t="shared" si="552"/>
        <v>167</v>
      </c>
      <c r="W1190" s="2">
        <v>0</v>
      </c>
      <c r="X1190" s="2">
        <v>0</v>
      </c>
      <c r="Y1190" s="2">
        <v>0</v>
      </c>
      <c r="Z1190" s="2">
        <f t="shared" si="543"/>
        <v>3</v>
      </c>
      <c r="AA1190" s="2">
        <f t="shared" si="544"/>
        <v>170</v>
      </c>
      <c r="AB1190" s="2">
        <v>3212</v>
      </c>
      <c r="AC1190" s="20">
        <f t="shared" si="545"/>
        <v>5.29265255292653</v>
      </c>
      <c r="AD1190" s="2" t="s">
        <v>257</v>
      </c>
      <c r="AE1190" s="2">
        <v>100</v>
      </c>
      <c r="AF1190" s="21">
        <f t="shared" si="546"/>
        <v>9.95018679950187</v>
      </c>
      <c r="AG1190" s="4">
        <f t="shared" si="547"/>
        <v>5.19925280199253</v>
      </c>
      <c r="AH1190" s="4">
        <f t="shared" si="548"/>
        <v>0.0933997509339975</v>
      </c>
      <c r="AI1190" s="2">
        <v>4348</v>
      </c>
      <c r="AJ1190" s="2">
        <v>294</v>
      </c>
      <c r="AK1190" s="2">
        <v>8453</v>
      </c>
      <c r="AL1190" s="2">
        <v>23</v>
      </c>
      <c r="AM1190" s="2">
        <v>21</v>
      </c>
      <c r="AN1190" s="2">
        <v>0</v>
      </c>
      <c r="AO1190" s="2">
        <v>0</v>
      </c>
      <c r="AP1190" s="2">
        <f t="shared" si="549"/>
        <v>4665</v>
      </c>
      <c r="AQ1190" s="2">
        <f t="shared" si="550"/>
        <v>145.236612702366</v>
      </c>
      <c r="AR1190" s="5">
        <f t="shared" si="551"/>
        <v>273.044831880448</v>
      </c>
    </row>
    <row r="1191" spans="1:44">
      <c r="A1191" s="2">
        <v>20260412</v>
      </c>
      <c r="B1191" s="2" t="s">
        <v>2426</v>
      </c>
      <c r="C1191" s="2" t="s">
        <v>2427</v>
      </c>
      <c r="D1191" s="2">
        <v>0</v>
      </c>
      <c r="E1191" s="2">
        <v>2</v>
      </c>
      <c r="F1191" s="2">
        <v>4</v>
      </c>
      <c r="G1191" s="2">
        <v>6</v>
      </c>
      <c r="H1191" s="2">
        <v>2</v>
      </c>
      <c r="I1191" s="3">
        <v>5</v>
      </c>
      <c r="J1191" s="2">
        <v>4</v>
      </c>
      <c r="K1191" s="2">
        <v>1</v>
      </c>
      <c r="L1191" s="2">
        <v>1</v>
      </c>
      <c r="M1191" s="2">
        <v>142</v>
      </c>
      <c r="N1191" s="2">
        <v>13</v>
      </c>
      <c r="O1191" s="2">
        <v>2</v>
      </c>
      <c r="P1191" s="3">
        <v>1</v>
      </c>
      <c r="Q1191" s="2">
        <v>4</v>
      </c>
      <c r="R1191" s="2">
        <v>2</v>
      </c>
      <c r="S1191" s="2">
        <v>1</v>
      </c>
      <c r="T1191" s="2">
        <v>4</v>
      </c>
      <c r="U1191" s="2">
        <v>0</v>
      </c>
      <c r="V1191" s="1">
        <f t="shared" si="552"/>
        <v>166</v>
      </c>
      <c r="W1191" s="2">
        <v>0</v>
      </c>
      <c r="X1191" s="2">
        <v>0</v>
      </c>
      <c r="Y1191" s="2">
        <v>0</v>
      </c>
      <c r="Z1191" s="2">
        <f t="shared" si="543"/>
        <v>0</v>
      </c>
      <c r="AA1191" s="2">
        <f t="shared" si="544"/>
        <v>166</v>
      </c>
      <c r="AB1191" s="2">
        <v>3212</v>
      </c>
      <c r="AC1191" s="20">
        <f t="shared" si="545"/>
        <v>5.1681195516812</v>
      </c>
      <c r="AD1191" s="2" t="s">
        <v>257</v>
      </c>
      <c r="AE1191" s="2">
        <v>100</v>
      </c>
      <c r="AF1191" s="21">
        <f t="shared" si="546"/>
        <v>9.71606475716065</v>
      </c>
      <c r="AG1191" s="4">
        <f t="shared" si="547"/>
        <v>5.1681195516812</v>
      </c>
      <c r="AH1191" s="4">
        <f t="shared" si="548"/>
        <v>0</v>
      </c>
      <c r="AI1191" s="2">
        <v>329</v>
      </c>
      <c r="AJ1191" s="2">
        <v>20</v>
      </c>
      <c r="AK1191" s="2">
        <v>553</v>
      </c>
      <c r="AL1191" s="2">
        <v>20</v>
      </c>
      <c r="AM1191" s="2">
        <v>3</v>
      </c>
      <c r="AN1191" s="2">
        <v>0</v>
      </c>
      <c r="AO1191" s="2">
        <v>0</v>
      </c>
      <c r="AP1191" s="2">
        <f t="shared" si="549"/>
        <v>369</v>
      </c>
      <c r="AQ1191" s="2">
        <f t="shared" si="550"/>
        <v>11.4881693648817</v>
      </c>
      <c r="AR1191" s="5">
        <f t="shared" si="551"/>
        <v>21.5977584059776</v>
      </c>
    </row>
    <row r="1192" spans="1:44">
      <c r="A1192" s="2">
        <v>20260412</v>
      </c>
      <c r="B1192" s="2" t="s">
        <v>2428</v>
      </c>
      <c r="C1192" s="2" t="s">
        <v>2429</v>
      </c>
      <c r="D1192" s="2">
        <v>0</v>
      </c>
      <c r="E1192" s="2">
        <v>2</v>
      </c>
      <c r="F1192" s="2">
        <v>1</v>
      </c>
      <c r="G1192" s="2">
        <v>5</v>
      </c>
      <c r="H1192" s="2">
        <v>4</v>
      </c>
      <c r="I1192" s="3">
        <v>13</v>
      </c>
      <c r="J1192" s="2">
        <v>3</v>
      </c>
      <c r="K1192" s="2">
        <v>0</v>
      </c>
      <c r="L1192" s="2">
        <v>0</v>
      </c>
      <c r="M1192" s="2">
        <v>172</v>
      </c>
      <c r="N1192" s="2">
        <v>9</v>
      </c>
      <c r="O1192" s="2">
        <v>5</v>
      </c>
      <c r="P1192" s="3">
        <v>3</v>
      </c>
      <c r="Q1192" s="2">
        <v>0</v>
      </c>
      <c r="R1192" s="2">
        <v>5</v>
      </c>
      <c r="S1192" s="2">
        <v>1</v>
      </c>
      <c r="T1192" s="2">
        <v>1</v>
      </c>
      <c r="U1192" s="2">
        <v>0</v>
      </c>
      <c r="V1192" s="1">
        <f t="shared" si="552"/>
        <v>200</v>
      </c>
      <c r="W1192" s="2">
        <v>0</v>
      </c>
      <c r="X1192" s="2">
        <v>0</v>
      </c>
      <c r="Y1192" s="2">
        <v>1</v>
      </c>
      <c r="Z1192" s="2">
        <f t="shared" si="543"/>
        <v>1</v>
      </c>
      <c r="AA1192" s="2">
        <f t="shared" si="544"/>
        <v>201</v>
      </c>
      <c r="AB1192" s="2">
        <v>3759</v>
      </c>
      <c r="AC1192" s="20">
        <f t="shared" si="545"/>
        <v>5.34716679968077</v>
      </c>
      <c r="AD1192" s="2" t="s">
        <v>257</v>
      </c>
      <c r="AE1192" s="2">
        <v>100</v>
      </c>
      <c r="AF1192" s="21">
        <f t="shared" si="546"/>
        <v>10.0526735833998</v>
      </c>
      <c r="AG1192" s="4">
        <f t="shared" si="547"/>
        <v>5.32056397978186</v>
      </c>
      <c r="AH1192" s="4">
        <f t="shared" si="548"/>
        <v>0.0266028198989093</v>
      </c>
      <c r="AI1192" s="2">
        <v>358</v>
      </c>
      <c r="AJ1192" s="2">
        <v>26</v>
      </c>
      <c r="AK1192" s="2">
        <v>509</v>
      </c>
      <c r="AL1192" s="2">
        <v>2</v>
      </c>
      <c r="AM1192" s="2">
        <v>3</v>
      </c>
      <c r="AN1192" s="2">
        <v>0</v>
      </c>
      <c r="AO1192" s="2">
        <v>0</v>
      </c>
      <c r="AP1192" s="2">
        <f t="shared" si="549"/>
        <v>386</v>
      </c>
      <c r="AQ1192" s="2">
        <f t="shared" si="550"/>
        <v>12.0174346201743</v>
      </c>
      <c r="AR1192" s="5">
        <f t="shared" si="551"/>
        <v>22.5927770859278</v>
      </c>
    </row>
    <row r="1193" spans="1:44">
      <c r="A1193" s="2">
        <v>20260412</v>
      </c>
      <c r="B1193" s="2" t="s">
        <v>2430</v>
      </c>
      <c r="C1193" s="2" t="s">
        <v>2431</v>
      </c>
      <c r="D1193" s="2">
        <v>4</v>
      </c>
      <c r="E1193" s="2">
        <v>2122</v>
      </c>
      <c r="F1193" s="2">
        <v>12</v>
      </c>
      <c r="G1193" s="2">
        <v>11</v>
      </c>
      <c r="H1193" s="2">
        <v>11</v>
      </c>
      <c r="I1193" s="3">
        <v>37</v>
      </c>
      <c r="J1193" s="2">
        <v>31</v>
      </c>
      <c r="K1193" s="2">
        <v>3</v>
      </c>
      <c r="L1193" s="2">
        <v>1</v>
      </c>
      <c r="M1193" s="2">
        <v>154</v>
      </c>
      <c r="N1193" s="2">
        <v>14</v>
      </c>
      <c r="O1193" s="2">
        <v>36</v>
      </c>
      <c r="P1193" s="3">
        <v>2</v>
      </c>
      <c r="Q1193" s="2">
        <v>3</v>
      </c>
      <c r="R1193" s="2">
        <v>20</v>
      </c>
      <c r="S1193" s="2">
        <v>0</v>
      </c>
      <c r="T1193" s="2">
        <v>66</v>
      </c>
      <c r="U1193" s="2">
        <v>1</v>
      </c>
      <c r="V1193" s="1">
        <f t="shared" si="552"/>
        <v>314</v>
      </c>
      <c r="W1193" s="2">
        <v>0</v>
      </c>
      <c r="X1193" s="2">
        <v>1</v>
      </c>
      <c r="Y1193" s="2">
        <v>1</v>
      </c>
      <c r="Z1193" s="2">
        <f t="shared" si="543"/>
        <v>3</v>
      </c>
      <c r="AA1193" s="2">
        <f t="shared" si="544"/>
        <v>317</v>
      </c>
      <c r="AB1193" s="2">
        <v>3413</v>
      </c>
      <c r="AC1193" s="20">
        <f t="shared" si="545"/>
        <v>9.28801640785233</v>
      </c>
      <c r="AD1193" s="2" t="s">
        <v>257</v>
      </c>
      <c r="AE1193" s="2">
        <v>100</v>
      </c>
      <c r="AF1193" s="21">
        <f t="shared" si="546"/>
        <v>17.4614708467624</v>
      </c>
      <c r="AG1193" s="4">
        <f t="shared" si="547"/>
        <v>9.20011719894521</v>
      </c>
      <c r="AH1193" s="4">
        <f t="shared" si="548"/>
        <v>0.0878992089071198</v>
      </c>
      <c r="AI1193" s="2">
        <v>7359</v>
      </c>
      <c r="AJ1193" s="2">
        <v>384</v>
      </c>
      <c r="AK1193" s="2">
        <v>10190</v>
      </c>
      <c r="AL1193" s="2">
        <v>18</v>
      </c>
      <c r="AM1193" s="2">
        <v>50</v>
      </c>
      <c r="AN1193" s="2">
        <v>2</v>
      </c>
      <c r="AO1193" s="2">
        <v>0</v>
      </c>
      <c r="AP1193" s="2">
        <f t="shared" si="549"/>
        <v>7763</v>
      </c>
      <c r="AQ1193" s="2">
        <f t="shared" si="550"/>
        <v>206.517690875233</v>
      </c>
      <c r="AR1193" s="5">
        <f t="shared" si="551"/>
        <v>388.253258845438</v>
      </c>
    </row>
    <row r="1194" spans="1:44">
      <c r="A1194" s="2">
        <v>20260412</v>
      </c>
      <c r="B1194" s="2" t="s">
        <v>2432</v>
      </c>
      <c r="C1194" s="2" t="s">
        <v>2433</v>
      </c>
      <c r="D1194" s="2">
        <v>3</v>
      </c>
      <c r="E1194" s="2">
        <v>3</v>
      </c>
      <c r="F1194" s="2">
        <v>0</v>
      </c>
      <c r="G1194" s="2">
        <v>6</v>
      </c>
      <c r="H1194" s="2">
        <v>10</v>
      </c>
      <c r="I1194" s="3">
        <v>12</v>
      </c>
      <c r="J1194" s="2">
        <v>8</v>
      </c>
      <c r="K1194" s="2">
        <v>3</v>
      </c>
      <c r="L1194" s="2">
        <v>2</v>
      </c>
      <c r="M1194" s="2">
        <v>296</v>
      </c>
      <c r="N1194" s="2">
        <v>14</v>
      </c>
      <c r="O1194" s="2">
        <v>9</v>
      </c>
      <c r="P1194" s="3">
        <v>3</v>
      </c>
      <c r="Q1194" s="2">
        <v>8</v>
      </c>
      <c r="R1194" s="2">
        <v>5</v>
      </c>
      <c r="S1194" s="2">
        <v>1</v>
      </c>
      <c r="T1194" s="2">
        <v>14</v>
      </c>
      <c r="U1194" s="2">
        <v>0</v>
      </c>
      <c r="V1194" s="1">
        <f t="shared" si="552"/>
        <v>344</v>
      </c>
      <c r="W1194" s="2">
        <v>3</v>
      </c>
      <c r="X1194" s="2">
        <v>7</v>
      </c>
      <c r="Y1194" s="2">
        <v>0</v>
      </c>
      <c r="Z1194" s="2">
        <f t="shared" si="543"/>
        <v>10</v>
      </c>
      <c r="AA1194" s="2">
        <f t="shared" si="544"/>
        <v>354</v>
      </c>
      <c r="AB1194" s="2">
        <v>6368</v>
      </c>
      <c r="AC1194" s="20">
        <f t="shared" si="545"/>
        <v>5.55904522613065</v>
      </c>
      <c r="AD1194" s="2" t="s">
        <v>257</v>
      </c>
      <c r="AE1194" s="2">
        <v>100</v>
      </c>
      <c r="AF1194" s="21">
        <f t="shared" si="546"/>
        <v>10.4510050251256</v>
      </c>
      <c r="AG1194" s="4">
        <f t="shared" si="547"/>
        <v>5.40201005025126</v>
      </c>
      <c r="AH1194" s="4">
        <f t="shared" si="548"/>
        <v>0.157035175879397</v>
      </c>
      <c r="AI1194" s="2">
        <v>498</v>
      </c>
      <c r="AJ1194" s="2">
        <v>26</v>
      </c>
      <c r="AK1194" s="2">
        <v>689</v>
      </c>
      <c r="AL1194" s="2">
        <v>3</v>
      </c>
      <c r="AM1194" s="2">
        <v>8</v>
      </c>
      <c r="AN1194" s="2">
        <v>0</v>
      </c>
      <c r="AO1194" s="2">
        <v>0</v>
      </c>
      <c r="AP1194" s="2">
        <f t="shared" si="549"/>
        <v>527</v>
      </c>
      <c r="AQ1194" s="2">
        <f t="shared" si="550"/>
        <v>15.4409610313507</v>
      </c>
      <c r="AR1194" s="5">
        <f t="shared" si="551"/>
        <v>29.0290067389393</v>
      </c>
    </row>
    <row r="1195" spans="1:44">
      <c r="A1195" s="2">
        <v>20260412</v>
      </c>
      <c r="B1195" s="2" t="s">
        <v>2434</v>
      </c>
      <c r="C1195" s="2" t="s">
        <v>2435</v>
      </c>
      <c r="D1195" s="2">
        <v>2</v>
      </c>
      <c r="E1195" s="2">
        <v>5</v>
      </c>
      <c r="F1195" s="2">
        <v>4</v>
      </c>
      <c r="G1195" s="2">
        <v>6</v>
      </c>
      <c r="H1195" s="2">
        <v>16</v>
      </c>
      <c r="I1195" s="3">
        <v>13</v>
      </c>
      <c r="J1195" s="2">
        <v>9</v>
      </c>
      <c r="K1195" s="2">
        <v>0</v>
      </c>
      <c r="L1195" s="2">
        <v>0</v>
      </c>
      <c r="M1195" s="2">
        <v>287</v>
      </c>
      <c r="N1195" s="2">
        <v>26</v>
      </c>
      <c r="O1195" s="2">
        <v>7</v>
      </c>
      <c r="P1195" s="3">
        <v>1</v>
      </c>
      <c r="Q1195" s="2">
        <v>7</v>
      </c>
      <c r="R1195" s="2">
        <v>9</v>
      </c>
      <c r="S1195" s="2">
        <v>0</v>
      </c>
      <c r="T1195" s="2">
        <v>16</v>
      </c>
      <c r="U1195" s="2">
        <v>2</v>
      </c>
      <c r="V1195" s="1">
        <f t="shared" ref="V1195:V1205" si="553">AA1195-Y1195-X1195-W1195-U1195</f>
        <v>346</v>
      </c>
      <c r="W1195" s="2">
        <v>1</v>
      </c>
      <c r="X1195" s="2">
        <v>1</v>
      </c>
      <c r="Y1195" s="2">
        <v>0</v>
      </c>
      <c r="Z1195" s="2">
        <f t="shared" ref="Z1195:Z1204" si="554">Y1195+X1195+W1195+U1195</f>
        <v>4</v>
      </c>
      <c r="AA1195" s="2">
        <f t="shared" ref="AA1195:AA1204" si="555">G1195+H1195+I1195+J1195+K1195+L1195+M1195+P1195+T1195+U1195</f>
        <v>350</v>
      </c>
      <c r="AB1195" s="2">
        <v>6358</v>
      </c>
      <c r="AC1195" s="20">
        <f t="shared" si="545"/>
        <v>5.50487574709028</v>
      </c>
      <c r="AD1195" s="2" t="s">
        <v>257</v>
      </c>
      <c r="AE1195" s="2">
        <v>100</v>
      </c>
      <c r="AF1195" s="21">
        <f t="shared" si="546"/>
        <v>10.3491664045297</v>
      </c>
      <c r="AG1195" s="4">
        <f t="shared" si="547"/>
        <v>5.44196288140925</v>
      </c>
      <c r="AH1195" s="4">
        <f t="shared" si="548"/>
        <v>0.0629128656810318</v>
      </c>
      <c r="AI1195" s="2">
        <v>14985</v>
      </c>
      <c r="AJ1195" s="2">
        <v>1497</v>
      </c>
      <c r="AK1195" s="2">
        <v>17838</v>
      </c>
      <c r="AL1195" s="2">
        <v>113</v>
      </c>
      <c r="AM1195" s="2">
        <v>101</v>
      </c>
      <c r="AN1195" s="2">
        <v>1</v>
      </c>
      <c r="AO1195" s="2">
        <v>0</v>
      </c>
      <c r="AP1195" s="2">
        <f t="shared" si="549"/>
        <v>16596</v>
      </c>
      <c r="AQ1195" s="2">
        <f t="shared" si="550"/>
        <v>260.615577889447</v>
      </c>
      <c r="AR1195" s="5">
        <f t="shared" si="551"/>
        <v>489.957286432161</v>
      </c>
    </row>
    <row r="1196" spans="1:44">
      <c r="A1196" s="2">
        <v>20260412</v>
      </c>
      <c r="B1196" s="2" t="s">
        <v>2436</v>
      </c>
      <c r="C1196" s="2" t="s">
        <v>2437</v>
      </c>
      <c r="D1196" s="2">
        <v>1</v>
      </c>
      <c r="E1196" s="2">
        <v>3</v>
      </c>
      <c r="F1196" s="2">
        <v>0</v>
      </c>
      <c r="G1196" s="2">
        <v>12</v>
      </c>
      <c r="H1196" s="2">
        <v>18</v>
      </c>
      <c r="I1196" s="3">
        <v>16</v>
      </c>
      <c r="J1196" s="2">
        <v>10</v>
      </c>
      <c r="K1196" s="2">
        <v>3</v>
      </c>
      <c r="L1196" s="2">
        <v>1</v>
      </c>
      <c r="M1196" s="2">
        <v>294</v>
      </c>
      <c r="N1196" s="2">
        <v>15</v>
      </c>
      <c r="O1196" s="2">
        <v>2</v>
      </c>
      <c r="P1196" s="3">
        <v>8</v>
      </c>
      <c r="Q1196" s="2">
        <v>9</v>
      </c>
      <c r="R1196" s="2">
        <v>3</v>
      </c>
      <c r="S1196" s="2">
        <v>0</v>
      </c>
      <c r="T1196" s="2">
        <v>8</v>
      </c>
      <c r="U1196" s="2">
        <v>1</v>
      </c>
      <c r="V1196" s="1">
        <f t="shared" si="553"/>
        <v>364</v>
      </c>
      <c r="W1196" s="2">
        <v>1</v>
      </c>
      <c r="X1196" s="2">
        <v>5</v>
      </c>
      <c r="Y1196" s="2">
        <v>0</v>
      </c>
      <c r="Z1196" s="2">
        <f t="shared" si="554"/>
        <v>7</v>
      </c>
      <c r="AA1196" s="2">
        <f t="shared" si="555"/>
        <v>371</v>
      </c>
      <c r="AB1196" s="2">
        <v>6162</v>
      </c>
      <c r="AC1196" s="20">
        <f t="shared" si="545"/>
        <v>6.02077247646868</v>
      </c>
      <c r="AD1196" s="2" t="s">
        <v>257</v>
      </c>
      <c r="AE1196" s="2">
        <v>100</v>
      </c>
      <c r="AF1196" s="21">
        <f t="shared" si="546"/>
        <v>11.3190522557611</v>
      </c>
      <c r="AG1196" s="4">
        <f t="shared" si="547"/>
        <v>5.90717299578059</v>
      </c>
      <c r="AH1196" s="4">
        <f t="shared" si="548"/>
        <v>0.113599480688088</v>
      </c>
      <c r="AI1196" s="2">
        <v>16357</v>
      </c>
      <c r="AJ1196" s="2">
        <v>1317</v>
      </c>
      <c r="AK1196" s="2">
        <v>9194</v>
      </c>
      <c r="AL1196" s="2">
        <v>105</v>
      </c>
      <c r="AM1196" s="2">
        <v>66</v>
      </c>
      <c r="AN1196" s="2">
        <v>2</v>
      </c>
      <c r="AO1196" s="2">
        <v>0</v>
      </c>
      <c r="AP1196" s="2">
        <f t="shared" si="549"/>
        <v>17781</v>
      </c>
      <c r="AQ1196" s="2">
        <f t="shared" si="550"/>
        <v>279.663416168606</v>
      </c>
      <c r="AR1196" s="5">
        <f t="shared" si="551"/>
        <v>525.76722239698</v>
      </c>
    </row>
    <row r="1197" spans="1:44">
      <c r="A1197" s="2">
        <v>20260413</v>
      </c>
      <c r="B1197" s="2" t="s">
        <v>2438</v>
      </c>
      <c r="C1197" s="2" t="s">
        <v>2439</v>
      </c>
      <c r="D1197" s="2">
        <v>3</v>
      </c>
      <c r="E1197" s="2">
        <v>9</v>
      </c>
      <c r="F1197" s="2">
        <v>3</v>
      </c>
      <c r="G1197" s="2">
        <v>16</v>
      </c>
      <c r="H1197" s="2">
        <v>9</v>
      </c>
      <c r="I1197" s="3">
        <v>18</v>
      </c>
      <c r="J1197" s="2">
        <v>18</v>
      </c>
      <c r="K1197" s="2">
        <v>2</v>
      </c>
      <c r="L1197" s="2">
        <v>2</v>
      </c>
      <c r="M1197" s="2">
        <v>295</v>
      </c>
      <c r="N1197" s="2">
        <v>20</v>
      </c>
      <c r="O1197" s="2">
        <v>10</v>
      </c>
      <c r="P1197" s="3">
        <v>8</v>
      </c>
      <c r="Q1197" s="2">
        <v>9</v>
      </c>
      <c r="R1197" s="2">
        <v>8</v>
      </c>
      <c r="S1197" s="2">
        <v>2</v>
      </c>
      <c r="T1197" s="2">
        <v>7</v>
      </c>
      <c r="U1197" s="2">
        <v>1</v>
      </c>
      <c r="V1197" s="1">
        <f t="shared" si="553"/>
        <v>366</v>
      </c>
      <c r="W1197" s="2">
        <v>1</v>
      </c>
      <c r="X1197" s="2">
        <v>8</v>
      </c>
      <c r="Y1197" s="2">
        <v>0</v>
      </c>
      <c r="Z1197" s="2">
        <f t="shared" si="554"/>
        <v>10</v>
      </c>
      <c r="AA1197" s="2">
        <f t="shared" si="555"/>
        <v>376</v>
      </c>
      <c r="AB1197" s="2">
        <v>6358</v>
      </c>
      <c r="AC1197" s="20">
        <f t="shared" si="545"/>
        <v>5.91380937401699</v>
      </c>
      <c r="AD1197" s="2" t="s">
        <v>257</v>
      </c>
      <c r="AE1197" s="2">
        <v>100</v>
      </c>
      <c r="AF1197" s="21">
        <f t="shared" si="546"/>
        <v>11.1179616231519</v>
      </c>
      <c r="AG1197" s="4">
        <f t="shared" si="547"/>
        <v>5.75652720981441</v>
      </c>
      <c r="AH1197" s="4">
        <f t="shared" si="548"/>
        <v>0.157282164202579</v>
      </c>
      <c r="AI1197" s="2">
        <v>16380</v>
      </c>
      <c r="AJ1197" s="2">
        <v>1359</v>
      </c>
      <c r="AK1197" s="2">
        <v>5698</v>
      </c>
      <c r="AL1197" s="2">
        <v>157</v>
      </c>
      <c r="AM1197" s="2">
        <v>99</v>
      </c>
      <c r="AN1197" s="2">
        <v>3</v>
      </c>
      <c r="AO1197" s="2">
        <v>0</v>
      </c>
      <c r="AP1197" s="2">
        <f t="shared" si="549"/>
        <v>17899</v>
      </c>
      <c r="AQ1197" s="2">
        <f t="shared" si="550"/>
        <v>290.473872119442</v>
      </c>
      <c r="AR1197" s="5">
        <f t="shared" si="551"/>
        <v>546.09087958455</v>
      </c>
    </row>
    <row r="1198" spans="1:43">
      <c r="A1198" s="2">
        <v>20260413</v>
      </c>
      <c r="B1198" s="2" t="s">
        <v>2440</v>
      </c>
      <c r="C1198" s="2" t="s">
        <v>2441</v>
      </c>
      <c r="D1198" s="2">
        <v>0</v>
      </c>
      <c r="E1198" s="2">
        <v>3</v>
      </c>
      <c r="F1198" s="2">
        <v>4</v>
      </c>
      <c r="G1198" s="2">
        <v>7</v>
      </c>
      <c r="H1198" s="2">
        <v>11</v>
      </c>
      <c r="I1198" s="3">
        <v>4</v>
      </c>
      <c r="J1198" s="2">
        <v>17</v>
      </c>
      <c r="K1198" s="2">
        <v>3</v>
      </c>
      <c r="L1198" s="2">
        <v>1</v>
      </c>
      <c r="M1198" s="2">
        <v>132</v>
      </c>
      <c r="N1198" s="2">
        <v>11</v>
      </c>
      <c r="O1198" s="2">
        <v>2</v>
      </c>
      <c r="P1198" s="3">
        <v>3</v>
      </c>
      <c r="Q1198" s="2">
        <v>6</v>
      </c>
      <c r="R1198" s="2">
        <v>6</v>
      </c>
      <c r="S1198" s="2">
        <v>0</v>
      </c>
      <c r="T1198" s="2">
        <v>12</v>
      </c>
      <c r="U1198" s="2">
        <v>0</v>
      </c>
      <c r="V1198" s="1">
        <f t="shared" si="553"/>
        <v>188</v>
      </c>
      <c r="W1198" s="2">
        <v>2</v>
      </c>
      <c r="X1198" s="2">
        <v>0</v>
      </c>
      <c r="Y1198" s="2">
        <v>0</v>
      </c>
      <c r="Z1198" s="2">
        <f t="shared" si="554"/>
        <v>2</v>
      </c>
      <c r="AA1198" s="2">
        <f t="shared" si="555"/>
        <v>190</v>
      </c>
      <c r="AB1198" s="2">
        <v>3213</v>
      </c>
      <c r="AC1198" s="20">
        <f t="shared" si="545"/>
        <v>5.9134765017118</v>
      </c>
      <c r="AD1198" s="2" t="s">
        <v>257</v>
      </c>
      <c r="AE1198" s="2">
        <v>100</v>
      </c>
      <c r="AF1198" s="21">
        <f t="shared" si="546"/>
        <v>11.1173358232182</v>
      </c>
      <c r="AG1198" s="4">
        <f t="shared" si="547"/>
        <v>5.85122938064115</v>
      </c>
      <c r="AH1198" s="4">
        <f t="shared" si="548"/>
        <v>0.0622471210706505</v>
      </c>
      <c r="AI1198" s="2">
        <v>7512</v>
      </c>
      <c r="AJ1198" s="2">
        <v>637</v>
      </c>
      <c r="AK1198" s="2">
        <v>2490</v>
      </c>
      <c r="AL1198" s="2">
        <v>65</v>
      </c>
      <c r="AM1198" s="2">
        <v>47</v>
      </c>
      <c r="AN1198" s="2">
        <v>0</v>
      </c>
      <c r="AO1198" s="2">
        <v>0</v>
      </c>
      <c r="AP1198" s="2">
        <f t="shared" ref="AP1198:AP1205" si="556">AI1198+AJ1198+AL1198+AN1198</f>
        <v>8214</v>
      </c>
      <c r="AQ1198" s="2">
        <f t="shared" ref="AQ1198:AQ1205" si="557">AP1198/AB1197*100</f>
        <v>129.191569675999</v>
      </c>
    </row>
    <row r="1199" spans="1:43">
      <c r="A1199" s="2">
        <v>20260413</v>
      </c>
      <c r="B1199" s="2" t="s">
        <v>2442</v>
      </c>
      <c r="C1199" s="2" t="s">
        <v>2443</v>
      </c>
      <c r="D1199" s="2">
        <v>0</v>
      </c>
      <c r="E1199" s="2">
        <v>7</v>
      </c>
      <c r="F1199" s="2">
        <v>1</v>
      </c>
      <c r="G1199" s="2">
        <v>16</v>
      </c>
      <c r="H1199" s="2">
        <v>31</v>
      </c>
      <c r="I1199" s="3">
        <v>117</v>
      </c>
      <c r="J1199" s="2">
        <v>40</v>
      </c>
      <c r="K1199" s="2">
        <v>5</v>
      </c>
      <c r="L1199" s="2">
        <v>1</v>
      </c>
      <c r="M1199" s="2">
        <v>120</v>
      </c>
      <c r="N1199" s="2">
        <v>3</v>
      </c>
      <c r="O1199" s="2">
        <v>0</v>
      </c>
      <c r="P1199" s="3">
        <v>19</v>
      </c>
      <c r="Q1199" s="2">
        <v>3</v>
      </c>
      <c r="R1199" s="2">
        <v>25</v>
      </c>
      <c r="S1199" s="2">
        <v>5</v>
      </c>
      <c r="T1199" s="2">
        <v>41</v>
      </c>
      <c r="U1199" s="2">
        <v>0</v>
      </c>
      <c r="V1199" s="1">
        <f t="shared" si="553"/>
        <v>382</v>
      </c>
      <c r="W1199" s="2">
        <v>7</v>
      </c>
      <c r="X1199" s="2">
        <v>1</v>
      </c>
      <c r="Y1199" s="2">
        <v>0</v>
      </c>
      <c r="Z1199" s="2">
        <f t="shared" si="554"/>
        <v>8</v>
      </c>
      <c r="AA1199" s="2">
        <f t="shared" si="555"/>
        <v>390</v>
      </c>
      <c r="AB1199" s="2">
        <v>2104</v>
      </c>
      <c r="AC1199" s="20">
        <f t="shared" ref="AC1199:AC1205" si="558">AA1199/AB1199*100</f>
        <v>18.5361216730038</v>
      </c>
      <c r="AD1199" s="2" t="s">
        <v>58</v>
      </c>
      <c r="AE1199" s="2">
        <v>125</v>
      </c>
      <c r="AF1199" s="21">
        <f t="shared" ref="AF1199:AF1205" si="559">188/AE1199*AC1199</f>
        <v>27.8783269961977</v>
      </c>
      <c r="AG1199" s="4">
        <f t="shared" ref="AG1199:AG1205" si="560">V1199/AB1199*100</f>
        <v>18.1558935361217</v>
      </c>
      <c r="AH1199" s="4">
        <f t="shared" si="548"/>
        <v>0.380228136882129</v>
      </c>
      <c r="AI1199" s="2">
        <v>6098</v>
      </c>
      <c r="AJ1199" s="2">
        <v>882</v>
      </c>
      <c r="AK1199" s="2">
        <v>127</v>
      </c>
      <c r="AL1199" s="2">
        <v>78</v>
      </c>
      <c r="AM1199" s="2">
        <v>39</v>
      </c>
      <c r="AN1199" s="2">
        <v>20</v>
      </c>
      <c r="AO1199" s="2">
        <v>0</v>
      </c>
      <c r="AP1199" s="2">
        <f t="shared" si="556"/>
        <v>7078</v>
      </c>
      <c r="AQ1199" s="2">
        <f t="shared" si="557"/>
        <v>220.292561469032</v>
      </c>
    </row>
    <row r="1200" spans="1:43">
      <c r="A1200" s="2">
        <v>20260413</v>
      </c>
      <c r="B1200" s="2" t="s">
        <v>2444</v>
      </c>
      <c r="C1200" s="2" t="s">
        <v>2445</v>
      </c>
      <c r="D1200" s="2">
        <v>0</v>
      </c>
      <c r="E1200" s="2">
        <v>8</v>
      </c>
      <c r="F1200" s="2">
        <v>1</v>
      </c>
      <c r="G1200" s="2">
        <v>24</v>
      </c>
      <c r="H1200" s="2">
        <v>30</v>
      </c>
      <c r="I1200" s="3">
        <v>88</v>
      </c>
      <c r="J1200" s="2">
        <v>28</v>
      </c>
      <c r="K1200" s="2">
        <v>0</v>
      </c>
      <c r="L1200" s="2">
        <v>1</v>
      </c>
      <c r="M1200" s="2">
        <v>199</v>
      </c>
      <c r="N1200" s="2">
        <v>8</v>
      </c>
      <c r="O1200" s="2">
        <v>2</v>
      </c>
      <c r="P1200" s="3">
        <v>32</v>
      </c>
      <c r="Q1200" s="2">
        <v>5</v>
      </c>
      <c r="R1200" s="2">
        <v>33</v>
      </c>
      <c r="S1200" s="2">
        <v>7</v>
      </c>
      <c r="T1200" s="2">
        <v>40</v>
      </c>
      <c r="U1200" s="2">
        <v>0</v>
      </c>
      <c r="V1200" s="1">
        <f t="shared" si="553"/>
        <v>438</v>
      </c>
      <c r="W1200" s="2">
        <v>0</v>
      </c>
      <c r="X1200" s="2">
        <v>4</v>
      </c>
      <c r="Y1200" s="2">
        <v>0</v>
      </c>
      <c r="Z1200" s="2">
        <f t="shared" si="554"/>
        <v>4</v>
      </c>
      <c r="AA1200" s="2">
        <f t="shared" si="555"/>
        <v>442</v>
      </c>
      <c r="AB1200" s="2">
        <v>3753</v>
      </c>
      <c r="AC1200" s="20">
        <f t="shared" si="558"/>
        <v>11.7772448707701</v>
      </c>
      <c r="AD1200" s="2" t="s">
        <v>58</v>
      </c>
      <c r="AE1200" s="2">
        <v>125</v>
      </c>
      <c r="AF1200" s="21">
        <f t="shared" si="559"/>
        <v>17.7129762856382</v>
      </c>
      <c r="AG1200" s="4">
        <f t="shared" si="560"/>
        <v>11.6706634692246</v>
      </c>
      <c r="AH1200" s="4">
        <f t="shared" si="548"/>
        <v>0.10658140154543</v>
      </c>
      <c r="AI1200" s="2">
        <v>7281</v>
      </c>
      <c r="AJ1200" s="2">
        <v>747</v>
      </c>
      <c r="AK1200" s="2">
        <v>246</v>
      </c>
      <c r="AL1200" s="2">
        <v>99</v>
      </c>
      <c r="AM1200" s="2">
        <v>47</v>
      </c>
      <c r="AN1200" s="2">
        <v>2</v>
      </c>
      <c r="AO1200" s="2">
        <v>0</v>
      </c>
      <c r="AP1200" s="2">
        <f t="shared" si="556"/>
        <v>8129</v>
      </c>
      <c r="AQ1200" s="2">
        <f t="shared" si="557"/>
        <v>386.359315589354</v>
      </c>
    </row>
    <row r="1201" spans="1:43">
      <c r="A1201" s="2">
        <v>20260413</v>
      </c>
      <c r="B1201" s="2" t="s">
        <v>2446</v>
      </c>
      <c r="C1201" s="2" t="s">
        <v>2447</v>
      </c>
      <c r="D1201" s="2">
        <v>1</v>
      </c>
      <c r="E1201" s="2">
        <v>6</v>
      </c>
      <c r="F1201" s="2">
        <v>9</v>
      </c>
      <c r="G1201" s="2">
        <v>4</v>
      </c>
      <c r="H1201" s="2">
        <v>3</v>
      </c>
      <c r="I1201" s="3">
        <v>13</v>
      </c>
      <c r="J1201" s="2">
        <v>12</v>
      </c>
      <c r="K1201" s="2">
        <v>2</v>
      </c>
      <c r="L1201" s="2">
        <v>1</v>
      </c>
      <c r="M1201" s="2">
        <v>201</v>
      </c>
      <c r="N1201" s="2">
        <v>14</v>
      </c>
      <c r="O1201" s="2">
        <v>6</v>
      </c>
      <c r="P1201" s="3">
        <v>4</v>
      </c>
      <c r="Q1201" s="2">
        <v>6</v>
      </c>
      <c r="R1201" s="2">
        <v>9</v>
      </c>
      <c r="S1201" s="2">
        <v>2</v>
      </c>
      <c r="T1201" s="2">
        <v>2</v>
      </c>
      <c r="U1201" s="2">
        <v>1</v>
      </c>
      <c r="V1201" s="1">
        <f t="shared" si="553"/>
        <v>238</v>
      </c>
      <c r="W1201" s="2">
        <v>2</v>
      </c>
      <c r="X1201" s="2">
        <v>2</v>
      </c>
      <c r="Y1201" s="2">
        <v>0</v>
      </c>
      <c r="Z1201" s="2">
        <f t="shared" si="554"/>
        <v>5</v>
      </c>
      <c r="AA1201" s="2">
        <f t="shared" si="555"/>
        <v>243</v>
      </c>
      <c r="AB1201" s="2">
        <v>4163</v>
      </c>
      <c r="AC1201" s="20">
        <f t="shared" si="558"/>
        <v>5.83713668027865</v>
      </c>
      <c r="AD1201" s="2" t="s">
        <v>58</v>
      </c>
      <c r="AE1201" s="2">
        <v>125</v>
      </c>
      <c r="AF1201" s="21">
        <f t="shared" si="559"/>
        <v>8.77905356713908</v>
      </c>
      <c r="AG1201" s="4">
        <f t="shared" si="560"/>
        <v>5.7170309872688</v>
      </c>
      <c r="AH1201" s="4">
        <f t="shared" ref="AH1201:AH1209" si="561">Z1201/AB1201*100</f>
        <v>0.120105693009849</v>
      </c>
      <c r="AI1201" s="2">
        <v>6596</v>
      </c>
      <c r="AJ1201" s="2">
        <v>217</v>
      </c>
      <c r="AK1201" s="2">
        <v>207</v>
      </c>
      <c r="AL1201" s="2">
        <v>26</v>
      </c>
      <c r="AM1201" s="2">
        <v>23</v>
      </c>
      <c r="AN1201" s="2">
        <v>3</v>
      </c>
      <c r="AO1201" s="2">
        <v>0</v>
      </c>
      <c r="AP1201" s="2">
        <f t="shared" si="556"/>
        <v>6842</v>
      </c>
      <c r="AQ1201" s="2">
        <f t="shared" si="557"/>
        <v>182.307487343459</v>
      </c>
    </row>
    <row r="1202" spans="1:44">
      <c r="A1202" s="2">
        <v>20260413</v>
      </c>
      <c r="B1202" s="2" t="s">
        <v>2448</v>
      </c>
      <c r="C1202" s="2" t="s">
        <v>2449</v>
      </c>
      <c r="D1202" s="2">
        <v>1</v>
      </c>
      <c r="E1202" s="2">
        <v>1</v>
      </c>
      <c r="F1202" s="2">
        <v>2</v>
      </c>
      <c r="G1202" s="2">
        <v>3</v>
      </c>
      <c r="H1202" s="2">
        <v>15</v>
      </c>
      <c r="I1202" s="3">
        <v>12</v>
      </c>
      <c r="J1202" s="2">
        <v>13</v>
      </c>
      <c r="K1202" s="2">
        <v>3</v>
      </c>
      <c r="L1202" s="2">
        <v>0</v>
      </c>
      <c r="M1202" s="2">
        <v>201</v>
      </c>
      <c r="N1202" s="2">
        <v>21</v>
      </c>
      <c r="O1202" s="2">
        <v>4</v>
      </c>
      <c r="P1202" s="3">
        <v>3</v>
      </c>
      <c r="Q1202" s="2">
        <v>8</v>
      </c>
      <c r="R1202" s="2">
        <v>42</v>
      </c>
      <c r="S1202" s="2">
        <v>2</v>
      </c>
      <c r="T1202" s="2">
        <v>5</v>
      </c>
      <c r="U1202" s="2">
        <v>1</v>
      </c>
      <c r="V1202" s="1">
        <f t="shared" si="553"/>
        <v>249</v>
      </c>
      <c r="W1202" s="2">
        <v>5</v>
      </c>
      <c r="X1202" s="2">
        <v>1</v>
      </c>
      <c r="Y1202" s="2">
        <v>0</v>
      </c>
      <c r="Z1202" s="2">
        <f t="shared" si="554"/>
        <v>7</v>
      </c>
      <c r="AA1202" s="2">
        <f t="shared" si="555"/>
        <v>256</v>
      </c>
      <c r="AB1202" s="2">
        <v>4163</v>
      </c>
      <c r="AC1202" s="20">
        <f t="shared" si="558"/>
        <v>6.14941148210425</v>
      </c>
      <c r="AD1202" s="2" t="s">
        <v>58</v>
      </c>
      <c r="AE1202" s="2">
        <v>125</v>
      </c>
      <c r="AF1202" s="21">
        <f t="shared" si="559"/>
        <v>9.24871486908479</v>
      </c>
      <c r="AG1202" s="4">
        <f t="shared" si="560"/>
        <v>5.98126351189046</v>
      </c>
      <c r="AH1202" s="4">
        <f t="shared" si="561"/>
        <v>0.168147970213788</v>
      </c>
      <c r="AI1202" s="2">
        <v>6902</v>
      </c>
      <c r="AJ1202" s="2">
        <v>231</v>
      </c>
      <c r="AK1202" s="2">
        <v>196</v>
      </c>
      <c r="AL1202" s="2">
        <v>15</v>
      </c>
      <c r="AM1202" s="2">
        <v>22</v>
      </c>
      <c r="AN1202" s="2">
        <v>5</v>
      </c>
      <c r="AO1202" s="2">
        <v>0</v>
      </c>
      <c r="AP1202" s="2">
        <f t="shared" si="556"/>
        <v>7153</v>
      </c>
      <c r="AQ1202" s="2">
        <f t="shared" si="557"/>
        <v>171.823204419889</v>
      </c>
      <c r="AR1202" s="5">
        <f>AQ1202*1.88</f>
        <v>323.027624309392</v>
      </c>
    </row>
    <row r="1203" spans="1:44">
      <c r="A1203" s="2">
        <v>20260413</v>
      </c>
      <c r="B1203" s="8" t="s">
        <v>2450</v>
      </c>
      <c r="C1203" s="2" t="s">
        <v>2451</v>
      </c>
      <c r="D1203" s="2">
        <v>0</v>
      </c>
      <c r="E1203" s="2">
        <v>4</v>
      </c>
      <c r="F1203" s="2">
        <v>2</v>
      </c>
      <c r="G1203" s="2">
        <v>6</v>
      </c>
      <c r="H1203" s="2">
        <v>15</v>
      </c>
      <c r="I1203" s="3">
        <v>31</v>
      </c>
      <c r="J1203" s="2">
        <v>17</v>
      </c>
      <c r="K1203" s="2">
        <v>5</v>
      </c>
      <c r="L1203" s="2">
        <v>0</v>
      </c>
      <c r="M1203" s="2">
        <v>219</v>
      </c>
      <c r="N1203" s="2">
        <v>10</v>
      </c>
      <c r="O1203" s="2">
        <v>3</v>
      </c>
      <c r="P1203" s="3">
        <v>7</v>
      </c>
      <c r="Q1203" s="2">
        <v>2</v>
      </c>
      <c r="R1203" s="2">
        <v>22</v>
      </c>
      <c r="S1203" s="2">
        <v>3</v>
      </c>
      <c r="T1203" s="2">
        <v>11</v>
      </c>
      <c r="U1203" s="2">
        <v>1</v>
      </c>
      <c r="V1203" s="1">
        <f t="shared" si="553"/>
        <v>291</v>
      </c>
      <c r="W1203" s="2">
        <v>11</v>
      </c>
      <c r="X1203" s="2">
        <v>9</v>
      </c>
      <c r="Y1203" s="2">
        <v>0</v>
      </c>
      <c r="Z1203" s="2">
        <f t="shared" si="554"/>
        <v>21</v>
      </c>
      <c r="AA1203" s="2">
        <f t="shared" si="555"/>
        <v>312</v>
      </c>
      <c r="AB1203" s="2">
        <v>4473</v>
      </c>
      <c r="AC1203" s="20">
        <f t="shared" si="558"/>
        <v>6.97518443997317</v>
      </c>
      <c r="AD1203" s="2" t="s">
        <v>58</v>
      </c>
      <c r="AE1203" s="2">
        <v>125</v>
      </c>
      <c r="AF1203" s="21">
        <f t="shared" si="559"/>
        <v>10.4906773977197</v>
      </c>
      <c r="AG1203" s="4">
        <f t="shared" si="560"/>
        <v>6.50570087189806</v>
      </c>
      <c r="AH1203" s="4">
        <f t="shared" si="561"/>
        <v>0.469483568075117</v>
      </c>
      <c r="AO1203" s="2">
        <v>0</v>
      </c>
      <c r="AP1203" s="2">
        <f t="shared" ref="AP1203:AP1219" si="562">AI1203+AJ1203+AL1203+AN1203</f>
        <v>0</v>
      </c>
      <c r="AQ1203" s="2">
        <f t="shared" ref="AQ1203:AQ1219" si="563">AP1203/AB1202*100</f>
        <v>0</v>
      </c>
      <c r="AR1203" s="5">
        <f t="shared" ref="AR1203:AR1219" si="564">AQ1203*1.88</f>
        <v>0</v>
      </c>
    </row>
    <row r="1204" spans="1:44">
      <c r="A1204" s="2">
        <v>20260413</v>
      </c>
      <c r="B1204" s="8" t="s">
        <v>2452</v>
      </c>
      <c r="C1204" s="2" t="s">
        <v>2453</v>
      </c>
      <c r="D1204" s="2">
        <v>0</v>
      </c>
      <c r="E1204" s="2">
        <v>2</v>
      </c>
      <c r="F1204" s="2">
        <v>0</v>
      </c>
      <c r="G1204" s="2">
        <v>1</v>
      </c>
      <c r="H1204" s="2">
        <v>5</v>
      </c>
      <c r="I1204" s="3">
        <v>8</v>
      </c>
      <c r="J1204" s="2">
        <v>6</v>
      </c>
      <c r="K1204" s="2">
        <v>0</v>
      </c>
      <c r="L1204" s="2">
        <v>0</v>
      </c>
      <c r="M1204" s="2">
        <v>109</v>
      </c>
      <c r="N1204" s="2">
        <v>5</v>
      </c>
      <c r="O1204" s="2">
        <v>2</v>
      </c>
      <c r="P1204" s="3">
        <v>5</v>
      </c>
      <c r="Q1204" s="2">
        <v>3</v>
      </c>
      <c r="R1204" s="2">
        <v>22</v>
      </c>
      <c r="S1204" s="2">
        <v>0</v>
      </c>
      <c r="T1204" s="2">
        <v>2</v>
      </c>
      <c r="U1204" s="2">
        <v>0</v>
      </c>
      <c r="V1204" s="1">
        <f t="shared" ref="V1204:V1218" si="565">AA1204-Y1204-X1204-W1204-U1204</f>
        <v>134</v>
      </c>
      <c r="W1204" s="2">
        <v>0</v>
      </c>
      <c r="X1204" s="2">
        <v>2</v>
      </c>
      <c r="Y1204" s="2">
        <v>0</v>
      </c>
      <c r="Z1204" s="2">
        <f t="shared" ref="Z1204:Z1216" si="566">Y1204+X1204+W1204+U1204</f>
        <v>2</v>
      </c>
      <c r="AA1204" s="2">
        <f t="shared" ref="AA1204:AA1216" si="567">G1204+H1204+I1204+J1204+K1204+L1204+M1204+P1204+T1204+U1204</f>
        <v>136</v>
      </c>
      <c r="AB1204" s="2">
        <v>2257</v>
      </c>
      <c r="AC1204" s="20">
        <f t="shared" si="558"/>
        <v>6.02569782897652</v>
      </c>
      <c r="AD1204" s="2" t="s">
        <v>44</v>
      </c>
      <c r="AE1204" s="2">
        <v>125</v>
      </c>
      <c r="AF1204" s="21">
        <f t="shared" si="559"/>
        <v>9.06264953478068</v>
      </c>
      <c r="AG1204" s="4">
        <f t="shared" si="560"/>
        <v>5.93708462560922</v>
      </c>
      <c r="AH1204" s="4">
        <f t="shared" si="561"/>
        <v>0.0886132033673017</v>
      </c>
      <c r="AI1204" s="2">
        <f>1771+1857</f>
        <v>3628</v>
      </c>
      <c r="AJ1204" s="2">
        <f>82+79</f>
        <v>161</v>
      </c>
      <c r="AK1204" s="2">
        <v>301</v>
      </c>
      <c r="AL1204" s="2">
        <v>20</v>
      </c>
      <c r="AM1204" s="2">
        <v>23</v>
      </c>
      <c r="AN1204" s="2">
        <v>3</v>
      </c>
      <c r="AO1204" s="2">
        <v>0</v>
      </c>
      <c r="AP1204" s="2">
        <f t="shared" si="562"/>
        <v>3812</v>
      </c>
      <c r="AQ1204" s="2">
        <f t="shared" si="563"/>
        <v>85.2224457858261</v>
      </c>
      <c r="AR1204" s="5">
        <f t="shared" si="564"/>
        <v>160.218198077353</v>
      </c>
    </row>
    <row r="1205" spans="1:44">
      <c r="A1205" s="2">
        <v>20260413</v>
      </c>
      <c r="B1205" s="8" t="s">
        <v>2454</v>
      </c>
      <c r="C1205" s="2" t="s">
        <v>2455</v>
      </c>
      <c r="D1205" s="2">
        <v>0</v>
      </c>
      <c r="E1205" s="2">
        <v>7</v>
      </c>
      <c r="F1205" s="2">
        <v>4</v>
      </c>
      <c r="G1205" s="2">
        <v>10</v>
      </c>
      <c r="H1205" s="2">
        <v>12</v>
      </c>
      <c r="I1205" s="3">
        <v>27</v>
      </c>
      <c r="J1205" s="2">
        <v>14</v>
      </c>
      <c r="K1205" s="2">
        <v>6</v>
      </c>
      <c r="L1205" s="2">
        <v>2</v>
      </c>
      <c r="M1205" s="2">
        <v>225</v>
      </c>
      <c r="N1205" s="2">
        <v>14</v>
      </c>
      <c r="O1205" s="2">
        <v>3</v>
      </c>
      <c r="P1205" s="3">
        <v>5</v>
      </c>
      <c r="Q1205" s="2">
        <v>4</v>
      </c>
      <c r="R1205" s="2">
        <v>19</v>
      </c>
      <c r="S1205" s="2">
        <v>4</v>
      </c>
      <c r="T1205" s="2">
        <v>6</v>
      </c>
      <c r="U1205" s="2">
        <v>0</v>
      </c>
      <c r="V1205" s="1">
        <f t="shared" si="565"/>
        <v>294</v>
      </c>
      <c r="W1205" s="2">
        <v>8</v>
      </c>
      <c r="X1205" s="2">
        <v>5</v>
      </c>
      <c r="Y1205" s="2">
        <v>0</v>
      </c>
      <c r="Z1205" s="2">
        <f t="shared" si="566"/>
        <v>13</v>
      </c>
      <c r="AA1205" s="2">
        <f t="shared" si="567"/>
        <v>307</v>
      </c>
      <c r="AB1205" s="2">
        <v>4611</v>
      </c>
      <c r="AC1205" s="20">
        <f t="shared" si="558"/>
        <v>6.65799175883756</v>
      </c>
      <c r="AD1205" s="2" t="s">
        <v>44</v>
      </c>
      <c r="AE1205" s="2">
        <v>125</v>
      </c>
      <c r="AF1205" s="21">
        <f t="shared" si="559"/>
        <v>10.0136196052917</v>
      </c>
      <c r="AG1205" s="4">
        <f t="shared" si="560"/>
        <v>6.37605725439167</v>
      </c>
      <c r="AH1205" s="4">
        <f t="shared" si="561"/>
        <v>0.28193450444589</v>
      </c>
      <c r="AI1205" s="2">
        <v>9351</v>
      </c>
      <c r="AJ1205" s="2">
        <v>600</v>
      </c>
      <c r="AK1205" s="2">
        <v>1874</v>
      </c>
      <c r="AL1205" s="2">
        <v>74</v>
      </c>
      <c r="AM1205" s="2">
        <v>109</v>
      </c>
      <c r="AN1205" s="2">
        <v>3</v>
      </c>
      <c r="AO1205" s="2">
        <v>0</v>
      </c>
      <c r="AP1205" s="2">
        <f t="shared" si="562"/>
        <v>10028</v>
      </c>
      <c r="AQ1205" s="2">
        <f t="shared" si="563"/>
        <v>444.306601683651</v>
      </c>
      <c r="AR1205" s="5">
        <f t="shared" si="564"/>
        <v>835.296411165264</v>
      </c>
    </row>
    <row r="1206" spans="1:44">
      <c r="A1206" s="2">
        <v>20260413</v>
      </c>
      <c r="B1206" s="2" t="s">
        <v>2456</v>
      </c>
      <c r="C1206" s="2" t="s">
        <v>2457</v>
      </c>
      <c r="D1206" s="2">
        <v>1</v>
      </c>
      <c r="E1206" s="2">
        <v>29</v>
      </c>
      <c r="F1206" s="2">
        <v>0</v>
      </c>
      <c r="G1206" s="2">
        <v>8</v>
      </c>
      <c r="H1206" s="2">
        <v>7</v>
      </c>
      <c r="I1206" s="3">
        <v>13</v>
      </c>
      <c r="J1206" s="2">
        <v>7</v>
      </c>
      <c r="K1206" s="2">
        <v>4</v>
      </c>
      <c r="L1206" s="2">
        <v>2</v>
      </c>
      <c r="M1206" s="2">
        <v>117</v>
      </c>
      <c r="N1206" s="2">
        <v>10</v>
      </c>
      <c r="O1206" s="2">
        <v>0</v>
      </c>
      <c r="P1206" s="3">
        <v>6</v>
      </c>
      <c r="Q1206" s="2">
        <v>9</v>
      </c>
      <c r="R1206" s="2">
        <v>17</v>
      </c>
      <c r="S1206" s="2">
        <v>1</v>
      </c>
      <c r="T1206" s="2">
        <v>10</v>
      </c>
      <c r="U1206" s="2">
        <v>0</v>
      </c>
      <c r="V1206" s="1">
        <f t="shared" si="565"/>
        <v>165</v>
      </c>
      <c r="W1206" s="2">
        <v>5</v>
      </c>
      <c r="X1206" s="2">
        <v>4</v>
      </c>
      <c r="Y1206" s="2">
        <v>0</v>
      </c>
      <c r="Z1206" s="2">
        <f t="shared" si="566"/>
        <v>9</v>
      </c>
      <c r="AA1206" s="2">
        <f t="shared" si="567"/>
        <v>174</v>
      </c>
      <c r="AB1206" s="2">
        <v>2426</v>
      </c>
      <c r="AC1206" s="20">
        <f t="shared" ref="AC1206:AC1217" si="568">AA1206/AB1206*100</f>
        <v>7.17230008244023</v>
      </c>
      <c r="AD1206" s="2" t="s">
        <v>44</v>
      </c>
      <c r="AE1206" s="2">
        <v>125</v>
      </c>
      <c r="AF1206" s="21">
        <f t="shared" ref="AF1206:AF1217" si="569">188/AE1206*AC1206</f>
        <v>10.7871393239901</v>
      </c>
      <c r="AG1206" s="4">
        <f t="shared" ref="AG1206:AG1217" si="570">V1206/AB1206*100</f>
        <v>6.80131904369332</v>
      </c>
      <c r="AH1206" s="4">
        <f t="shared" ref="AH1206:AH1217" si="571">Z1206/AB1206*100</f>
        <v>0.370981038746909</v>
      </c>
      <c r="AI1206" s="2">
        <v>4581</v>
      </c>
      <c r="AJ1206" s="2">
        <v>370</v>
      </c>
      <c r="AK1206" s="2">
        <v>947</v>
      </c>
      <c r="AL1206" s="2">
        <v>34</v>
      </c>
      <c r="AM1206" s="2">
        <v>43</v>
      </c>
      <c r="AN1206" s="2">
        <v>1</v>
      </c>
      <c r="AO1206" s="2">
        <v>0</v>
      </c>
      <c r="AP1206" s="2">
        <f t="shared" si="562"/>
        <v>4986</v>
      </c>
      <c r="AQ1206" s="2">
        <f t="shared" si="563"/>
        <v>108.132726089785</v>
      </c>
      <c r="AR1206" s="5">
        <f t="shared" si="564"/>
        <v>203.289525048796</v>
      </c>
    </row>
    <row r="1207" spans="1:44">
      <c r="A1207" s="2">
        <v>20260413</v>
      </c>
      <c r="B1207" s="2" t="s">
        <v>2458</v>
      </c>
      <c r="C1207" s="2" t="s">
        <v>2459</v>
      </c>
      <c r="D1207" s="2">
        <v>1</v>
      </c>
      <c r="E1207" s="2">
        <v>8</v>
      </c>
      <c r="F1207" s="2">
        <v>7</v>
      </c>
      <c r="G1207" s="2">
        <v>4</v>
      </c>
      <c r="H1207" s="2">
        <v>13</v>
      </c>
      <c r="I1207" s="3">
        <v>26</v>
      </c>
      <c r="J1207" s="2">
        <v>11</v>
      </c>
      <c r="K1207" s="2">
        <v>1</v>
      </c>
      <c r="L1207" s="2">
        <v>1</v>
      </c>
      <c r="M1207" s="2">
        <v>224</v>
      </c>
      <c r="N1207" s="2">
        <v>13</v>
      </c>
      <c r="O1207" s="2">
        <v>6</v>
      </c>
      <c r="P1207" s="3">
        <v>6</v>
      </c>
      <c r="Q1207" s="2">
        <v>11</v>
      </c>
      <c r="R1207" s="2">
        <v>9</v>
      </c>
      <c r="S1207" s="2">
        <v>2</v>
      </c>
      <c r="T1207" s="2">
        <v>5</v>
      </c>
      <c r="U1207" s="2">
        <v>0</v>
      </c>
      <c r="V1207" s="1">
        <f t="shared" si="565"/>
        <v>276</v>
      </c>
      <c r="W1207" s="2">
        <v>11</v>
      </c>
      <c r="X1207" s="2">
        <v>4</v>
      </c>
      <c r="Y1207" s="2">
        <v>0</v>
      </c>
      <c r="Z1207" s="2">
        <f t="shared" si="566"/>
        <v>15</v>
      </c>
      <c r="AA1207" s="2">
        <f t="shared" si="567"/>
        <v>291</v>
      </c>
      <c r="AB1207" s="2">
        <v>4462</v>
      </c>
      <c r="AC1207" s="20">
        <f t="shared" si="568"/>
        <v>6.52173913043478</v>
      </c>
      <c r="AD1207" s="2" t="s">
        <v>44</v>
      </c>
      <c r="AE1207" s="2">
        <v>125</v>
      </c>
      <c r="AF1207" s="21">
        <f t="shared" si="569"/>
        <v>9.80869565217391</v>
      </c>
      <c r="AG1207" s="4">
        <f t="shared" si="570"/>
        <v>6.18556701030928</v>
      </c>
      <c r="AH1207" s="4">
        <f t="shared" si="571"/>
        <v>0.336172120125504</v>
      </c>
      <c r="AI1207" s="2">
        <v>6321</v>
      </c>
      <c r="AJ1207" s="2">
        <v>461</v>
      </c>
      <c r="AK1207" s="2">
        <v>1764</v>
      </c>
      <c r="AL1207" s="2">
        <v>43</v>
      </c>
      <c r="AM1207" s="2">
        <v>57</v>
      </c>
      <c r="AN1207" s="2">
        <v>4</v>
      </c>
      <c r="AO1207" s="2">
        <v>0</v>
      </c>
      <c r="AP1207" s="2">
        <f t="shared" si="562"/>
        <v>6829</v>
      </c>
      <c r="AQ1207" s="2">
        <f t="shared" si="563"/>
        <v>281.492168178071</v>
      </c>
      <c r="AR1207" s="5">
        <f t="shared" si="564"/>
        <v>529.205276174773</v>
      </c>
    </row>
    <row r="1208" spans="1:44">
      <c r="A1208" s="2">
        <v>20260413</v>
      </c>
      <c r="B1208" s="2" t="s">
        <v>2460</v>
      </c>
      <c r="C1208" s="2" t="s">
        <v>2461</v>
      </c>
      <c r="D1208" s="2">
        <v>1</v>
      </c>
      <c r="E1208" s="2">
        <v>4</v>
      </c>
      <c r="F1208" s="2">
        <v>0</v>
      </c>
      <c r="G1208" s="2">
        <v>14</v>
      </c>
      <c r="H1208" s="2">
        <v>10</v>
      </c>
      <c r="I1208" s="3">
        <v>23</v>
      </c>
      <c r="J1208" s="2">
        <v>14</v>
      </c>
      <c r="K1208" s="2">
        <v>4</v>
      </c>
      <c r="L1208" s="2">
        <v>1</v>
      </c>
      <c r="M1208" s="2">
        <v>214</v>
      </c>
      <c r="N1208" s="2">
        <v>10</v>
      </c>
      <c r="O1208" s="2">
        <v>3</v>
      </c>
      <c r="P1208" s="3">
        <v>12</v>
      </c>
      <c r="Q1208" s="2">
        <v>5</v>
      </c>
      <c r="R1208" s="2">
        <v>11</v>
      </c>
      <c r="S1208" s="2">
        <v>1</v>
      </c>
      <c r="T1208" s="2">
        <v>10</v>
      </c>
      <c r="U1208" s="2">
        <v>1</v>
      </c>
      <c r="V1208" s="1">
        <f t="shared" si="565"/>
        <v>291</v>
      </c>
      <c r="W1208" s="2">
        <v>9</v>
      </c>
      <c r="X1208" s="2">
        <v>2</v>
      </c>
      <c r="Y1208" s="2">
        <v>0</v>
      </c>
      <c r="Z1208" s="2">
        <f t="shared" si="566"/>
        <v>12</v>
      </c>
      <c r="AA1208" s="2">
        <f t="shared" si="567"/>
        <v>303</v>
      </c>
      <c r="AB1208" s="2">
        <v>4362</v>
      </c>
      <c r="AC1208" s="20">
        <f t="shared" si="568"/>
        <v>6.94635488308116</v>
      </c>
      <c r="AD1208" s="2" t="s">
        <v>44</v>
      </c>
      <c r="AE1208" s="2">
        <v>125</v>
      </c>
      <c r="AF1208" s="21">
        <f t="shared" si="569"/>
        <v>10.4473177441541</v>
      </c>
      <c r="AG1208" s="4">
        <f t="shared" si="570"/>
        <v>6.67125171939477</v>
      </c>
      <c r="AH1208" s="4">
        <f t="shared" si="571"/>
        <v>0.275103163686382</v>
      </c>
      <c r="AI1208" s="2">
        <v>6595</v>
      </c>
      <c r="AJ1208" s="2">
        <v>635</v>
      </c>
      <c r="AK1208" s="2">
        <v>1751</v>
      </c>
      <c r="AL1208" s="2">
        <v>70</v>
      </c>
      <c r="AM1208" s="2">
        <v>88</v>
      </c>
      <c r="AN1208" s="2">
        <v>5</v>
      </c>
      <c r="AO1208" s="2">
        <v>0</v>
      </c>
      <c r="AP1208" s="2">
        <f t="shared" si="562"/>
        <v>7305</v>
      </c>
      <c r="AQ1208" s="2">
        <f t="shared" si="563"/>
        <v>163.715822501121</v>
      </c>
      <c r="AR1208" s="5">
        <f t="shared" si="564"/>
        <v>307.785746302107</v>
      </c>
    </row>
    <row r="1209" spans="1:44">
      <c r="A1209" s="2">
        <v>20260413</v>
      </c>
      <c r="B1209" s="2" t="s">
        <v>2462</v>
      </c>
      <c r="C1209" s="2" t="s">
        <v>2463</v>
      </c>
      <c r="D1209" s="2">
        <v>1</v>
      </c>
      <c r="E1209" s="2">
        <v>1</v>
      </c>
      <c r="F1209" s="2">
        <v>1</v>
      </c>
      <c r="G1209" s="2">
        <v>4</v>
      </c>
      <c r="H1209" s="2">
        <v>9</v>
      </c>
      <c r="I1209" s="3">
        <v>10</v>
      </c>
      <c r="J1209" s="2">
        <v>28</v>
      </c>
      <c r="K1209" s="2">
        <v>17</v>
      </c>
      <c r="L1209" s="2">
        <v>4</v>
      </c>
      <c r="M1209" s="2">
        <v>202</v>
      </c>
      <c r="N1209" s="2">
        <v>18</v>
      </c>
      <c r="O1209" s="2">
        <v>5</v>
      </c>
      <c r="P1209" s="3">
        <v>18</v>
      </c>
      <c r="Q1209" s="2">
        <v>31</v>
      </c>
      <c r="R1209" s="2">
        <v>8</v>
      </c>
      <c r="S1209" s="2">
        <v>4</v>
      </c>
      <c r="T1209" s="2">
        <v>14</v>
      </c>
      <c r="U1209" s="2">
        <v>0</v>
      </c>
      <c r="V1209" s="1">
        <f t="shared" si="565"/>
        <v>295</v>
      </c>
      <c r="W1209" s="2">
        <v>4</v>
      </c>
      <c r="X1209" s="2">
        <v>7</v>
      </c>
      <c r="Y1209" s="2">
        <v>0</v>
      </c>
      <c r="Z1209" s="2">
        <f t="shared" si="566"/>
        <v>11</v>
      </c>
      <c r="AA1209" s="2">
        <f t="shared" si="567"/>
        <v>306</v>
      </c>
      <c r="AB1209" s="2">
        <v>4192</v>
      </c>
      <c r="AC1209" s="20">
        <f t="shared" si="568"/>
        <v>7.29961832061069</v>
      </c>
      <c r="AD1209" s="2" t="s">
        <v>44</v>
      </c>
      <c r="AE1209" s="2">
        <v>125</v>
      </c>
      <c r="AF1209" s="21">
        <f t="shared" si="569"/>
        <v>10.9786259541985</v>
      </c>
      <c r="AG1209" s="4">
        <f t="shared" si="570"/>
        <v>7.03721374045801</v>
      </c>
      <c r="AH1209" s="4">
        <f t="shared" si="571"/>
        <v>0.262404580152672</v>
      </c>
      <c r="AI1209" s="2">
        <v>6748</v>
      </c>
      <c r="AJ1209" s="2">
        <v>702</v>
      </c>
      <c r="AK1209" s="2">
        <v>1558</v>
      </c>
      <c r="AL1209" s="2">
        <v>59</v>
      </c>
      <c r="AM1209" s="2">
        <v>56</v>
      </c>
      <c r="AN1209" s="2">
        <v>5</v>
      </c>
      <c r="AO1209" s="2">
        <v>0</v>
      </c>
      <c r="AP1209" s="2">
        <f t="shared" si="562"/>
        <v>7514</v>
      </c>
      <c r="AQ1209" s="2">
        <f t="shared" si="563"/>
        <v>172.260430994956</v>
      </c>
      <c r="AR1209" s="5">
        <f t="shared" si="564"/>
        <v>323.849610270518</v>
      </c>
    </row>
    <row r="1210" spans="1:44">
      <c r="A1210" s="2">
        <v>20260413</v>
      </c>
      <c r="B1210" s="2" t="s">
        <v>2464</v>
      </c>
      <c r="C1210" s="2" t="s">
        <v>2465</v>
      </c>
      <c r="D1210" s="2">
        <v>1</v>
      </c>
      <c r="E1210" s="2">
        <v>1</v>
      </c>
      <c r="F1210" s="2">
        <v>2</v>
      </c>
      <c r="G1210" s="2">
        <v>21</v>
      </c>
      <c r="H1210" s="2">
        <v>29</v>
      </c>
      <c r="I1210" s="3">
        <v>20</v>
      </c>
      <c r="J1210" s="2">
        <v>3</v>
      </c>
      <c r="K1210" s="2">
        <v>3</v>
      </c>
      <c r="L1210" s="2">
        <v>1</v>
      </c>
      <c r="M1210" s="2">
        <v>125</v>
      </c>
      <c r="N1210" s="2">
        <v>3</v>
      </c>
      <c r="O1210" s="2">
        <v>5</v>
      </c>
      <c r="P1210" s="3">
        <v>19</v>
      </c>
      <c r="Q1210" s="2">
        <v>1</v>
      </c>
      <c r="R1210" s="2">
        <v>16</v>
      </c>
      <c r="S1210" s="2">
        <v>3</v>
      </c>
      <c r="T1210" s="2">
        <v>23</v>
      </c>
      <c r="U1210" s="2">
        <v>0</v>
      </c>
      <c r="V1210" s="1">
        <f t="shared" si="565"/>
        <v>239</v>
      </c>
      <c r="W1210" s="2">
        <v>4</v>
      </c>
      <c r="X1210" s="2">
        <v>1</v>
      </c>
      <c r="Y1210" s="2">
        <v>0</v>
      </c>
      <c r="Z1210" s="2">
        <f t="shared" si="566"/>
        <v>5</v>
      </c>
      <c r="AA1210" s="2">
        <f t="shared" si="567"/>
        <v>244</v>
      </c>
      <c r="AB1210" s="2">
        <v>4192</v>
      </c>
      <c r="AC1210" s="20">
        <f t="shared" si="568"/>
        <v>5.8206106870229</v>
      </c>
      <c r="AD1210" s="2" t="s">
        <v>44</v>
      </c>
      <c r="AE1210" s="2">
        <v>125</v>
      </c>
      <c r="AF1210" s="21">
        <f t="shared" si="569"/>
        <v>8.75419847328244</v>
      </c>
      <c r="AG1210" s="4">
        <f t="shared" si="570"/>
        <v>5.7013358778626</v>
      </c>
      <c r="AH1210" s="4">
        <f t="shared" si="571"/>
        <v>0.119274809160305</v>
      </c>
      <c r="AI1210" s="2">
        <v>6997</v>
      </c>
      <c r="AJ1210" s="2">
        <v>750</v>
      </c>
      <c r="AK1210" s="2">
        <v>1671</v>
      </c>
      <c r="AL1210" s="2">
        <v>49</v>
      </c>
      <c r="AM1210" s="2">
        <v>62</v>
      </c>
      <c r="AN1210" s="2">
        <v>12</v>
      </c>
      <c r="AO1210" s="2">
        <v>0</v>
      </c>
      <c r="AP1210" s="2">
        <f t="shared" si="562"/>
        <v>7808</v>
      </c>
      <c r="AQ1210" s="2">
        <f t="shared" si="563"/>
        <v>186.259541984733</v>
      </c>
      <c r="AR1210" s="5">
        <f t="shared" si="564"/>
        <v>350.167938931298</v>
      </c>
    </row>
    <row r="1211" spans="1:44">
      <c r="A1211" s="2">
        <v>20260413</v>
      </c>
      <c r="B1211" s="2" t="s">
        <v>2466</v>
      </c>
      <c r="C1211" s="2" t="s">
        <v>2467</v>
      </c>
      <c r="D1211" s="2">
        <v>2</v>
      </c>
      <c r="E1211" s="2">
        <v>2</v>
      </c>
      <c r="F1211" s="2">
        <v>3</v>
      </c>
      <c r="G1211" s="2">
        <v>21</v>
      </c>
      <c r="H1211" s="2">
        <v>20</v>
      </c>
      <c r="I1211" s="3">
        <v>26</v>
      </c>
      <c r="J1211" s="2">
        <v>29</v>
      </c>
      <c r="K1211" s="2">
        <v>26</v>
      </c>
      <c r="L1211" s="2">
        <v>3</v>
      </c>
      <c r="M1211" s="2">
        <v>185</v>
      </c>
      <c r="N1211" s="2">
        <v>15</v>
      </c>
      <c r="O1211" s="2">
        <v>6</v>
      </c>
      <c r="P1211" s="3">
        <v>9</v>
      </c>
      <c r="Q1211" s="2">
        <v>7</v>
      </c>
      <c r="R1211" s="2">
        <v>1</v>
      </c>
      <c r="S1211" s="2">
        <v>18</v>
      </c>
      <c r="T1211" s="2">
        <v>3</v>
      </c>
      <c r="U1211" s="2">
        <v>0</v>
      </c>
      <c r="V1211" s="1">
        <f t="shared" ref="V1211:V1217" si="572">AA1211-Y1211-X1211-W1211-U1211</f>
        <v>300</v>
      </c>
      <c r="W1211" s="2">
        <v>8</v>
      </c>
      <c r="X1211" s="2">
        <v>14</v>
      </c>
      <c r="Y1211" s="2">
        <v>0</v>
      </c>
      <c r="Z1211" s="2">
        <f t="shared" si="566"/>
        <v>22</v>
      </c>
      <c r="AA1211" s="2">
        <f t="shared" si="567"/>
        <v>322</v>
      </c>
      <c r="AB1211" s="2">
        <v>4172</v>
      </c>
      <c r="AC1211" s="20">
        <f t="shared" si="568"/>
        <v>7.71812080536913</v>
      </c>
      <c r="AD1211" s="2" t="s">
        <v>44</v>
      </c>
      <c r="AE1211" s="2">
        <v>125</v>
      </c>
      <c r="AF1211" s="21">
        <f t="shared" si="569"/>
        <v>11.6080536912752</v>
      </c>
      <c r="AG1211" s="4">
        <f t="shared" si="570"/>
        <v>7.19079578139981</v>
      </c>
      <c r="AH1211" s="4">
        <f t="shared" si="571"/>
        <v>0.527325023969319</v>
      </c>
      <c r="AI1211" s="2">
        <v>5894</v>
      </c>
      <c r="AJ1211" s="2">
        <v>716</v>
      </c>
      <c r="AK1211" s="2">
        <v>1526</v>
      </c>
      <c r="AL1211" s="2">
        <v>47</v>
      </c>
      <c r="AM1211" s="2">
        <v>71</v>
      </c>
      <c r="AN1211" s="2">
        <v>16</v>
      </c>
      <c r="AO1211" s="2">
        <v>0</v>
      </c>
      <c r="AP1211" s="2">
        <f t="shared" si="562"/>
        <v>6673</v>
      </c>
      <c r="AQ1211" s="2">
        <f t="shared" si="563"/>
        <v>159.184160305344</v>
      </c>
      <c r="AR1211" s="5">
        <f t="shared" si="564"/>
        <v>299.266221374046</v>
      </c>
    </row>
    <row r="1212" spans="1:44">
      <c r="A1212" s="2">
        <v>20260413</v>
      </c>
      <c r="B1212" s="2" t="s">
        <v>2468</v>
      </c>
      <c r="C1212" s="2" t="s">
        <v>2469</v>
      </c>
      <c r="D1212" s="2">
        <v>1</v>
      </c>
      <c r="E1212" s="2">
        <v>1</v>
      </c>
      <c r="F1212" s="2">
        <v>0</v>
      </c>
      <c r="G1212" s="2">
        <v>19</v>
      </c>
      <c r="H1212" s="2">
        <v>11</v>
      </c>
      <c r="I1212" s="3">
        <v>25</v>
      </c>
      <c r="J1212" s="2">
        <v>7</v>
      </c>
      <c r="K1212" s="2">
        <v>0</v>
      </c>
      <c r="L1212" s="2">
        <v>0</v>
      </c>
      <c r="M1212" s="2">
        <v>212</v>
      </c>
      <c r="N1212" s="2">
        <v>11</v>
      </c>
      <c r="O1212" s="2">
        <v>2</v>
      </c>
      <c r="P1212" s="3">
        <v>4</v>
      </c>
      <c r="Q1212" s="2">
        <v>4</v>
      </c>
      <c r="R1212" s="2">
        <v>10</v>
      </c>
      <c r="S1212" s="2">
        <v>1</v>
      </c>
      <c r="T1212" s="2">
        <v>3</v>
      </c>
      <c r="U1212" s="2">
        <v>0</v>
      </c>
      <c r="V1212" s="1">
        <f t="shared" si="572"/>
        <v>261</v>
      </c>
      <c r="W1212" s="2">
        <v>9</v>
      </c>
      <c r="X1212" s="2">
        <v>11</v>
      </c>
      <c r="Y1212" s="2">
        <v>0</v>
      </c>
      <c r="Z1212" s="2">
        <f t="shared" si="566"/>
        <v>20</v>
      </c>
      <c r="AA1212" s="2">
        <f t="shared" si="567"/>
        <v>281</v>
      </c>
      <c r="AB1212" s="2">
        <v>4172</v>
      </c>
      <c r="AC1212" s="20">
        <f t="shared" si="568"/>
        <v>6.73537871524449</v>
      </c>
      <c r="AD1212" s="2" t="s">
        <v>44</v>
      </c>
      <c r="AE1212" s="2">
        <v>125</v>
      </c>
      <c r="AF1212" s="21">
        <f t="shared" si="569"/>
        <v>10.1300095877277</v>
      </c>
      <c r="AG1212" s="4">
        <f t="shared" si="570"/>
        <v>6.25599232981783</v>
      </c>
      <c r="AH1212" s="4">
        <f t="shared" si="571"/>
        <v>0.479386385426654</v>
      </c>
      <c r="AI1212" s="2">
        <v>5104</v>
      </c>
      <c r="AJ1212" s="2">
        <v>478</v>
      </c>
      <c r="AK1212" s="2">
        <v>1603</v>
      </c>
      <c r="AL1212" s="2">
        <v>52</v>
      </c>
      <c r="AM1212" s="2">
        <v>69</v>
      </c>
      <c r="AN1212" s="2">
        <v>12</v>
      </c>
      <c r="AO1212" s="2">
        <v>0</v>
      </c>
      <c r="AP1212" s="2">
        <f t="shared" si="562"/>
        <v>5646</v>
      </c>
      <c r="AQ1212" s="2">
        <f t="shared" si="563"/>
        <v>135.330776605944</v>
      </c>
      <c r="AR1212" s="5">
        <f t="shared" si="564"/>
        <v>254.421860019175</v>
      </c>
    </row>
    <row r="1213" spans="1:44">
      <c r="A1213" s="2">
        <v>20260413</v>
      </c>
      <c r="B1213" s="2" t="s">
        <v>2470</v>
      </c>
      <c r="C1213" s="2" t="s">
        <v>2471</v>
      </c>
      <c r="D1213" s="2">
        <v>2</v>
      </c>
      <c r="E1213" s="2">
        <v>0</v>
      </c>
      <c r="F1213" s="2">
        <v>0</v>
      </c>
      <c r="G1213" s="2">
        <v>3</v>
      </c>
      <c r="H1213" s="2">
        <v>5</v>
      </c>
      <c r="I1213" s="3">
        <v>25</v>
      </c>
      <c r="J1213" s="2">
        <v>11</v>
      </c>
      <c r="K1213" s="2">
        <v>0</v>
      </c>
      <c r="L1213" s="2">
        <v>2</v>
      </c>
      <c r="M1213" s="2">
        <v>107</v>
      </c>
      <c r="N1213" s="2">
        <v>23</v>
      </c>
      <c r="O1213" s="2">
        <v>0</v>
      </c>
      <c r="P1213" s="3">
        <v>3</v>
      </c>
      <c r="Q1213" s="2">
        <v>2</v>
      </c>
      <c r="R1213" s="2">
        <v>4</v>
      </c>
      <c r="S1213" s="2">
        <v>1</v>
      </c>
      <c r="T1213" s="2">
        <v>4</v>
      </c>
      <c r="U1213" s="2">
        <v>0</v>
      </c>
      <c r="V1213" s="1">
        <f t="shared" si="572"/>
        <v>149</v>
      </c>
      <c r="W1213" s="2">
        <v>11</v>
      </c>
      <c r="X1213" s="2">
        <v>0</v>
      </c>
      <c r="Y1213" s="2">
        <v>0</v>
      </c>
      <c r="Z1213" s="2">
        <f t="shared" si="566"/>
        <v>11</v>
      </c>
      <c r="AA1213" s="2">
        <f t="shared" si="567"/>
        <v>160</v>
      </c>
      <c r="AB1213" s="2">
        <v>2107</v>
      </c>
      <c r="AC1213" s="20">
        <f t="shared" si="568"/>
        <v>7.593735168486</v>
      </c>
      <c r="AD1213" s="2" t="s">
        <v>44</v>
      </c>
      <c r="AE1213" s="2">
        <v>125</v>
      </c>
      <c r="AF1213" s="21">
        <f t="shared" si="569"/>
        <v>11.4209776934029</v>
      </c>
      <c r="AG1213" s="4">
        <f t="shared" si="570"/>
        <v>7.07166587565259</v>
      </c>
      <c r="AH1213" s="4">
        <f t="shared" si="571"/>
        <v>0.522069292833413</v>
      </c>
      <c r="AI1213" s="2">
        <v>4171</v>
      </c>
      <c r="AJ1213" s="2">
        <v>280</v>
      </c>
      <c r="AK1213" s="2">
        <v>687</v>
      </c>
      <c r="AL1213" s="2">
        <v>22</v>
      </c>
      <c r="AM1213" s="2">
        <v>39</v>
      </c>
      <c r="AN1213" s="2">
        <v>15</v>
      </c>
      <c r="AO1213" s="2">
        <v>0</v>
      </c>
      <c r="AP1213" s="2">
        <f t="shared" si="562"/>
        <v>4488</v>
      </c>
      <c r="AQ1213" s="2">
        <f t="shared" si="563"/>
        <v>107.574304889741</v>
      </c>
      <c r="AR1213" s="5">
        <f t="shared" si="564"/>
        <v>202.239693192713</v>
      </c>
    </row>
    <row r="1214" spans="1:44">
      <c r="A1214" s="2">
        <v>20260413</v>
      </c>
      <c r="B1214" s="2" t="s">
        <v>2472</v>
      </c>
      <c r="C1214" s="2" t="s">
        <v>2473</v>
      </c>
      <c r="D1214" s="2">
        <v>1</v>
      </c>
      <c r="E1214" s="2">
        <v>2</v>
      </c>
      <c r="F1214" s="2">
        <v>2</v>
      </c>
      <c r="G1214" s="2">
        <v>15</v>
      </c>
      <c r="H1214" s="2">
        <v>13</v>
      </c>
      <c r="I1214" s="3">
        <v>26</v>
      </c>
      <c r="J1214" s="2">
        <v>9</v>
      </c>
      <c r="K1214" s="2">
        <v>1</v>
      </c>
      <c r="L1214" s="2">
        <v>3</v>
      </c>
      <c r="M1214" s="2">
        <v>226</v>
      </c>
      <c r="N1214" s="2">
        <v>5</v>
      </c>
      <c r="O1214" s="2">
        <v>0</v>
      </c>
      <c r="P1214" s="3">
        <v>2</v>
      </c>
      <c r="Q1214" s="2">
        <v>2</v>
      </c>
      <c r="R1214" s="2">
        <v>21</v>
      </c>
      <c r="S1214" s="2">
        <v>0</v>
      </c>
      <c r="T1214" s="2">
        <v>12</v>
      </c>
      <c r="U1214" s="2">
        <v>1</v>
      </c>
      <c r="V1214" s="1">
        <f t="shared" si="572"/>
        <v>301</v>
      </c>
      <c r="W1214" s="2">
        <v>5</v>
      </c>
      <c r="X1214" s="2">
        <v>0</v>
      </c>
      <c r="Y1214" s="2">
        <v>1</v>
      </c>
      <c r="Z1214" s="2">
        <f t="shared" si="566"/>
        <v>7</v>
      </c>
      <c r="AA1214" s="2">
        <f t="shared" si="567"/>
        <v>308</v>
      </c>
      <c r="AB1214" s="2">
        <v>4151</v>
      </c>
      <c r="AC1214" s="20">
        <f t="shared" si="568"/>
        <v>7.41989881956155</v>
      </c>
      <c r="AD1214" s="2" t="s">
        <v>44</v>
      </c>
      <c r="AE1214" s="2">
        <v>125</v>
      </c>
      <c r="AF1214" s="21">
        <f t="shared" ref="AF1214:AF1224" si="573">188/AE1214*AC1214</f>
        <v>11.1595278246206</v>
      </c>
      <c r="AG1214" s="4">
        <f t="shared" ref="AG1214:AG1224" si="574">V1214/AB1214*100</f>
        <v>7.25126475548061</v>
      </c>
      <c r="AH1214" s="4">
        <f t="shared" ref="AH1214:AH1224" si="575">Z1214/AB1214*100</f>
        <v>0.168634064080944</v>
      </c>
      <c r="AI1214" s="2">
        <v>6453</v>
      </c>
      <c r="AJ1214" s="2">
        <v>374</v>
      </c>
      <c r="AK1214" s="2">
        <v>1402</v>
      </c>
      <c r="AL1214" s="2">
        <v>24</v>
      </c>
      <c r="AM1214" s="2">
        <v>35</v>
      </c>
      <c r="AN1214" s="2">
        <v>10</v>
      </c>
      <c r="AO1214" s="2">
        <v>0</v>
      </c>
      <c r="AP1214" s="2">
        <f t="shared" si="562"/>
        <v>6861</v>
      </c>
      <c r="AQ1214" s="2">
        <f t="shared" si="563"/>
        <v>325.62885619364</v>
      </c>
      <c r="AR1214" s="5">
        <f t="shared" si="564"/>
        <v>612.182249644044</v>
      </c>
    </row>
    <row r="1215" spans="1:44">
      <c r="A1215" s="2">
        <v>20260413</v>
      </c>
      <c r="B1215" s="2" t="s">
        <v>2474</v>
      </c>
      <c r="C1215" s="2" t="s">
        <v>2475</v>
      </c>
      <c r="D1215" s="2">
        <v>2</v>
      </c>
      <c r="E1215" s="2">
        <v>2</v>
      </c>
      <c r="F1215" s="2">
        <v>6</v>
      </c>
      <c r="G1215" s="2">
        <v>6</v>
      </c>
      <c r="H1215" s="2">
        <v>14</v>
      </c>
      <c r="I1215" s="3">
        <v>13</v>
      </c>
      <c r="J1215" s="2">
        <v>9</v>
      </c>
      <c r="K1215" s="2">
        <v>3</v>
      </c>
      <c r="L1215" s="2">
        <v>3</v>
      </c>
      <c r="M1215" s="2">
        <v>209</v>
      </c>
      <c r="N1215" s="2">
        <v>9</v>
      </c>
      <c r="O1215" s="2">
        <v>12</v>
      </c>
      <c r="P1215" s="3">
        <v>3</v>
      </c>
      <c r="Q1215" s="2">
        <v>8</v>
      </c>
      <c r="R1215" s="2">
        <v>11</v>
      </c>
      <c r="S1215" s="2">
        <v>2</v>
      </c>
      <c r="T1215" s="2">
        <v>7</v>
      </c>
      <c r="U1215" s="2">
        <v>0</v>
      </c>
      <c r="V1215" s="1">
        <f t="shared" si="572"/>
        <v>261</v>
      </c>
      <c r="W1215" s="2">
        <v>4</v>
      </c>
      <c r="X1215" s="2">
        <v>0</v>
      </c>
      <c r="Y1215" s="2">
        <v>2</v>
      </c>
      <c r="Z1215" s="2">
        <f t="shared" si="566"/>
        <v>6</v>
      </c>
      <c r="AA1215" s="2">
        <f t="shared" si="567"/>
        <v>267</v>
      </c>
      <c r="AB1215" s="2">
        <v>4152</v>
      </c>
      <c r="AC1215" s="20">
        <f t="shared" si="568"/>
        <v>6.43063583815029</v>
      </c>
      <c r="AD1215" s="2" t="s">
        <v>44</v>
      </c>
      <c r="AE1215" s="2">
        <v>125</v>
      </c>
      <c r="AF1215" s="21">
        <f t="shared" si="573"/>
        <v>9.67167630057804</v>
      </c>
      <c r="AG1215" s="4">
        <f t="shared" si="574"/>
        <v>6.28612716763006</v>
      </c>
      <c r="AH1215" s="4">
        <f t="shared" si="575"/>
        <v>0.144508670520231</v>
      </c>
      <c r="AI1215" s="2">
        <v>7812</v>
      </c>
      <c r="AJ1215" s="2">
        <v>413</v>
      </c>
      <c r="AK1215" s="2">
        <v>1481</v>
      </c>
      <c r="AL1215" s="2">
        <v>46</v>
      </c>
      <c r="AM1215" s="2">
        <v>69</v>
      </c>
      <c r="AN1215" s="2">
        <v>4</v>
      </c>
      <c r="AO1215" s="2">
        <v>0</v>
      </c>
      <c r="AP1215" s="2">
        <f t="shared" ref="AP1215:AP1231" si="576">AI1215+AJ1215+AL1215+AN1215</f>
        <v>8275</v>
      </c>
      <c r="AQ1215" s="2">
        <f t="shared" ref="AQ1215:AQ1231" si="577">AP1215/AB1214*100</f>
        <v>199.349554324259</v>
      </c>
      <c r="AR1215" s="5">
        <f t="shared" ref="AR1215:AR1231" si="578">AQ1215*1.88</f>
        <v>374.777162129607</v>
      </c>
    </row>
    <row r="1216" spans="1:44">
      <c r="A1216" s="2">
        <v>20260414</v>
      </c>
      <c r="B1216" s="2" t="s">
        <v>2476</v>
      </c>
      <c r="C1216" s="2" t="s">
        <v>2477</v>
      </c>
      <c r="D1216" s="2">
        <v>8</v>
      </c>
      <c r="E1216" s="2">
        <v>2</v>
      </c>
      <c r="F1216" s="2">
        <v>1</v>
      </c>
      <c r="G1216" s="2">
        <v>6</v>
      </c>
      <c r="H1216" s="2">
        <v>18</v>
      </c>
      <c r="I1216" s="3">
        <v>20</v>
      </c>
      <c r="J1216" s="2">
        <v>6</v>
      </c>
      <c r="K1216" s="2">
        <v>4</v>
      </c>
      <c r="L1216" s="2">
        <v>5</v>
      </c>
      <c r="M1216" s="2">
        <v>228</v>
      </c>
      <c r="N1216" s="2">
        <v>8</v>
      </c>
      <c r="O1216" s="2">
        <v>0</v>
      </c>
      <c r="P1216" s="3">
        <v>6</v>
      </c>
      <c r="Q1216" s="2">
        <v>2</v>
      </c>
      <c r="R1216" s="2">
        <v>9</v>
      </c>
      <c r="S1216" s="2">
        <v>2</v>
      </c>
      <c r="T1216" s="2">
        <v>7</v>
      </c>
      <c r="U1216" s="2">
        <v>3</v>
      </c>
      <c r="V1216" s="1">
        <f t="shared" ref="V1216:V1223" si="579">AA1216-Y1216-X1216-W1216-U1216</f>
        <v>283</v>
      </c>
      <c r="W1216" s="2">
        <v>10</v>
      </c>
      <c r="X1216" s="2">
        <v>0</v>
      </c>
      <c r="Y1216" s="2">
        <v>7</v>
      </c>
      <c r="Z1216" s="2">
        <f t="shared" ref="Z1216:Z1223" si="580">Y1216+X1216+W1216+U1216</f>
        <v>20</v>
      </c>
      <c r="AA1216" s="2">
        <f t="shared" ref="AA1216:AA1223" si="581">G1216+H1216+I1216+J1216+K1216+L1216+M1216+P1216+T1216+U1216</f>
        <v>303</v>
      </c>
      <c r="AB1216" s="2">
        <v>4152</v>
      </c>
      <c r="AC1216" s="20">
        <f t="shared" ref="AC1216:AC1223" si="582">AA1216/AB1216*100</f>
        <v>7.29768786127168</v>
      </c>
      <c r="AD1216" s="2" t="s">
        <v>44</v>
      </c>
      <c r="AE1216" s="2">
        <v>125</v>
      </c>
      <c r="AF1216" s="21">
        <f t="shared" si="573"/>
        <v>10.9757225433526</v>
      </c>
      <c r="AG1216" s="4">
        <f t="shared" si="574"/>
        <v>6.8159922928709</v>
      </c>
      <c r="AH1216" s="4">
        <f t="shared" si="575"/>
        <v>0.481695568400771</v>
      </c>
      <c r="AI1216" s="2">
        <v>11860</v>
      </c>
      <c r="AJ1216" s="2">
        <v>448</v>
      </c>
      <c r="AK1216" s="2">
        <v>1623</v>
      </c>
      <c r="AL1216" s="2">
        <v>55</v>
      </c>
      <c r="AM1216" s="2">
        <v>323</v>
      </c>
      <c r="AN1216" s="2">
        <v>63</v>
      </c>
      <c r="AO1216" s="2">
        <v>0</v>
      </c>
      <c r="AP1216" s="2">
        <f t="shared" si="576"/>
        <v>12426</v>
      </c>
      <c r="AQ1216" s="2">
        <f t="shared" si="577"/>
        <v>299.277456647399</v>
      </c>
      <c r="AR1216" s="5">
        <f t="shared" si="578"/>
        <v>562.64161849711</v>
      </c>
    </row>
    <row r="1217" spans="1:44">
      <c r="A1217" s="2">
        <v>20260414</v>
      </c>
      <c r="B1217" s="2" t="s">
        <v>2478</v>
      </c>
      <c r="C1217" s="2" t="s">
        <v>2479</v>
      </c>
      <c r="D1217" s="2">
        <v>0</v>
      </c>
      <c r="E1217" s="2">
        <v>3</v>
      </c>
      <c r="F1217" s="2">
        <v>0</v>
      </c>
      <c r="G1217" s="2">
        <v>3</v>
      </c>
      <c r="H1217" s="2">
        <v>10</v>
      </c>
      <c r="I1217" s="3">
        <v>18</v>
      </c>
      <c r="J1217" s="2">
        <v>13</v>
      </c>
      <c r="K1217" s="2">
        <v>1</v>
      </c>
      <c r="L1217" s="2">
        <v>4</v>
      </c>
      <c r="M1217" s="2">
        <v>208</v>
      </c>
      <c r="N1217" s="2">
        <v>4</v>
      </c>
      <c r="O1217" s="2">
        <v>0</v>
      </c>
      <c r="P1217" s="3">
        <v>3</v>
      </c>
      <c r="Q1217" s="2">
        <v>1</v>
      </c>
      <c r="R1217" s="2">
        <v>8</v>
      </c>
      <c r="S1217" s="2">
        <v>2</v>
      </c>
      <c r="T1217" s="2">
        <v>4</v>
      </c>
      <c r="U1217" s="2">
        <v>3</v>
      </c>
      <c r="V1217" s="1">
        <f t="shared" si="579"/>
        <v>256</v>
      </c>
      <c r="W1217" s="2">
        <v>8</v>
      </c>
      <c r="X1217" s="2">
        <v>0</v>
      </c>
      <c r="Y1217" s="2">
        <v>0</v>
      </c>
      <c r="Z1217" s="2">
        <f t="shared" si="580"/>
        <v>11</v>
      </c>
      <c r="AA1217" s="2">
        <f t="shared" si="581"/>
        <v>267</v>
      </c>
      <c r="AB1217" s="2">
        <v>4152</v>
      </c>
      <c r="AC1217" s="20">
        <f t="shared" si="582"/>
        <v>6.43063583815029</v>
      </c>
      <c r="AD1217" s="2" t="s">
        <v>44</v>
      </c>
      <c r="AE1217" s="2">
        <v>125</v>
      </c>
      <c r="AF1217" s="21">
        <f t="shared" si="573"/>
        <v>9.67167630057804</v>
      </c>
      <c r="AG1217" s="4">
        <f t="shared" si="574"/>
        <v>6.16570327552987</v>
      </c>
      <c r="AH1217" s="4">
        <f t="shared" si="575"/>
        <v>0.264932562620424</v>
      </c>
      <c r="AI1217" s="2">
        <v>12560</v>
      </c>
      <c r="AJ1217" s="2">
        <v>380</v>
      </c>
      <c r="AK1217" s="2">
        <v>1601</v>
      </c>
      <c r="AL1217" s="2">
        <v>36</v>
      </c>
      <c r="AM1217" s="2">
        <v>53</v>
      </c>
      <c r="AN1217" s="2">
        <v>3</v>
      </c>
      <c r="AO1217" s="2">
        <v>0</v>
      </c>
      <c r="AP1217" s="2">
        <f t="shared" si="576"/>
        <v>12979</v>
      </c>
      <c r="AQ1217" s="2">
        <f t="shared" si="577"/>
        <v>312.59633911368</v>
      </c>
      <c r="AR1217" s="5">
        <f t="shared" si="578"/>
        <v>587.681117533719</v>
      </c>
    </row>
    <row r="1218" spans="1:44">
      <c r="A1218" s="2">
        <v>20260414</v>
      </c>
      <c r="B1218" s="2" t="s">
        <v>2480</v>
      </c>
      <c r="C1218" s="2" t="s">
        <v>2481</v>
      </c>
      <c r="D1218" s="2">
        <v>0</v>
      </c>
      <c r="E1218" s="2">
        <v>4</v>
      </c>
      <c r="F1218" s="2">
        <v>1</v>
      </c>
      <c r="G1218" s="2">
        <v>15</v>
      </c>
      <c r="H1218" s="2">
        <v>6</v>
      </c>
      <c r="I1218" s="3">
        <v>12</v>
      </c>
      <c r="J1218" s="2">
        <v>8</v>
      </c>
      <c r="K1218" s="2">
        <v>7</v>
      </c>
      <c r="L1218" s="2">
        <v>2</v>
      </c>
      <c r="M1218" s="2">
        <v>225</v>
      </c>
      <c r="N1218" s="2">
        <v>13</v>
      </c>
      <c r="O1218" s="2">
        <v>1</v>
      </c>
      <c r="P1218" s="3">
        <v>5</v>
      </c>
      <c r="Q1218" s="2">
        <v>2</v>
      </c>
      <c r="R1218" s="2">
        <v>6</v>
      </c>
      <c r="S1218" s="2">
        <v>1</v>
      </c>
      <c r="T1218" s="2">
        <v>9</v>
      </c>
      <c r="U1218" s="2">
        <v>0</v>
      </c>
      <c r="V1218" s="1">
        <f t="shared" si="579"/>
        <v>282</v>
      </c>
      <c r="W1218" s="2">
        <v>6</v>
      </c>
      <c r="X1218" s="2">
        <v>0</v>
      </c>
      <c r="Y1218" s="2">
        <v>1</v>
      </c>
      <c r="Z1218" s="2">
        <f t="shared" si="580"/>
        <v>7</v>
      </c>
      <c r="AA1218" s="2">
        <f t="shared" si="581"/>
        <v>289</v>
      </c>
      <c r="AB1218" s="2">
        <v>4152</v>
      </c>
      <c r="AC1218" s="20">
        <f t="shared" si="582"/>
        <v>6.96050096339114</v>
      </c>
      <c r="AD1218" s="2" t="s">
        <v>44</v>
      </c>
      <c r="AE1218" s="2">
        <v>125</v>
      </c>
      <c r="AF1218" s="21">
        <f t="shared" si="573"/>
        <v>10.4685934489403</v>
      </c>
      <c r="AG1218" s="4">
        <f t="shared" si="574"/>
        <v>6.79190751445087</v>
      </c>
      <c r="AH1218" s="4">
        <f t="shared" si="575"/>
        <v>0.16859344894027</v>
      </c>
      <c r="AI1218" s="2">
        <v>9728</v>
      </c>
      <c r="AJ1218" s="2">
        <v>376</v>
      </c>
      <c r="AK1218" s="2">
        <v>1620</v>
      </c>
      <c r="AL1218" s="2">
        <v>37</v>
      </c>
      <c r="AM1218" s="2">
        <v>67</v>
      </c>
      <c r="AN1218" s="2">
        <v>5</v>
      </c>
      <c r="AO1218" s="2">
        <v>0</v>
      </c>
      <c r="AP1218" s="2">
        <f t="shared" si="576"/>
        <v>10146</v>
      </c>
      <c r="AQ1218" s="2">
        <f t="shared" si="577"/>
        <v>244.364161849711</v>
      </c>
      <c r="AR1218" s="5">
        <f t="shared" si="578"/>
        <v>459.404624277457</v>
      </c>
    </row>
    <row r="1219" spans="1:44">
      <c r="A1219" s="2">
        <v>20260414</v>
      </c>
      <c r="B1219" s="2" t="s">
        <v>2482</v>
      </c>
      <c r="C1219" s="2" t="s">
        <v>2483</v>
      </c>
      <c r="D1219" s="2">
        <v>0</v>
      </c>
      <c r="E1219" s="2">
        <v>3</v>
      </c>
      <c r="F1219" s="2">
        <v>7</v>
      </c>
      <c r="G1219" s="2">
        <v>7</v>
      </c>
      <c r="H1219" s="2">
        <v>5</v>
      </c>
      <c r="I1219" s="3">
        <v>10</v>
      </c>
      <c r="J1219" s="2">
        <v>10</v>
      </c>
      <c r="K1219" s="2">
        <v>0</v>
      </c>
      <c r="L1219" s="2">
        <v>1</v>
      </c>
      <c r="M1219" s="2">
        <v>206</v>
      </c>
      <c r="N1219" s="2">
        <v>18</v>
      </c>
      <c r="O1219" s="2">
        <v>0</v>
      </c>
      <c r="P1219" s="3">
        <v>7</v>
      </c>
      <c r="Q1219" s="2">
        <v>2</v>
      </c>
      <c r="R1219" s="2">
        <v>14</v>
      </c>
      <c r="S1219" s="2">
        <v>2</v>
      </c>
      <c r="T1219" s="2">
        <v>3</v>
      </c>
      <c r="U1219" s="2">
        <v>2</v>
      </c>
      <c r="V1219" s="1">
        <f t="shared" si="579"/>
        <v>222</v>
      </c>
      <c r="W1219" s="2">
        <v>27</v>
      </c>
      <c r="X1219" s="2">
        <v>0</v>
      </c>
      <c r="Y1219" s="2">
        <v>0</v>
      </c>
      <c r="Z1219" s="2">
        <f t="shared" si="580"/>
        <v>29</v>
      </c>
      <c r="AA1219" s="2">
        <f t="shared" si="581"/>
        <v>251</v>
      </c>
      <c r="AB1219" s="2">
        <v>4152</v>
      </c>
      <c r="AC1219" s="20">
        <f t="shared" si="582"/>
        <v>6.04527938342967</v>
      </c>
      <c r="AD1219" s="2" t="s">
        <v>44</v>
      </c>
      <c r="AE1219" s="2">
        <v>125</v>
      </c>
      <c r="AF1219" s="21">
        <f t="shared" si="573"/>
        <v>9.09210019267823</v>
      </c>
      <c r="AG1219" s="4">
        <f t="shared" si="574"/>
        <v>5.34682080924856</v>
      </c>
      <c r="AH1219" s="4">
        <f t="shared" si="575"/>
        <v>0.698458574181118</v>
      </c>
      <c r="AI1219" s="2">
        <v>1437</v>
      </c>
      <c r="AJ1219" s="2">
        <v>105</v>
      </c>
      <c r="AK1219" s="2">
        <v>231</v>
      </c>
      <c r="AL1219" s="2">
        <v>38</v>
      </c>
      <c r="AM1219" s="2">
        <v>60</v>
      </c>
      <c r="AN1219" s="2">
        <v>3</v>
      </c>
      <c r="AO1219" s="2">
        <v>0</v>
      </c>
      <c r="AP1219" s="2">
        <f t="shared" si="576"/>
        <v>1583</v>
      </c>
      <c r="AQ1219" s="2">
        <f t="shared" si="577"/>
        <v>38.126204238921</v>
      </c>
      <c r="AR1219" s="5">
        <f t="shared" si="578"/>
        <v>71.6772639691715</v>
      </c>
    </row>
    <row r="1220" spans="1:44">
      <c r="A1220" s="2">
        <v>20260414</v>
      </c>
      <c r="B1220" s="2" t="s">
        <v>2484</v>
      </c>
      <c r="C1220" s="2" t="s">
        <v>2485</v>
      </c>
      <c r="D1220" s="2">
        <v>0</v>
      </c>
      <c r="E1220" s="2">
        <v>154</v>
      </c>
      <c r="F1220" s="2">
        <v>3</v>
      </c>
      <c r="G1220" s="2">
        <v>21</v>
      </c>
      <c r="H1220" s="2">
        <v>20</v>
      </c>
      <c r="I1220" s="3">
        <v>26</v>
      </c>
      <c r="J1220" s="2">
        <v>52</v>
      </c>
      <c r="K1220" s="2">
        <v>2</v>
      </c>
      <c r="L1220" s="2">
        <v>2</v>
      </c>
      <c r="M1220" s="2">
        <v>176</v>
      </c>
      <c r="N1220" s="2">
        <v>17</v>
      </c>
      <c r="O1220" s="2">
        <v>10</v>
      </c>
      <c r="P1220" s="3">
        <v>16</v>
      </c>
      <c r="Q1220" s="2">
        <v>9</v>
      </c>
      <c r="R1220" s="2">
        <v>35</v>
      </c>
      <c r="S1220" s="2">
        <v>0</v>
      </c>
      <c r="T1220" s="2">
        <v>16</v>
      </c>
      <c r="U1220" s="2">
        <v>1</v>
      </c>
      <c r="V1220" s="1">
        <f t="shared" si="579"/>
        <v>321</v>
      </c>
      <c r="W1220" s="2">
        <v>10</v>
      </c>
      <c r="X1220" s="2">
        <v>0</v>
      </c>
      <c r="Y1220" s="2">
        <v>0</v>
      </c>
      <c r="Z1220" s="2">
        <f t="shared" si="580"/>
        <v>11</v>
      </c>
      <c r="AA1220" s="2">
        <f t="shared" si="581"/>
        <v>332</v>
      </c>
      <c r="AB1220" s="2">
        <v>3648</v>
      </c>
      <c r="AC1220" s="20">
        <f t="shared" si="582"/>
        <v>9.10087719298246</v>
      </c>
      <c r="AD1220" s="2" t="s">
        <v>44</v>
      </c>
      <c r="AE1220" s="2">
        <v>100</v>
      </c>
      <c r="AF1220" s="21">
        <f t="shared" si="573"/>
        <v>17.109649122807</v>
      </c>
      <c r="AG1220" s="4">
        <f t="shared" si="574"/>
        <v>8.79934210526316</v>
      </c>
      <c r="AH1220" s="4">
        <f t="shared" si="575"/>
        <v>0.301535087719298</v>
      </c>
      <c r="AI1220" s="2">
        <v>534</v>
      </c>
      <c r="AJ1220" s="2">
        <v>21</v>
      </c>
      <c r="AK1220" s="2">
        <v>124</v>
      </c>
      <c r="AL1220" s="2">
        <v>3</v>
      </c>
      <c r="AM1220" s="2">
        <v>4</v>
      </c>
      <c r="AN1220" s="2">
        <v>0</v>
      </c>
      <c r="AO1220" s="2">
        <v>0</v>
      </c>
      <c r="AP1220" s="2">
        <f t="shared" si="576"/>
        <v>558</v>
      </c>
      <c r="AQ1220" s="2">
        <f t="shared" si="577"/>
        <v>13.4393063583815</v>
      </c>
      <c r="AR1220" s="5">
        <f t="shared" si="578"/>
        <v>25.2658959537572</v>
      </c>
    </row>
    <row r="1221" spans="1:44">
      <c r="A1221" s="2">
        <v>20260414</v>
      </c>
      <c r="B1221" s="2" t="s">
        <v>2486</v>
      </c>
      <c r="C1221" s="2" t="s">
        <v>2487</v>
      </c>
      <c r="D1221" s="2">
        <v>1</v>
      </c>
      <c r="E1221" s="2">
        <v>0</v>
      </c>
      <c r="F1221" s="2">
        <v>0</v>
      </c>
      <c r="G1221" s="2">
        <v>7</v>
      </c>
      <c r="H1221" s="2">
        <v>7</v>
      </c>
      <c r="I1221" s="3">
        <v>18</v>
      </c>
      <c r="J1221" s="2">
        <v>8</v>
      </c>
      <c r="K1221" s="2">
        <v>2</v>
      </c>
      <c r="L1221" s="2">
        <v>3</v>
      </c>
      <c r="M1221" s="2">
        <v>154</v>
      </c>
      <c r="N1221" s="2">
        <v>12</v>
      </c>
      <c r="O1221" s="2">
        <v>0</v>
      </c>
      <c r="P1221" s="3">
        <v>2</v>
      </c>
      <c r="Q1221" s="2">
        <v>1</v>
      </c>
      <c r="R1221" s="2">
        <v>36</v>
      </c>
      <c r="S1221" s="2">
        <v>1</v>
      </c>
      <c r="T1221" s="2">
        <v>9</v>
      </c>
      <c r="U1221" s="2">
        <v>3</v>
      </c>
      <c r="V1221" s="1">
        <f t="shared" ref="V1221:V1231" si="583">AA1221-Y1221-X1221-W1221-U1221</f>
        <v>190</v>
      </c>
      <c r="W1221" s="2">
        <v>18</v>
      </c>
      <c r="X1221" s="2">
        <v>2</v>
      </c>
      <c r="Y1221" s="2">
        <v>0</v>
      </c>
      <c r="Z1221" s="2">
        <f t="shared" si="580"/>
        <v>23</v>
      </c>
      <c r="AA1221" s="2">
        <f t="shared" si="581"/>
        <v>213</v>
      </c>
      <c r="AB1221" s="2">
        <v>3118</v>
      </c>
      <c r="AC1221" s="20">
        <f t="shared" si="582"/>
        <v>6.8313021167415</v>
      </c>
      <c r="AD1221" s="2" t="s">
        <v>44</v>
      </c>
      <c r="AE1221" s="2">
        <v>100</v>
      </c>
      <c r="AF1221" s="21">
        <f t="shared" si="573"/>
        <v>12.842847979474</v>
      </c>
      <c r="AG1221" s="4">
        <f t="shared" si="574"/>
        <v>6.09364977549711</v>
      </c>
      <c r="AH1221" s="4">
        <f t="shared" si="575"/>
        <v>0.737652341244387</v>
      </c>
      <c r="AI1221" s="2">
        <v>955</v>
      </c>
      <c r="AJ1221" s="2">
        <v>54</v>
      </c>
      <c r="AK1221" s="2">
        <v>200</v>
      </c>
      <c r="AL1221" s="2">
        <v>11</v>
      </c>
      <c r="AM1221" s="2">
        <v>8</v>
      </c>
      <c r="AN1221" s="2">
        <v>3</v>
      </c>
      <c r="AO1221" s="2">
        <v>0</v>
      </c>
      <c r="AP1221" s="2">
        <f t="shared" si="576"/>
        <v>1023</v>
      </c>
      <c r="AQ1221" s="2">
        <f t="shared" si="577"/>
        <v>28.0427631578947</v>
      </c>
      <c r="AR1221" s="5">
        <f t="shared" si="578"/>
        <v>52.7203947368421</v>
      </c>
    </row>
    <row r="1222" spans="1:44">
      <c r="A1222" s="2">
        <v>20260414</v>
      </c>
      <c r="B1222" s="2" t="s">
        <v>2488</v>
      </c>
      <c r="C1222" s="2" t="s">
        <v>2489</v>
      </c>
      <c r="D1222" s="2">
        <v>1</v>
      </c>
      <c r="E1222" s="2">
        <v>0</v>
      </c>
      <c r="F1222" s="2">
        <v>2</v>
      </c>
      <c r="G1222" s="2">
        <v>12</v>
      </c>
      <c r="H1222" s="2">
        <v>12</v>
      </c>
      <c r="I1222" s="3">
        <v>29</v>
      </c>
      <c r="J1222" s="2">
        <v>19</v>
      </c>
      <c r="K1222" s="2">
        <v>1</v>
      </c>
      <c r="L1222" s="2">
        <v>4</v>
      </c>
      <c r="M1222" s="2">
        <v>291</v>
      </c>
      <c r="N1222" s="2">
        <v>22</v>
      </c>
      <c r="O1222" s="2">
        <v>0</v>
      </c>
      <c r="P1222" s="3">
        <v>6</v>
      </c>
      <c r="Q1222" s="2">
        <v>4</v>
      </c>
      <c r="R1222" s="2">
        <v>124</v>
      </c>
      <c r="S1222" s="2">
        <v>1</v>
      </c>
      <c r="T1222" s="2">
        <v>13</v>
      </c>
      <c r="U1222" s="2">
        <v>1</v>
      </c>
      <c r="V1222" s="1">
        <f t="shared" si="583"/>
        <v>374</v>
      </c>
      <c r="W1222" s="2">
        <v>9</v>
      </c>
      <c r="X1222" s="2">
        <v>4</v>
      </c>
      <c r="Y1222" s="2">
        <v>0</v>
      </c>
      <c r="Z1222" s="2">
        <f t="shared" si="580"/>
        <v>14</v>
      </c>
      <c r="AA1222" s="2">
        <f t="shared" si="581"/>
        <v>388</v>
      </c>
      <c r="AB1222" s="2">
        <v>6178</v>
      </c>
      <c r="AC1222" s="20">
        <f t="shared" si="582"/>
        <v>6.28034962771123</v>
      </c>
      <c r="AD1222" s="2" t="s">
        <v>44</v>
      </c>
      <c r="AE1222" s="2">
        <v>100</v>
      </c>
      <c r="AF1222" s="21">
        <f t="shared" si="573"/>
        <v>11.8070573000971</v>
      </c>
      <c r="AG1222" s="4">
        <f t="shared" si="574"/>
        <v>6.05373907413402</v>
      </c>
      <c r="AH1222" s="4">
        <f t="shared" si="575"/>
        <v>0.226610553577209</v>
      </c>
      <c r="AO1222" s="2">
        <v>0</v>
      </c>
      <c r="AP1222" s="2">
        <f t="shared" si="576"/>
        <v>0</v>
      </c>
      <c r="AQ1222" s="2">
        <f t="shared" si="577"/>
        <v>0</v>
      </c>
      <c r="AR1222" s="5">
        <f t="shared" si="578"/>
        <v>0</v>
      </c>
    </row>
    <row r="1223" spans="1:44">
      <c r="A1223" s="2">
        <v>20260414</v>
      </c>
      <c r="B1223" s="2" t="s">
        <v>2490</v>
      </c>
      <c r="C1223" s="2" t="s">
        <v>2491</v>
      </c>
      <c r="D1223" s="2">
        <v>0</v>
      </c>
      <c r="E1223" s="2">
        <v>0</v>
      </c>
      <c r="F1223" s="2">
        <v>8</v>
      </c>
      <c r="G1223" s="2">
        <v>4</v>
      </c>
      <c r="H1223" s="2">
        <v>10</v>
      </c>
      <c r="I1223" s="3">
        <v>7</v>
      </c>
      <c r="J1223" s="2">
        <v>13</v>
      </c>
      <c r="K1223" s="2">
        <v>3</v>
      </c>
      <c r="L1223" s="2">
        <v>0</v>
      </c>
      <c r="M1223" s="2">
        <v>12</v>
      </c>
      <c r="N1223" s="2">
        <v>5</v>
      </c>
      <c r="O1223" s="2">
        <v>0</v>
      </c>
      <c r="P1223" s="3">
        <v>21</v>
      </c>
      <c r="Q1223" s="2">
        <v>13</v>
      </c>
      <c r="R1223" s="2">
        <v>8</v>
      </c>
      <c r="S1223" s="2">
        <v>2</v>
      </c>
      <c r="T1223" s="2">
        <v>3</v>
      </c>
      <c r="U1223" s="2">
        <v>0</v>
      </c>
      <c r="V1223" s="1">
        <f t="shared" si="583"/>
        <v>68</v>
      </c>
      <c r="W1223" s="2">
        <v>3</v>
      </c>
      <c r="X1223" s="2">
        <v>2</v>
      </c>
      <c r="Y1223" s="2">
        <v>0</v>
      </c>
      <c r="Z1223" s="2">
        <f t="shared" si="580"/>
        <v>5</v>
      </c>
      <c r="AA1223" s="2">
        <f t="shared" si="581"/>
        <v>73</v>
      </c>
      <c r="AB1223" s="2">
        <v>1188</v>
      </c>
      <c r="AC1223" s="20">
        <f t="shared" si="582"/>
        <v>6.14478114478114</v>
      </c>
      <c r="AD1223" s="2" t="s">
        <v>106</v>
      </c>
      <c r="AE1223" s="2">
        <v>188</v>
      </c>
      <c r="AF1223" s="21">
        <f t="shared" si="573"/>
        <v>6.14478114478114</v>
      </c>
      <c r="AG1223" s="4">
        <f t="shared" si="574"/>
        <v>5.72390572390572</v>
      </c>
      <c r="AH1223" s="4">
        <f t="shared" si="575"/>
        <v>0.420875420875421</v>
      </c>
      <c r="AI1223" s="2">
        <v>3574</v>
      </c>
      <c r="AJ1223" s="2">
        <v>107</v>
      </c>
      <c r="AK1223" s="2">
        <v>4</v>
      </c>
      <c r="AL1223" s="2">
        <v>52</v>
      </c>
      <c r="AM1223" s="2">
        <v>50</v>
      </c>
      <c r="AN1223" s="2">
        <v>0</v>
      </c>
      <c r="AO1223" s="2">
        <v>0</v>
      </c>
      <c r="AP1223" s="2">
        <f t="shared" si="576"/>
        <v>3733</v>
      </c>
      <c r="AQ1223" s="2">
        <f t="shared" si="577"/>
        <v>60.4240854645516</v>
      </c>
      <c r="AR1223" s="5">
        <f t="shared" si="578"/>
        <v>113.597280673357</v>
      </c>
    </row>
    <row r="1224" spans="1:44">
      <c r="A1224" s="2">
        <v>20260414</v>
      </c>
      <c r="B1224" s="2" t="s">
        <v>2492</v>
      </c>
      <c r="C1224" s="2" t="s">
        <v>2493</v>
      </c>
      <c r="D1224" s="2">
        <v>1</v>
      </c>
      <c r="E1224" s="2">
        <v>1</v>
      </c>
      <c r="F1224" s="2">
        <v>22</v>
      </c>
      <c r="G1224" s="2">
        <v>4</v>
      </c>
      <c r="H1224" s="2">
        <v>2</v>
      </c>
      <c r="I1224" s="3">
        <v>10</v>
      </c>
      <c r="J1224" s="2">
        <v>18</v>
      </c>
      <c r="K1224" s="2">
        <v>5</v>
      </c>
      <c r="L1224" s="2">
        <v>2</v>
      </c>
      <c r="M1224" s="2">
        <v>7</v>
      </c>
      <c r="N1224" s="2">
        <v>23</v>
      </c>
      <c r="O1224" s="2">
        <v>5</v>
      </c>
      <c r="P1224" s="3">
        <v>25</v>
      </c>
      <c r="Q1224" s="2">
        <v>14</v>
      </c>
      <c r="R1224" s="2">
        <v>3</v>
      </c>
      <c r="S1224" s="2">
        <v>1</v>
      </c>
      <c r="T1224" s="2">
        <v>4</v>
      </c>
      <c r="U1224" s="2">
        <v>0</v>
      </c>
      <c r="V1224" s="1">
        <f t="shared" si="583"/>
        <v>71</v>
      </c>
      <c r="W1224" s="2">
        <v>2</v>
      </c>
      <c r="X1224" s="2">
        <v>4</v>
      </c>
      <c r="Y1224" s="2">
        <v>0</v>
      </c>
      <c r="Z1224" s="2">
        <f t="shared" ref="Z1224:Z1233" si="584">Y1224+X1224+W1224+U1224</f>
        <v>6</v>
      </c>
      <c r="AA1224" s="2">
        <f t="shared" ref="AA1224:AA1233" si="585">G1224+H1224+I1224+J1224+K1224+L1224+M1224+P1224+T1224+U1224</f>
        <v>77</v>
      </c>
      <c r="AB1224" s="2">
        <v>1188</v>
      </c>
      <c r="AC1224" s="20">
        <f t="shared" ref="AC1224:AC1233" si="586">AA1224/AB1224*100</f>
        <v>6.48148148148148</v>
      </c>
      <c r="AD1224" s="2" t="s">
        <v>106</v>
      </c>
      <c r="AE1224" s="2">
        <v>188</v>
      </c>
      <c r="AF1224" s="21">
        <f t="shared" si="573"/>
        <v>6.48148148148148</v>
      </c>
      <c r="AG1224" s="4">
        <f t="shared" si="574"/>
        <v>5.97643097643098</v>
      </c>
      <c r="AH1224" s="4">
        <f t="shared" si="575"/>
        <v>0.505050505050505</v>
      </c>
      <c r="AI1224" s="2">
        <v>4887</v>
      </c>
      <c r="AJ1224" s="2">
        <v>128</v>
      </c>
      <c r="AK1224" s="2">
        <v>3</v>
      </c>
      <c r="AL1224" s="2">
        <v>52</v>
      </c>
      <c r="AM1224" s="2">
        <v>34</v>
      </c>
      <c r="AN1224" s="2">
        <v>0</v>
      </c>
      <c r="AO1224" s="2">
        <v>0</v>
      </c>
      <c r="AP1224" s="2">
        <f t="shared" si="576"/>
        <v>5067</v>
      </c>
      <c r="AQ1224" s="2">
        <f t="shared" si="577"/>
        <v>426.515151515152</v>
      </c>
      <c r="AR1224" s="5">
        <f t="shared" si="578"/>
        <v>801.848484848485</v>
      </c>
    </row>
    <row r="1225" spans="1:44">
      <c r="A1225" s="2">
        <v>20260414</v>
      </c>
      <c r="B1225" s="2" t="s">
        <v>2494</v>
      </c>
      <c r="C1225" s="2" t="s">
        <v>2495</v>
      </c>
      <c r="D1225" s="2">
        <v>0</v>
      </c>
      <c r="E1225" s="2">
        <v>8</v>
      </c>
      <c r="F1225" s="2">
        <v>10</v>
      </c>
      <c r="G1225" s="2">
        <v>13</v>
      </c>
      <c r="H1225" s="2">
        <v>9</v>
      </c>
      <c r="I1225" s="3">
        <v>15</v>
      </c>
      <c r="J1225" s="2">
        <v>19</v>
      </c>
      <c r="K1225" s="2">
        <v>4</v>
      </c>
      <c r="L1225" s="2">
        <v>13</v>
      </c>
      <c r="M1225" s="2">
        <v>11</v>
      </c>
      <c r="N1225" s="2">
        <v>30</v>
      </c>
      <c r="O1225" s="2">
        <v>27</v>
      </c>
      <c r="P1225" s="3">
        <v>6</v>
      </c>
      <c r="Q1225" s="2">
        <v>6</v>
      </c>
      <c r="R1225" s="2">
        <v>2</v>
      </c>
      <c r="S1225" s="2">
        <v>9</v>
      </c>
      <c r="T1225" s="2">
        <v>1</v>
      </c>
      <c r="U1225" s="2">
        <v>0</v>
      </c>
      <c r="V1225" s="1">
        <f t="shared" si="583"/>
        <v>85</v>
      </c>
      <c r="W1225" s="2">
        <v>2</v>
      </c>
      <c r="X1225" s="2">
        <v>4</v>
      </c>
      <c r="Y1225" s="2">
        <v>0</v>
      </c>
      <c r="Z1225" s="2">
        <f t="shared" si="584"/>
        <v>6</v>
      </c>
      <c r="AA1225" s="2">
        <f t="shared" si="585"/>
        <v>91</v>
      </c>
      <c r="AB1225" s="2">
        <v>1567</v>
      </c>
      <c r="AC1225" s="20">
        <f t="shared" si="586"/>
        <v>5.80727504786216</v>
      </c>
      <c r="AD1225" s="2" t="s">
        <v>106</v>
      </c>
      <c r="AE1225" s="2">
        <v>188</v>
      </c>
      <c r="AF1225" s="21">
        <f t="shared" ref="AF1225:AF1231" si="587">188/AE1225*AC1225</f>
        <v>5.80727504786216</v>
      </c>
      <c r="AG1225" s="4">
        <f t="shared" ref="AG1225:AG1231" si="588">V1225/AB1225*100</f>
        <v>5.42437779195916</v>
      </c>
      <c r="AH1225" s="4">
        <f t="shared" ref="AH1225:AH1231" si="589">Z1225/AB1225*100</f>
        <v>0.382897255902999</v>
      </c>
      <c r="AI1225" s="2">
        <v>3477</v>
      </c>
      <c r="AJ1225" s="2">
        <v>180</v>
      </c>
      <c r="AK1225" s="2">
        <v>0</v>
      </c>
      <c r="AL1225" s="2">
        <v>128</v>
      </c>
      <c r="AM1225" s="2">
        <v>89</v>
      </c>
      <c r="AN1225" s="2">
        <v>3</v>
      </c>
      <c r="AO1225" s="2">
        <v>0</v>
      </c>
      <c r="AP1225" s="2">
        <f t="shared" si="576"/>
        <v>3788</v>
      </c>
      <c r="AQ1225" s="2">
        <f t="shared" si="577"/>
        <v>318.855218855219</v>
      </c>
      <c r="AR1225" s="5">
        <f t="shared" si="578"/>
        <v>599.447811447811</v>
      </c>
    </row>
    <row r="1226" spans="1:44">
      <c r="A1226" s="2">
        <v>20260414</v>
      </c>
      <c r="B1226" s="2" t="s">
        <v>2496</v>
      </c>
      <c r="C1226" s="2" t="s">
        <v>2497</v>
      </c>
      <c r="D1226" s="2">
        <v>7</v>
      </c>
      <c r="E1226" s="2">
        <v>106</v>
      </c>
      <c r="F1226" s="2">
        <v>10</v>
      </c>
      <c r="G1226" s="2">
        <v>3</v>
      </c>
      <c r="H1226" s="2">
        <v>5</v>
      </c>
      <c r="I1226" s="3">
        <v>22</v>
      </c>
      <c r="J1226" s="2">
        <v>30</v>
      </c>
      <c r="K1226" s="2">
        <v>5</v>
      </c>
      <c r="L1226" s="2">
        <v>2</v>
      </c>
      <c r="M1226" s="2">
        <v>5</v>
      </c>
      <c r="N1226" s="2">
        <v>34</v>
      </c>
      <c r="O1226" s="2">
        <v>24</v>
      </c>
      <c r="P1226" s="3">
        <v>22</v>
      </c>
      <c r="Q1226" s="2">
        <v>14</v>
      </c>
      <c r="R1226" s="2">
        <v>13</v>
      </c>
      <c r="S1226" s="2">
        <v>3</v>
      </c>
      <c r="T1226" s="2">
        <v>7</v>
      </c>
      <c r="U1226" s="2">
        <v>0</v>
      </c>
      <c r="V1226" s="1">
        <f t="shared" si="583"/>
        <v>98</v>
      </c>
      <c r="W1226" s="2">
        <v>2</v>
      </c>
      <c r="X1226" s="2">
        <v>1</v>
      </c>
      <c r="Y1226" s="2">
        <v>0</v>
      </c>
      <c r="Z1226" s="2">
        <f t="shared" si="584"/>
        <v>3</v>
      </c>
      <c r="AA1226" s="2">
        <f t="shared" si="585"/>
        <v>101</v>
      </c>
      <c r="AB1226" s="2">
        <v>1586</v>
      </c>
      <c r="AC1226" s="20">
        <f t="shared" si="586"/>
        <v>6.36822194199243</v>
      </c>
      <c r="AD1226" s="2" t="s">
        <v>106</v>
      </c>
      <c r="AE1226" s="2">
        <v>188</v>
      </c>
      <c r="AF1226" s="21">
        <f t="shared" si="587"/>
        <v>6.36822194199243</v>
      </c>
      <c r="AG1226" s="4">
        <f t="shared" si="588"/>
        <v>6.17906683480454</v>
      </c>
      <c r="AH1226" s="4">
        <f t="shared" si="589"/>
        <v>0.189155107187894</v>
      </c>
      <c r="AI1226" s="2">
        <v>4962</v>
      </c>
      <c r="AJ1226" s="2">
        <v>399</v>
      </c>
      <c r="AK1226" s="2">
        <v>2</v>
      </c>
      <c r="AL1226" s="2">
        <v>728</v>
      </c>
      <c r="AM1226" s="2">
        <v>415</v>
      </c>
      <c r="AN1226" s="2">
        <v>2</v>
      </c>
      <c r="AO1226" s="2">
        <v>0</v>
      </c>
      <c r="AP1226" s="2">
        <f t="shared" si="576"/>
        <v>6091</v>
      </c>
      <c r="AQ1226" s="2">
        <f t="shared" si="577"/>
        <v>388.704530950862</v>
      </c>
      <c r="AR1226" s="5">
        <f t="shared" si="578"/>
        <v>730.76451818762</v>
      </c>
    </row>
    <row r="1227" spans="1:44">
      <c r="A1227" s="2">
        <v>20260414</v>
      </c>
      <c r="B1227" s="2" t="s">
        <v>2498</v>
      </c>
      <c r="C1227" s="2" t="s">
        <v>2499</v>
      </c>
      <c r="D1227" s="2">
        <v>1</v>
      </c>
      <c r="E1227" s="2">
        <v>3</v>
      </c>
      <c r="F1227" s="2">
        <v>6</v>
      </c>
      <c r="G1227" s="2">
        <v>5</v>
      </c>
      <c r="H1227" s="2">
        <v>8</v>
      </c>
      <c r="I1227" s="3">
        <v>8</v>
      </c>
      <c r="J1227" s="2">
        <v>18</v>
      </c>
      <c r="K1227" s="2">
        <v>0</v>
      </c>
      <c r="L1227" s="2">
        <v>4</v>
      </c>
      <c r="M1227" s="2">
        <v>14</v>
      </c>
      <c r="N1227" s="2">
        <v>29</v>
      </c>
      <c r="O1227" s="2">
        <v>7</v>
      </c>
      <c r="P1227" s="3">
        <v>29</v>
      </c>
      <c r="Q1227" s="2">
        <v>19</v>
      </c>
      <c r="R1227" s="2">
        <v>1</v>
      </c>
      <c r="S1227" s="2">
        <v>8</v>
      </c>
      <c r="T1227" s="2">
        <v>3</v>
      </c>
      <c r="U1227" s="2">
        <v>0</v>
      </c>
      <c r="V1227" s="1">
        <f t="shared" si="583"/>
        <v>85</v>
      </c>
      <c r="W1227" s="2">
        <v>1</v>
      </c>
      <c r="X1227" s="2">
        <v>3</v>
      </c>
      <c r="Y1227" s="2">
        <v>0</v>
      </c>
      <c r="Z1227" s="2">
        <f t="shared" si="584"/>
        <v>4</v>
      </c>
      <c r="AA1227" s="2">
        <f t="shared" si="585"/>
        <v>89</v>
      </c>
      <c r="AB1227" s="2">
        <v>2225</v>
      </c>
      <c r="AC1227" s="20">
        <f t="shared" si="586"/>
        <v>4</v>
      </c>
      <c r="AD1227" s="2" t="s">
        <v>106</v>
      </c>
      <c r="AE1227" s="2">
        <v>188</v>
      </c>
      <c r="AF1227" s="21">
        <f t="shared" si="587"/>
        <v>4</v>
      </c>
      <c r="AG1227" s="4">
        <f t="shared" si="588"/>
        <v>3.82022471910112</v>
      </c>
      <c r="AH1227" s="4">
        <f t="shared" si="589"/>
        <v>0.179775280898876</v>
      </c>
      <c r="AI1227" s="2">
        <v>3689</v>
      </c>
      <c r="AJ1227" s="2">
        <v>186</v>
      </c>
      <c r="AK1227" s="2">
        <v>0</v>
      </c>
      <c r="AL1227" s="2">
        <v>72</v>
      </c>
      <c r="AM1227" s="2">
        <v>44</v>
      </c>
      <c r="AN1227" s="2">
        <v>0</v>
      </c>
      <c r="AO1227" s="2">
        <v>0</v>
      </c>
      <c r="AP1227" s="2">
        <f t="shared" si="576"/>
        <v>3947</v>
      </c>
      <c r="AQ1227" s="2">
        <f t="shared" si="577"/>
        <v>248.865069356873</v>
      </c>
      <c r="AR1227" s="5">
        <f t="shared" si="578"/>
        <v>467.86633039092</v>
      </c>
    </row>
    <row r="1228" spans="1:44">
      <c r="A1228" s="2">
        <v>20260414</v>
      </c>
      <c r="B1228" s="2" t="s">
        <v>2500</v>
      </c>
      <c r="C1228" s="2" t="s">
        <v>2501</v>
      </c>
      <c r="D1228" s="2">
        <v>0</v>
      </c>
      <c r="E1228" s="2">
        <v>6</v>
      </c>
      <c r="F1228" s="2">
        <v>6</v>
      </c>
      <c r="G1228" s="2">
        <v>11</v>
      </c>
      <c r="H1228" s="2">
        <v>5</v>
      </c>
      <c r="I1228" s="3">
        <v>13</v>
      </c>
      <c r="J1228" s="2">
        <v>22</v>
      </c>
      <c r="K1228" s="2">
        <v>2</v>
      </c>
      <c r="L1228" s="2">
        <v>2</v>
      </c>
      <c r="M1228" s="2">
        <v>11</v>
      </c>
      <c r="N1228" s="2">
        <v>2</v>
      </c>
      <c r="O1228" s="2">
        <v>3</v>
      </c>
      <c r="P1228" s="3">
        <v>25</v>
      </c>
      <c r="Q1228" s="2">
        <v>8</v>
      </c>
      <c r="R1228" s="2">
        <v>3</v>
      </c>
      <c r="S1228" s="2">
        <v>1</v>
      </c>
      <c r="T1228" s="2">
        <v>4</v>
      </c>
      <c r="U1228" s="2">
        <v>0</v>
      </c>
      <c r="V1228" s="1">
        <f t="shared" si="583"/>
        <v>88</v>
      </c>
      <c r="W1228" s="2">
        <v>2</v>
      </c>
      <c r="X1228" s="2">
        <v>5</v>
      </c>
      <c r="Y1228" s="2">
        <v>0</v>
      </c>
      <c r="Z1228" s="2">
        <f t="shared" si="584"/>
        <v>7</v>
      </c>
      <c r="AA1228" s="2">
        <f t="shared" si="585"/>
        <v>95</v>
      </c>
      <c r="AB1228" s="2">
        <v>2325</v>
      </c>
      <c r="AC1228" s="20">
        <f t="shared" si="586"/>
        <v>4.08602150537634</v>
      </c>
      <c r="AD1228" s="2" t="s">
        <v>106</v>
      </c>
      <c r="AE1228" s="2">
        <v>188</v>
      </c>
      <c r="AF1228" s="21">
        <f t="shared" si="587"/>
        <v>4.08602150537634</v>
      </c>
      <c r="AG1228" s="4">
        <f t="shared" si="588"/>
        <v>3.78494623655914</v>
      </c>
      <c r="AH1228" s="4">
        <f t="shared" si="589"/>
        <v>0.301075268817204</v>
      </c>
      <c r="AI1228" s="2">
        <v>2130</v>
      </c>
      <c r="AJ1228" s="2">
        <v>170</v>
      </c>
      <c r="AK1228" s="2">
        <v>0</v>
      </c>
      <c r="AL1228" s="2">
        <v>89</v>
      </c>
      <c r="AM1228" s="2">
        <v>64</v>
      </c>
      <c r="AN1228" s="2">
        <v>3</v>
      </c>
      <c r="AO1228" s="2">
        <v>0</v>
      </c>
      <c r="AP1228" s="2">
        <f t="shared" si="576"/>
        <v>2392</v>
      </c>
      <c r="AQ1228" s="2">
        <f t="shared" si="577"/>
        <v>107.505617977528</v>
      </c>
      <c r="AR1228" s="5">
        <f t="shared" si="578"/>
        <v>202.110561797753</v>
      </c>
    </row>
    <row r="1229" spans="1:44">
      <c r="A1229" s="2">
        <v>20260414</v>
      </c>
      <c r="B1229" s="2" t="s">
        <v>2502</v>
      </c>
      <c r="C1229" s="2" t="s">
        <v>2503</v>
      </c>
      <c r="D1229" s="2">
        <v>2</v>
      </c>
      <c r="E1229" s="2">
        <v>0</v>
      </c>
      <c r="F1229" s="2">
        <v>1</v>
      </c>
      <c r="G1229" s="2">
        <v>14</v>
      </c>
      <c r="H1229" s="2">
        <v>6</v>
      </c>
      <c r="I1229" s="3">
        <v>8</v>
      </c>
      <c r="J1229" s="2">
        <v>30</v>
      </c>
      <c r="K1229" s="2">
        <v>2</v>
      </c>
      <c r="L1229" s="2">
        <v>1</v>
      </c>
      <c r="M1229" s="2">
        <v>5</v>
      </c>
      <c r="N1229" s="2">
        <v>4</v>
      </c>
      <c r="O1229" s="2">
        <v>3</v>
      </c>
      <c r="P1229" s="3">
        <v>21</v>
      </c>
      <c r="Q1229" s="2">
        <v>5</v>
      </c>
      <c r="R1229" s="2">
        <v>1</v>
      </c>
      <c r="S1229" s="2">
        <v>7</v>
      </c>
      <c r="T1229" s="2">
        <v>13</v>
      </c>
      <c r="U1229" s="2">
        <v>1</v>
      </c>
      <c r="V1229" s="1">
        <f t="shared" si="583"/>
        <v>89</v>
      </c>
      <c r="W1229" s="2">
        <v>8</v>
      </c>
      <c r="X1229" s="2">
        <v>3</v>
      </c>
      <c r="Y1229" s="2">
        <v>0</v>
      </c>
      <c r="Z1229" s="2">
        <f t="shared" si="584"/>
        <v>12</v>
      </c>
      <c r="AA1229" s="2">
        <f t="shared" si="585"/>
        <v>101</v>
      </c>
      <c r="AB1229" s="2">
        <v>3265</v>
      </c>
      <c r="AC1229" s="20">
        <f t="shared" si="586"/>
        <v>3.09341500765697</v>
      </c>
      <c r="AD1229" s="2" t="s">
        <v>106</v>
      </c>
      <c r="AE1229" s="2">
        <v>188</v>
      </c>
      <c r="AF1229" s="21">
        <f t="shared" si="587"/>
        <v>3.09341500765697</v>
      </c>
      <c r="AG1229" s="4">
        <f t="shared" si="588"/>
        <v>2.72588055130168</v>
      </c>
      <c r="AH1229" s="4">
        <f t="shared" si="589"/>
        <v>0.367534456355283</v>
      </c>
      <c r="AI1229" s="2">
        <v>2589</v>
      </c>
      <c r="AJ1229" s="2">
        <v>120</v>
      </c>
      <c r="AK1229" s="2">
        <v>2</v>
      </c>
      <c r="AL1229" s="2">
        <v>44</v>
      </c>
      <c r="AM1229" s="2">
        <v>47</v>
      </c>
      <c r="AN1229" s="2">
        <v>2</v>
      </c>
      <c r="AO1229" s="2">
        <v>0</v>
      </c>
      <c r="AP1229" s="2">
        <f t="shared" si="576"/>
        <v>2755</v>
      </c>
      <c r="AQ1229" s="2">
        <f t="shared" si="577"/>
        <v>118.494623655914</v>
      </c>
      <c r="AR1229" s="5">
        <f t="shared" si="578"/>
        <v>222.769892473118</v>
      </c>
    </row>
    <row r="1230" spans="1:44">
      <c r="A1230" s="2">
        <v>20260414</v>
      </c>
      <c r="B1230" s="2" t="s">
        <v>2504</v>
      </c>
      <c r="C1230" s="2" t="s">
        <v>2505</v>
      </c>
      <c r="D1230" s="2">
        <v>7</v>
      </c>
      <c r="E1230" s="2">
        <v>1</v>
      </c>
      <c r="F1230" s="2">
        <v>6</v>
      </c>
      <c r="G1230" s="2">
        <v>11</v>
      </c>
      <c r="H1230" s="2">
        <v>12</v>
      </c>
      <c r="I1230" s="3">
        <v>17</v>
      </c>
      <c r="J1230" s="2">
        <v>12</v>
      </c>
      <c r="K1230" s="2">
        <v>3</v>
      </c>
      <c r="L1230" s="2">
        <v>1</v>
      </c>
      <c r="M1230" s="2">
        <v>6</v>
      </c>
      <c r="N1230" s="2">
        <v>12</v>
      </c>
      <c r="O1230" s="2">
        <v>3</v>
      </c>
      <c r="P1230" s="3">
        <v>11</v>
      </c>
      <c r="Q1230" s="2">
        <v>0</v>
      </c>
      <c r="R1230" s="2">
        <v>1</v>
      </c>
      <c r="S1230" s="2">
        <v>3</v>
      </c>
      <c r="T1230" s="2">
        <v>9</v>
      </c>
      <c r="U1230" s="2">
        <v>0</v>
      </c>
      <c r="V1230" s="1">
        <f t="shared" si="583"/>
        <v>77</v>
      </c>
      <c r="W1230" s="2">
        <v>4</v>
      </c>
      <c r="X1230" s="2">
        <v>1</v>
      </c>
      <c r="Y1230" s="2">
        <v>0</v>
      </c>
      <c r="Z1230" s="2">
        <f t="shared" si="584"/>
        <v>5</v>
      </c>
      <c r="AA1230" s="2">
        <f t="shared" si="585"/>
        <v>82</v>
      </c>
      <c r="AB1230" s="2">
        <v>1407</v>
      </c>
      <c r="AC1230" s="20">
        <f t="shared" si="586"/>
        <v>5.82800284292822</v>
      </c>
      <c r="AD1230" s="2" t="s">
        <v>1868</v>
      </c>
      <c r="AE1230" s="2">
        <v>188</v>
      </c>
      <c r="AF1230" s="21">
        <f t="shared" si="587"/>
        <v>5.82800284292822</v>
      </c>
      <c r="AG1230" s="4">
        <f t="shared" si="588"/>
        <v>5.4726368159204</v>
      </c>
      <c r="AH1230" s="4">
        <f t="shared" si="589"/>
        <v>0.355366027007818</v>
      </c>
      <c r="AI1230" s="2">
        <v>4101</v>
      </c>
      <c r="AJ1230" s="2">
        <v>302</v>
      </c>
      <c r="AK1230" s="2">
        <v>0</v>
      </c>
      <c r="AL1230" s="2">
        <v>57</v>
      </c>
      <c r="AM1230" s="2">
        <v>101</v>
      </c>
      <c r="AN1230" s="2">
        <v>5</v>
      </c>
      <c r="AO1230" s="2">
        <v>0</v>
      </c>
      <c r="AP1230" s="2">
        <f t="shared" si="576"/>
        <v>4465</v>
      </c>
      <c r="AQ1230" s="2">
        <f t="shared" si="577"/>
        <v>136.753445635528</v>
      </c>
      <c r="AR1230" s="5">
        <f t="shared" si="578"/>
        <v>257.096477794793</v>
      </c>
    </row>
    <row r="1231" spans="1:44">
      <c r="A1231" s="2">
        <v>20260414</v>
      </c>
      <c r="B1231" s="2" t="s">
        <v>2506</v>
      </c>
      <c r="C1231" s="2" t="s">
        <v>2507</v>
      </c>
      <c r="D1231" s="2">
        <v>2</v>
      </c>
      <c r="E1231" s="2">
        <v>12</v>
      </c>
      <c r="F1231" s="2">
        <v>2</v>
      </c>
      <c r="G1231" s="2">
        <v>18</v>
      </c>
      <c r="H1231" s="2">
        <v>18</v>
      </c>
      <c r="I1231" s="3">
        <v>9</v>
      </c>
      <c r="J1231" s="2">
        <v>13</v>
      </c>
      <c r="K1231" s="2">
        <v>9</v>
      </c>
      <c r="L1231" s="2">
        <v>2</v>
      </c>
      <c r="M1231" s="2">
        <v>12</v>
      </c>
      <c r="N1231" s="2">
        <v>7</v>
      </c>
      <c r="O1231" s="2">
        <v>6</v>
      </c>
      <c r="P1231" s="3">
        <v>5</v>
      </c>
      <c r="Q1231" s="2">
        <v>4</v>
      </c>
      <c r="R1231" s="2">
        <v>3</v>
      </c>
      <c r="S1231" s="2">
        <v>8</v>
      </c>
      <c r="T1231" s="2">
        <v>6</v>
      </c>
      <c r="U1231" s="2">
        <v>1</v>
      </c>
      <c r="V1231" s="1">
        <f t="shared" si="583"/>
        <v>83</v>
      </c>
      <c r="W1231" s="2">
        <v>8</v>
      </c>
      <c r="X1231" s="2">
        <v>1</v>
      </c>
      <c r="Y1231" s="2">
        <v>0</v>
      </c>
      <c r="Z1231" s="2">
        <f t="shared" si="584"/>
        <v>10</v>
      </c>
      <c r="AA1231" s="2">
        <f t="shared" si="585"/>
        <v>93</v>
      </c>
      <c r="AB1231" s="2">
        <v>2965</v>
      </c>
      <c r="AC1231" s="20">
        <f t="shared" si="586"/>
        <v>3.13659359190556</v>
      </c>
      <c r="AD1231" s="2" t="s">
        <v>1868</v>
      </c>
      <c r="AE1231" s="2">
        <v>188</v>
      </c>
      <c r="AF1231" s="21">
        <f t="shared" si="587"/>
        <v>3.13659359190556</v>
      </c>
      <c r="AG1231" s="4">
        <f t="shared" si="588"/>
        <v>2.79932546374368</v>
      </c>
      <c r="AH1231" s="4">
        <f t="shared" si="589"/>
        <v>0.337268128161889</v>
      </c>
      <c r="AI1231" s="2">
        <v>8737</v>
      </c>
      <c r="AJ1231" s="2">
        <v>378</v>
      </c>
      <c r="AK1231" s="2">
        <v>2</v>
      </c>
      <c r="AL1231" s="2">
        <v>126</v>
      </c>
      <c r="AM1231" s="2">
        <v>117</v>
      </c>
      <c r="AN1231" s="2">
        <v>1</v>
      </c>
      <c r="AO1231" s="2">
        <v>0</v>
      </c>
      <c r="AP1231" s="2">
        <f t="shared" si="576"/>
        <v>9242</v>
      </c>
      <c r="AQ1231" s="2">
        <f t="shared" si="577"/>
        <v>656.858564321251</v>
      </c>
      <c r="AR1231" s="5">
        <f t="shared" si="578"/>
        <v>1234.89410092395</v>
      </c>
    </row>
    <row r="1232" spans="1:44">
      <c r="A1232" s="2">
        <v>20260414</v>
      </c>
      <c r="B1232" s="2" t="s">
        <v>2508</v>
      </c>
      <c r="C1232" s="2" t="s">
        <v>2509</v>
      </c>
      <c r="D1232" s="2">
        <v>0</v>
      </c>
      <c r="E1232" s="2">
        <v>1570</v>
      </c>
      <c r="F1232" s="2">
        <v>38</v>
      </c>
      <c r="G1232" s="2">
        <v>20</v>
      </c>
      <c r="H1232" s="2">
        <v>41</v>
      </c>
      <c r="I1232" s="3">
        <v>25</v>
      </c>
      <c r="J1232" s="2">
        <v>98</v>
      </c>
      <c r="K1232" s="2">
        <v>9</v>
      </c>
      <c r="L1232" s="2">
        <v>1</v>
      </c>
      <c r="M1232" s="2">
        <v>12</v>
      </c>
      <c r="N1232" s="2">
        <v>15</v>
      </c>
      <c r="O1232" s="2">
        <v>13</v>
      </c>
      <c r="P1232" s="3">
        <v>13</v>
      </c>
      <c r="Q1232" s="2">
        <v>7</v>
      </c>
      <c r="R1232" s="2">
        <v>47</v>
      </c>
      <c r="S1232" s="2">
        <v>8</v>
      </c>
      <c r="T1232" s="2">
        <v>57</v>
      </c>
      <c r="U1232" s="2">
        <v>6</v>
      </c>
      <c r="V1232" s="1">
        <f t="shared" ref="V1232:V1241" si="590">AA1232-Y1232-X1232-W1232-U1232</f>
        <v>271</v>
      </c>
      <c r="W1232" s="2">
        <v>2</v>
      </c>
      <c r="X1232" s="2">
        <v>3</v>
      </c>
      <c r="Y1232" s="2">
        <v>0</v>
      </c>
      <c r="Z1232" s="2">
        <f t="shared" si="584"/>
        <v>11</v>
      </c>
      <c r="AA1232" s="2">
        <f t="shared" si="585"/>
        <v>282</v>
      </c>
      <c r="AB1232" s="2">
        <v>2157</v>
      </c>
      <c r="AC1232" s="20">
        <f t="shared" si="586"/>
        <v>13.0737134909597</v>
      </c>
      <c r="AD1232" s="2" t="s">
        <v>1868</v>
      </c>
      <c r="AE1232" s="2">
        <v>188</v>
      </c>
      <c r="AF1232" s="21">
        <f t="shared" ref="AF1232:AF1241" si="591">188/AE1232*AC1232</f>
        <v>13.0737134909597</v>
      </c>
      <c r="AG1232" s="4">
        <f t="shared" ref="AG1232:AG1241" si="592">V1232/AB1232*100</f>
        <v>12.56374594344</v>
      </c>
      <c r="AH1232" s="4">
        <f t="shared" ref="AH1232:AH1241" si="593">Z1232/AB1232*100</f>
        <v>0.509967547519703</v>
      </c>
      <c r="AI1232" s="2">
        <v>5917</v>
      </c>
      <c r="AJ1232" s="2">
        <v>416</v>
      </c>
      <c r="AK1232" s="2">
        <v>5</v>
      </c>
      <c r="AL1232" s="2">
        <v>419</v>
      </c>
      <c r="AM1232" s="2">
        <v>138</v>
      </c>
      <c r="AN1232" s="2">
        <v>7</v>
      </c>
      <c r="AO1232" s="2">
        <v>0</v>
      </c>
      <c r="AP1232" s="2">
        <f t="shared" ref="AP1232:AP1244" si="594">AI1232+AJ1232+AL1232+AN1232</f>
        <v>6759</v>
      </c>
      <c r="AQ1232" s="2">
        <f t="shared" ref="AQ1232:AQ1244" si="595">AP1232/AB1231*100</f>
        <v>227.959527824621</v>
      </c>
      <c r="AR1232" s="5">
        <f t="shared" ref="AR1232:AR1244" si="596">AQ1232*1.88</f>
        <v>428.563912310287</v>
      </c>
    </row>
    <row r="1233" spans="1:44">
      <c r="A1233" s="2">
        <v>20260414</v>
      </c>
      <c r="B1233" s="2" t="s">
        <v>2510</v>
      </c>
      <c r="C1233" s="2" t="s">
        <v>2511</v>
      </c>
      <c r="D1233" s="2">
        <v>1</v>
      </c>
      <c r="E1233" s="2">
        <v>0</v>
      </c>
      <c r="F1233" s="2">
        <v>0</v>
      </c>
      <c r="G1233" s="2">
        <v>13</v>
      </c>
      <c r="H1233" s="2">
        <v>6</v>
      </c>
      <c r="I1233" s="3">
        <v>9</v>
      </c>
      <c r="J1233" s="2">
        <v>7</v>
      </c>
      <c r="K1233" s="2">
        <v>2</v>
      </c>
      <c r="L1233" s="2">
        <v>1</v>
      </c>
      <c r="M1233" s="2">
        <v>22</v>
      </c>
      <c r="N1233" s="2">
        <v>2</v>
      </c>
      <c r="O1233" s="2">
        <v>0</v>
      </c>
      <c r="P1233" s="3">
        <v>5</v>
      </c>
      <c r="Q1233" s="2">
        <v>3</v>
      </c>
      <c r="R1233" s="2">
        <v>3</v>
      </c>
      <c r="S1233" s="2">
        <v>2</v>
      </c>
      <c r="T1233" s="2">
        <v>6</v>
      </c>
      <c r="U1233" s="2">
        <v>0</v>
      </c>
      <c r="V1233" s="1">
        <f t="shared" si="590"/>
        <v>64</v>
      </c>
      <c r="W1233" s="2">
        <v>1</v>
      </c>
      <c r="X1233" s="2">
        <v>6</v>
      </c>
      <c r="Y1233" s="2">
        <v>0</v>
      </c>
      <c r="Z1233" s="2">
        <f t="shared" si="584"/>
        <v>7</v>
      </c>
      <c r="AA1233" s="2">
        <f t="shared" si="585"/>
        <v>71</v>
      </c>
      <c r="AB1233" s="2">
        <v>1666</v>
      </c>
      <c r="AC1233" s="20">
        <f t="shared" si="586"/>
        <v>4.26170468187275</v>
      </c>
      <c r="AD1233" s="2" t="s">
        <v>1868</v>
      </c>
      <c r="AE1233" s="2">
        <v>188</v>
      </c>
      <c r="AF1233" s="21">
        <f t="shared" si="591"/>
        <v>4.26170468187275</v>
      </c>
      <c r="AG1233" s="4">
        <f t="shared" si="592"/>
        <v>3.84153661464586</v>
      </c>
      <c r="AH1233" s="4">
        <f t="shared" si="593"/>
        <v>0.420168067226891</v>
      </c>
      <c r="AI1233" s="2">
        <v>4496</v>
      </c>
      <c r="AJ1233" s="2">
        <v>210</v>
      </c>
      <c r="AK1233" s="2">
        <v>2</v>
      </c>
      <c r="AL1233" s="2">
        <v>61</v>
      </c>
      <c r="AM1233" s="2">
        <v>65</v>
      </c>
      <c r="AN1233" s="2">
        <v>2</v>
      </c>
      <c r="AO1233" s="2">
        <v>0</v>
      </c>
      <c r="AP1233" s="2">
        <f t="shared" si="594"/>
        <v>4769</v>
      </c>
      <c r="AQ1233" s="2">
        <f t="shared" si="595"/>
        <v>221.09411219286</v>
      </c>
      <c r="AR1233" s="5">
        <f t="shared" si="596"/>
        <v>415.656930922578</v>
      </c>
    </row>
    <row r="1234" spans="1:44">
      <c r="A1234" s="2">
        <v>20260414</v>
      </c>
      <c r="B1234" s="2" t="s">
        <v>2512</v>
      </c>
      <c r="C1234" s="2" t="s">
        <v>2513</v>
      </c>
      <c r="D1234" s="2">
        <v>1</v>
      </c>
      <c r="E1234" s="2">
        <v>1</v>
      </c>
      <c r="F1234" s="2">
        <v>3</v>
      </c>
      <c r="G1234" s="2">
        <v>9</v>
      </c>
      <c r="H1234" s="2">
        <v>5</v>
      </c>
      <c r="I1234" s="3">
        <v>2</v>
      </c>
      <c r="J1234" s="2">
        <v>7</v>
      </c>
      <c r="K1234" s="2">
        <v>1</v>
      </c>
      <c r="L1234" s="2">
        <v>2</v>
      </c>
      <c r="M1234" s="2">
        <v>18</v>
      </c>
      <c r="N1234" s="2">
        <v>4</v>
      </c>
      <c r="O1234" s="2">
        <v>1</v>
      </c>
      <c r="P1234" s="3">
        <v>2</v>
      </c>
      <c r="Q1234" s="2">
        <v>2</v>
      </c>
      <c r="R1234" s="2">
        <v>2</v>
      </c>
      <c r="S1234" s="2">
        <v>1</v>
      </c>
      <c r="T1234" s="2">
        <v>7</v>
      </c>
      <c r="U1234" s="2">
        <v>1</v>
      </c>
      <c r="V1234" s="1">
        <f t="shared" si="590"/>
        <v>50</v>
      </c>
      <c r="W1234" s="2">
        <v>2</v>
      </c>
      <c r="X1234" s="2">
        <v>1</v>
      </c>
      <c r="Y1234" s="2">
        <v>0</v>
      </c>
      <c r="Z1234" s="2">
        <f t="shared" ref="Z1234:Z1243" si="597">Y1234+X1234+W1234+U1234</f>
        <v>4</v>
      </c>
      <c r="AA1234" s="2">
        <f t="shared" ref="AA1234:AA1243" si="598">G1234+H1234+I1234+J1234+K1234+L1234+M1234+P1234+T1234+U1234</f>
        <v>54</v>
      </c>
      <c r="AB1234" s="2">
        <v>1407</v>
      </c>
      <c r="AC1234" s="20">
        <f t="shared" ref="AC1234:AC1242" si="599">AA1234/AB1234*100</f>
        <v>3.83795309168444</v>
      </c>
      <c r="AD1234" s="2" t="s">
        <v>1868</v>
      </c>
      <c r="AE1234" s="2">
        <v>188</v>
      </c>
      <c r="AF1234" s="21">
        <f t="shared" si="591"/>
        <v>3.83795309168444</v>
      </c>
      <c r="AG1234" s="4">
        <f t="shared" si="592"/>
        <v>3.55366027007818</v>
      </c>
      <c r="AH1234" s="4">
        <f t="shared" si="593"/>
        <v>0.284292821606254</v>
      </c>
      <c r="AI1234" s="2">
        <v>4205</v>
      </c>
      <c r="AJ1234" s="2">
        <v>407</v>
      </c>
      <c r="AK1234" s="2">
        <v>23</v>
      </c>
      <c r="AL1234" s="2">
        <v>218</v>
      </c>
      <c r="AM1234" s="2">
        <v>109</v>
      </c>
      <c r="AN1234" s="2">
        <v>1</v>
      </c>
      <c r="AO1234" s="2">
        <v>0</v>
      </c>
      <c r="AP1234" s="2">
        <f t="shared" si="594"/>
        <v>4831</v>
      </c>
      <c r="AQ1234" s="2">
        <f t="shared" si="595"/>
        <v>289.975990396158</v>
      </c>
      <c r="AR1234" s="5">
        <f t="shared" si="596"/>
        <v>545.154861944778</v>
      </c>
    </row>
    <row r="1235" spans="1:44">
      <c r="A1235" s="2">
        <v>20260414</v>
      </c>
      <c r="B1235" s="2" t="s">
        <v>2514</v>
      </c>
      <c r="C1235" s="2" t="s">
        <v>2515</v>
      </c>
      <c r="D1235" s="2">
        <v>9</v>
      </c>
      <c r="E1235" s="2">
        <v>26</v>
      </c>
      <c r="F1235" s="2">
        <v>7</v>
      </c>
      <c r="G1235" s="2">
        <v>16</v>
      </c>
      <c r="H1235" s="2">
        <v>28</v>
      </c>
      <c r="I1235" s="3">
        <v>50</v>
      </c>
      <c r="J1235" s="2">
        <v>35</v>
      </c>
      <c r="K1235" s="2">
        <v>4</v>
      </c>
      <c r="L1235" s="2">
        <v>2</v>
      </c>
      <c r="M1235" s="2">
        <v>19</v>
      </c>
      <c r="N1235" s="2">
        <v>29</v>
      </c>
      <c r="O1235" s="2">
        <v>7</v>
      </c>
      <c r="P1235" s="3">
        <v>13</v>
      </c>
      <c r="Q1235" s="2">
        <v>9</v>
      </c>
      <c r="R1235" s="2">
        <v>8</v>
      </c>
      <c r="S1235" s="2">
        <v>10</v>
      </c>
      <c r="T1235" s="2">
        <v>13</v>
      </c>
      <c r="U1235" s="2">
        <v>3</v>
      </c>
      <c r="V1235" s="1">
        <f t="shared" si="590"/>
        <v>155</v>
      </c>
      <c r="W1235" s="2">
        <v>10</v>
      </c>
      <c r="X1235" s="2">
        <v>15</v>
      </c>
      <c r="Y1235" s="2">
        <v>0</v>
      </c>
      <c r="Z1235" s="2">
        <f t="shared" si="597"/>
        <v>28</v>
      </c>
      <c r="AA1235" s="2">
        <f t="shared" si="598"/>
        <v>183</v>
      </c>
      <c r="AB1235" s="2">
        <v>2965</v>
      </c>
      <c r="AC1235" s="20">
        <f t="shared" si="599"/>
        <v>6.17200674536256</v>
      </c>
      <c r="AD1235" s="2" t="s">
        <v>1868</v>
      </c>
      <c r="AE1235" s="2">
        <v>188</v>
      </c>
      <c r="AF1235" s="21">
        <f t="shared" si="591"/>
        <v>6.17200674536256</v>
      </c>
      <c r="AG1235" s="4">
        <f t="shared" si="592"/>
        <v>5.22765598650927</v>
      </c>
      <c r="AH1235" s="4">
        <f t="shared" si="593"/>
        <v>0.944350758853288</v>
      </c>
      <c r="AI1235" s="2">
        <v>12852</v>
      </c>
      <c r="AJ1235" s="2">
        <v>1196</v>
      </c>
      <c r="AK1235" s="2">
        <v>315</v>
      </c>
      <c r="AL1235" s="2">
        <v>785</v>
      </c>
      <c r="AM1235" s="2">
        <v>376</v>
      </c>
      <c r="AN1235" s="2">
        <v>16</v>
      </c>
      <c r="AO1235" s="2">
        <v>0</v>
      </c>
      <c r="AP1235" s="2">
        <f t="shared" si="594"/>
        <v>14849</v>
      </c>
      <c r="AQ1235" s="2">
        <f t="shared" si="595"/>
        <v>1055.36602700782</v>
      </c>
      <c r="AR1235" s="5">
        <f t="shared" si="596"/>
        <v>1984.0881307747</v>
      </c>
    </row>
    <row r="1236" spans="1:44">
      <c r="A1236" s="2">
        <v>20260414</v>
      </c>
      <c r="B1236" s="2" t="s">
        <v>2516</v>
      </c>
      <c r="C1236" s="2" t="s">
        <v>2517</v>
      </c>
      <c r="D1236" s="2">
        <v>3</v>
      </c>
      <c r="E1236" s="2">
        <v>1</v>
      </c>
      <c r="F1236" s="2">
        <v>0</v>
      </c>
      <c r="G1236" s="2">
        <v>5</v>
      </c>
      <c r="H1236" s="2">
        <v>3</v>
      </c>
      <c r="I1236" s="3">
        <v>21</v>
      </c>
      <c r="J1236" s="2">
        <v>8</v>
      </c>
      <c r="K1236" s="2">
        <v>0</v>
      </c>
      <c r="L1236" s="2">
        <v>4</v>
      </c>
      <c r="M1236" s="2">
        <v>11</v>
      </c>
      <c r="N1236" s="2">
        <v>7</v>
      </c>
      <c r="O1236" s="2">
        <v>0</v>
      </c>
      <c r="P1236" s="3">
        <v>6</v>
      </c>
      <c r="Q1236" s="2">
        <v>5</v>
      </c>
      <c r="R1236" s="2">
        <v>4</v>
      </c>
      <c r="S1236" s="2">
        <v>3</v>
      </c>
      <c r="T1236" s="2">
        <v>5</v>
      </c>
      <c r="U1236" s="2">
        <v>0</v>
      </c>
      <c r="V1236" s="1">
        <f t="shared" si="590"/>
        <v>40</v>
      </c>
      <c r="W1236" s="2">
        <v>19</v>
      </c>
      <c r="X1236" s="2">
        <v>4</v>
      </c>
      <c r="Y1236" s="2">
        <v>0</v>
      </c>
      <c r="Z1236" s="2">
        <f t="shared" si="597"/>
        <v>23</v>
      </c>
      <c r="AA1236" s="2">
        <f t="shared" si="598"/>
        <v>63</v>
      </c>
      <c r="AB1236" s="2">
        <v>2105</v>
      </c>
      <c r="AC1236" s="20">
        <f t="shared" si="599"/>
        <v>2.99287410926366</v>
      </c>
      <c r="AD1236" s="2" t="s">
        <v>83</v>
      </c>
      <c r="AE1236" s="2">
        <v>125</v>
      </c>
      <c r="AF1236" s="21">
        <f t="shared" si="591"/>
        <v>4.50128266033254</v>
      </c>
      <c r="AG1236" s="4">
        <f t="shared" si="592"/>
        <v>1.90023752969121</v>
      </c>
      <c r="AH1236" s="4">
        <f t="shared" si="593"/>
        <v>1.09263657957245</v>
      </c>
      <c r="AI1236" s="2">
        <v>20233</v>
      </c>
      <c r="AJ1236" s="2">
        <v>587</v>
      </c>
      <c r="AK1236" s="2">
        <v>446</v>
      </c>
      <c r="AL1236" s="2">
        <v>64</v>
      </c>
      <c r="AM1236" s="2">
        <v>41</v>
      </c>
      <c r="AN1236" s="2">
        <v>4</v>
      </c>
      <c r="AO1236" s="2">
        <v>0</v>
      </c>
      <c r="AP1236" s="2">
        <f t="shared" si="594"/>
        <v>20888</v>
      </c>
      <c r="AQ1236" s="2">
        <f t="shared" si="595"/>
        <v>704.485666104553</v>
      </c>
      <c r="AR1236" s="5">
        <f t="shared" si="596"/>
        <v>1324.43305227656</v>
      </c>
    </row>
    <row r="1237" spans="1:44">
      <c r="A1237" s="2">
        <v>20260415</v>
      </c>
      <c r="B1237" s="31" t="s">
        <v>2518</v>
      </c>
      <c r="C1237" s="2" t="s">
        <v>2519</v>
      </c>
      <c r="D1237" s="2">
        <v>1</v>
      </c>
      <c r="E1237" s="2">
        <v>0</v>
      </c>
      <c r="F1237" s="2">
        <v>5</v>
      </c>
      <c r="G1237" s="2">
        <v>16</v>
      </c>
      <c r="H1237" s="2">
        <v>28</v>
      </c>
      <c r="I1237" s="3">
        <v>14</v>
      </c>
      <c r="J1237" s="2">
        <v>2</v>
      </c>
      <c r="K1237" s="2">
        <v>1</v>
      </c>
      <c r="L1237" s="2">
        <v>10</v>
      </c>
      <c r="M1237" s="2">
        <v>2</v>
      </c>
      <c r="N1237" s="2">
        <v>2</v>
      </c>
      <c r="O1237" s="2">
        <v>2</v>
      </c>
      <c r="P1237" s="3">
        <v>6</v>
      </c>
      <c r="Q1237" s="2">
        <v>0</v>
      </c>
      <c r="R1237" s="2">
        <v>6</v>
      </c>
      <c r="S1237" s="2">
        <v>1</v>
      </c>
      <c r="T1237" s="2">
        <v>9</v>
      </c>
      <c r="U1237" s="2">
        <v>0</v>
      </c>
      <c r="V1237" s="1">
        <f t="shared" si="590"/>
        <v>75</v>
      </c>
      <c r="W1237" s="2">
        <v>5</v>
      </c>
      <c r="X1237" s="2">
        <v>8</v>
      </c>
      <c r="Y1237" s="2">
        <v>0</v>
      </c>
      <c r="Z1237" s="2">
        <f t="shared" si="597"/>
        <v>13</v>
      </c>
      <c r="AA1237" s="2">
        <f t="shared" si="598"/>
        <v>88</v>
      </c>
      <c r="AB1237" s="2">
        <v>2225</v>
      </c>
      <c r="AC1237" s="20">
        <f t="shared" si="599"/>
        <v>3.95505617977528</v>
      </c>
      <c r="AD1237" s="2" t="s">
        <v>83</v>
      </c>
      <c r="AE1237" s="2">
        <v>125</v>
      </c>
      <c r="AF1237" s="21">
        <f t="shared" si="591"/>
        <v>5.94840449438202</v>
      </c>
      <c r="AG1237" s="4">
        <f t="shared" si="592"/>
        <v>3.37078651685393</v>
      </c>
      <c r="AH1237" s="4">
        <f t="shared" si="593"/>
        <v>0.584269662921348</v>
      </c>
      <c r="AI1237" s="2">
        <v>20848</v>
      </c>
      <c r="AJ1237" s="2">
        <v>541</v>
      </c>
      <c r="AK1237" s="2">
        <v>4418</v>
      </c>
      <c r="AL1237" s="2">
        <v>37</v>
      </c>
      <c r="AM1237" s="2">
        <v>43</v>
      </c>
      <c r="AN1237" s="2">
        <v>11</v>
      </c>
      <c r="AO1237" s="2">
        <v>0</v>
      </c>
      <c r="AP1237" s="2">
        <f t="shared" si="594"/>
        <v>21437</v>
      </c>
      <c r="AQ1237" s="2">
        <f t="shared" si="595"/>
        <v>1018.38479809976</v>
      </c>
      <c r="AR1237" s="5">
        <f t="shared" si="596"/>
        <v>1914.56342042755</v>
      </c>
    </row>
    <row r="1238" spans="1:44">
      <c r="A1238" s="2">
        <v>20260415</v>
      </c>
      <c r="B1238" s="31" t="s">
        <v>2520</v>
      </c>
      <c r="C1238" s="2" t="s">
        <v>2521</v>
      </c>
      <c r="D1238" s="2">
        <v>12</v>
      </c>
      <c r="E1238" s="2">
        <v>1</v>
      </c>
      <c r="F1238" s="2">
        <v>7</v>
      </c>
      <c r="G1238" s="2">
        <v>34</v>
      </c>
      <c r="H1238" s="2">
        <v>71</v>
      </c>
      <c r="I1238" s="3">
        <v>545</v>
      </c>
      <c r="J1238" s="2">
        <v>211</v>
      </c>
      <c r="K1238" s="2">
        <v>12</v>
      </c>
      <c r="L1238" s="2">
        <v>4</v>
      </c>
      <c r="M1238" s="2">
        <v>575</v>
      </c>
      <c r="N1238" s="2">
        <v>65</v>
      </c>
      <c r="O1238" s="2">
        <v>2</v>
      </c>
      <c r="P1238" s="3">
        <v>105</v>
      </c>
      <c r="Q1238" s="2">
        <v>11</v>
      </c>
      <c r="R1238" s="2">
        <v>8</v>
      </c>
      <c r="S1238" s="2">
        <v>8</v>
      </c>
      <c r="T1238" s="2">
        <v>24</v>
      </c>
      <c r="U1238" s="2">
        <v>1</v>
      </c>
      <c r="V1238" s="1">
        <f t="shared" si="590"/>
        <v>1578</v>
      </c>
      <c r="W1238" s="2">
        <v>1</v>
      </c>
      <c r="X1238" s="2">
        <v>2</v>
      </c>
      <c r="Y1238" s="2">
        <v>0</v>
      </c>
      <c r="Z1238" s="2">
        <f t="shared" si="597"/>
        <v>4</v>
      </c>
      <c r="AA1238" s="2">
        <f t="shared" si="598"/>
        <v>1582</v>
      </c>
      <c r="AB1238" s="2">
        <v>2605</v>
      </c>
      <c r="AC1238" s="20">
        <f t="shared" si="599"/>
        <v>60.7293666026871</v>
      </c>
      <c r="AD1238" s="2" t="s">
        <v>83</v>
      </c>
      <c r="AE1238" s="2">
        <v>125</v>
      </c>
      <c r="AF1238" s="21">
        <f t="shared" si="591"/>
        <v>91.3369673704415</v>
      </c>
      <c r="AG1238" s="4">
        <f t="shared" si="592"/>
        <v>60.5758157389635</v>
      </c>
      <c r="AH1238" s="4">
        <f t="shared" si="593"/>
        <v>0.153550863723608</v>
      </c>
      <c r="AI1238" s="2">
        <v>25997</v>
      </c>
      <c r="AJ1238" s="2">
        <v>3393</v>
      </c>
      <c r="AK1238" s="2">
        <v>681</v>
      </c>
      <c r="AL1238" s="2">
        <v>945</v>
      </c>
      <c r="AM1238" s="2">
        <v>2834</v>
      </c>
      <c r="AN1238" s="2">
        <v>2168</v>
      </c>
      <c r="AO1238" s="2">
        <v>0</v>
      </c>
      <c r="AP1238" s="2">
        <f t="shared" si="594"/>
        <v>32503</v>
      </c>
      <c r="AQ1238" s="2">
        <f t="shared" si="595"/>
        <v>1460.80898876404</v>
      </c>
      <c r="AR1238" s="5">
        <f t="shared" si="596"/>
        <v>2746.3208988764</v>
      </c>
    </row>
    <row r="1239" spans="1:44">
      <c r="A1239" s="2">
        <v>20260415</v>
      </c>
      <c r="B1239" s="31" t="s">
        <v>2522</v>
      </c>
      <c r="C1239" s="2" t="s">
        <v>2523</v>
      </c>
      <c r="D1239" s="2">
        <v>8</v>
      </c>
      <c r="E1239" s="2">
        <v>9</v>
      </c>
      <c r="F1239" s="2">
        <v>15</v>
      </c>
      <c r="G1239" s="2">
        <v>22</v>
      </c>
      <c r="H1239" s="2">
        <v>21</v>
      </c>
      <c r="I1239" s="3">
        <v>46</v>
      </c>
      <c r="J1239" s="2">
        <v>16</v>
      </c>
      <c r="K1239" s="2">
        <v>15</v>
      </c>
      <c r="L1239" s="2">
        <v>5</v>
      </c>
      <c r="M1239" s="2">
        <v>10</v>
      </c>
      <c r="N1239" s="2">
        <v>33</v>
      </c>
      <c r="O1239" s="2">
        <v>36</v>
      </c>
      <c r="P1239" s="3">
        <v>16</v>
      </c>
      <c r="Q1239" s="2">
        <v>16</v>
      </c>
      <c r="R1239" s="2">
        <v>15</v>
      </c>
      <c r="S1239" s="2">
        <v>4</v>
      </c>
      <c r="T1239" s="2">
        <v>14</v>
      </c>
      <c r="U1239" s="2">
        <v>2</v>
      </c>
      <c r="V1239" s="1">
        <f t="shared" si="590"/>
        <v>154</v>
      </c>
      <c r="W1239" s="2">
        <v>5</v>
      </c>
      <c r="X1239" s="2">
        <v>6</v>
      </c>
      <c r="Y1239" s="2">
        <v>0</v>
      </c>
      <c r="Z1239" s="2">
        <f t="shared" si="597"/>
        <v>13</v>
      </c>
      <c r="AA1239" s="2">
        <f t="shared" si="598"/>
        <v>167</v>
      </c>
      <c r="AB1239" s="2">
        <v>4522</v>
      </c>
      <c r="AC1239" s="20">
        <f t="shared" si="599"/>
        <v>3.69305616983636</v>
      </c>
      <c r="AD1239" s="2" t="s">
        <v>83</v>
      </c>
      <c r="AE1239" s="2">
        <v>125</v>
      </c>
      <c r="AF1239" s="21">
        <f t="shared" si="591"/>
        <v>5.55435647943388</v>
      </c>
      <c r="AG1239" s="4">
        <f t="shared" si="592"/>
        <v>3.40557275541796</v>
      </c>
      <c r="AH1239" s="4">
        <f t="shared" si="593"/>
        <v>0.287483414418399</v>
      </c>
      <c r="AI1239" s="2">
        <v>14611</v>
      </c>
      <c r="AJ1239" s="2">
        <v>1277</v>
      </c>
      <c r="AK1239" s="2">
        <v>1183</v>
      </c>
      <c r="AL1239" s="2">
        <v>516</v>
      </c>
      <c r="AM1239" s="2">
        <v>195</v>
      </c>
      <c r="AN1239" s="2">
        <v>4</v>
      </c>
      <c r="AO1239" s="2">
        <v>0</v>
      </c>
      <c r="AP1239" s="2">
        <f t="shared" si="594"/>
        <v>16408</v>
      </c>
      <c r="AQ1239" s="2">
        <f t="shared" si="595"/>
        <v>629.865642994242</v>
      </c>
      <c r="AR1239" s="5">
        <f t="shared" si="596"/>
        <v>1184.14740882917</v>
      </c>
    </row>
    <row r="1240" spans="1:44">
      <c r="A1240" s="2">
        <v>20260415</v>
      </c>
      <c r="B1240" s="31" t="s">
        <v>2524</v>
      </c>
      <c r="C1240" s="2" t="s">
        <v>2525</v>
      </c>
      <c r="D1240" s="2">
        <v>0</v>
      </c>
      <c r="E1240" s="2">
        <v>2</v>
      </c>
      <c r="F1240" s="2">
        <v>0</v>
      </c>
      <c r="G1240" s="2">
        <v>5</v>
      </c>
      <c r="H1240" s="2">
        <v>1</v>
      </c>
      <c r="I1240" s="3">
        <v>15</v>
      </c>
      <c r="J1240" s="2">
        <v>2</v>
      </c>
      <c r="K1240" s="2">
        <v>1</v>
      </c>
      <c r="L1240" s="2">
        <v>1</v>
      </c>
      <c r="M1240" s="2">
        <v>13</v>
      </c>
      <c r="N1240" s="2">
        <v>9</v>
      </c>
      <c r="O1240" s="2">
        <v>2</v>
      </c>
      <c r="P1240" s="3">
        <v>3</v>
      </c>
      <c r="Q1240" s="2">
        <v>5</v>
      </c>
      <c r="R1240" s="2">
        <v>17</v>
      </c>
      <c r="S1240" s="2">
        <v>1</v>
      </c>
      <c r="T1240" s="2">
        <v>5</v>
      </c>
      <c r="U1240" s="2">
        <v>1</v>
      </c>
      <c r="V1240" s="1">
        <f t="shared" si="590"/>
        <v>40</v>
      </c>
      <c r="W1240" s="2">
        <v>0</v>
      </c>
      <c r="X1240" s="2">
        <v>6</v>
      </c>
      <c r="Y1240" s="2">
        <v>0</v>
      </c>
      <c r="Z1240" s="2">
        <f t="shared" si="597"/>
        <v>7</v>
      </c>
      <c r="AA1240" s="2">
        <f t="shared" si="598"/>
        <v>47</v>
      </c>
      <c r="AB1240" s="2">
        <v>2607</v>
      </c>
      <c r="AC1240" s="20">
        <f t="shared" si="599"/>
        <v>1.80283851169927</v>
      </c>
      <c r="AD1240" s="2" t="s">
        <v>83</v>
      </c>
      <c r="AE1240" s="2">
        <v>125</v>
      </c>
      <c r="AF1240" s="21">
        <f t="shared" si="591"/>
        <v>2.7114691215957</v>
      </c>
      <c r="AG1240" s="4">
        <f t="shared" si="592"/>
        <v>1.5343306482547</v>
      </c>
      <c r="AH1240" s="4">
        <f t="shared" si="593"/>
        <v>0.268507863444572</v>
      </c>
      <c r="AI1240" s="2">
        <v>3704</v>
      </c>
      <c r="AJ1240" s="2">
        <v>348</v>
      </c>
      <c r="AK1240" s="2">
        <v>679</v>
      </c>
      <c r="AL1240" s="2">
        <v>37</v>
      </c>
      <c r="AM1240" s="2">
        <v>42</v>
      </c>
      <c r="AN1240" s="2">
        <v>6</v>
      </c>
      <c r="AO1240" s="2">
        <v>0</v>
      </c>
      <c r="AP1240" s="2">
        <f t="shared" si="594"/>
        <v>4095</v>
      </c>
      <c r="AQ1240" s="2">
        <f t="shared" si="595"/>
        <v>90.5572755417957</v>
      </c>
      <c r="AR1240" s="5">
        <f t="shared" si="596"/>
        <v>170.247678018576</v>
      </c>
    </row>
    <row r="1241" spans="1:44">
      <c r="A1241" s="2">
        <v>20260415</v>
      </c>
      <c r="B1241" s="2" t="s">
        <v>2526</v>
      </c>
      <c r="C1241" s="2" t="s">
        <v>2527</v>
      </c>
      <c r="D1241" s="2">
        <v>0</v>
      </c>
      <c r="E1241" s="2">
        <v>1</v>
      </c>
      <c r="F1241" s="2">
        <v>0</v>
      </c>
      <c r="G1241" s="2">
        <v>8</v>
      </c>
      <c r="H1241" s="2">
        <v>15</v>
      </c>
      <c r="I1241" s="3">
        <v>37</v>
      </c>
      <c r="J1241" s="2">
        <v>21</v>
      </c>
      <c r="K1241" s="2">
        <v>5</v>
      </c>
      <c r="L1241" s="2">
        <v>1</v>
      </c>
      <c r="M1241" s="2">
        <v>20</v>
      </c>
      <c r="N1241" s="2">
        <v>9</v>
      </c>
      <c r="O1241" s="2">
        <v>2</v>
      </c>
      <c r="P1241" s="3">
        <v>5</v>
      </c>
      <c r="Q1241" s="2">
        <v>9</v>
      </c>
      <c r="R1241" s="2">
        <v>11</v>
      </c>
      <c r="S1241" s="2">
        <v>0</v>
      </c>
      <c r="T1241" s="2">
        <v>12</v>
      </c>
      <c r="U1241" s="2">
        <v>0</v>
      </c>
      <c r="V1241" s="1">
        <f t="shared" si="590"/>
        <v>122</v>
      </c>
      <c r="W1241" s="2">
        <v>2</v>
      </c>
      <c r="X1241" s="2">
        <v>0</v>
      </c>
      <c r="Y1241" s="2">
        <v>0</v>
      </c>
      <c r="Z1241" s="2">
        <f t="shared" si="597"/>
        <v>2</v>
      </c>
      <c r="AA1241" s="2">
        <f t="shared" si="598"/>
        <v>124</v>
      </c>
      <c r="AB1241" s="2">
        <v>4302</v>
      </c>
      <c r="AC1241" s="20">
        <f t="shared" si="599"/>
        <v>2.88238028823803</v>
      </c>
      <c r="AD1241" s="2" t="s">
        <v>83</v>
      </c>
      <c r="AE1241" s="2">
        <v>125</v>
      </c>
      <c r="AF1241" s="21">
        <f t="shared" si="591"/>
        <v>4.33509995351</v>
      </c>
      <c r="AG1241" s="4">
        <f t="shared" si="592"/>
        <v>2.83589028358903</v>
      </c>
      <c r="AH1241" s="4">
        <f t="shared" si="593"/>
        <v>0.0464900046490005</v>
      </c>
      <c r="AI1241" s="2">
        <v>5739</v>
      </c>
      <c r="AJ1241" s="2">
        <v>511</v>
      </c>
      <c r="AK1241" s="2">
        <v>1051</v>
      </c>
      <c r="AL1241" s="2">
        <v>35</v>
      </c>
      <c r="AM1241" s="2">
        <v>35</v>
      </c>
      <c r="AN1241" s="2">
        <v>6</v>
      </c>
      <c r="AO1241" s="2">
        <v>0</v>
      </c>
      <c r="AP1241" s="2">
        <f t="shared" si="594"/>
        <v>6291</v>
      </c>
      <c r="AQ1241" s="2">
        <f t="shared" si="595"/>
        <v>241.311852704258</v>
      </c>
      <c r="AR1241" s="5">
        <f t="shared" si="596"/>
        <v>453.666283084005</v>
      </c>
    </row>
    <row r="1242" spans="1:44">
      <c r="A1242" s="2">
        <v>20260415</v>
      </c>
      <c r="B1242" s="2" t="s">
        <v>2528</v>
      </c>
      <c r="C1242" s="2" t="s">
        <v>2529</v>
      </c>
      <c r="D1242" s="2">
        <v>0</v>
      </c>
      <c r="E1242" s="2">
        <v>1</v>
      </c>
      <c r="F1242" s="2">
        <v>2</v>
      </c>
      <c r="G1242" s="2">
        <v>2</v>
      </c>
      <c r="H1242" s="2">
        <v>9</v>
      </c>
      <c r="I1242" s="3">
        <v>11</v>
      </c>
      <c r="J1242" s="2">
        <v>1</v>
      </c>
      <c r="K1242" s="2">
        <v>2</v>
      </c>
      <c r="L1242" s="2">
        <v>1</v>
      </c>
      <c r="M1242" s="2">
        <v>14</v>
      </c>
      <c r="N1242" s="2">
        <v>5</v>
      </c>
      <c r="O1242" s="2">
        <v>2</v>
      </c>
      <c r="P1242" s="3">
        <v>1</v>
      </c>
      <c r="Q1242" s="2">
        <v>5</v>
      </c>
      <c r="R1242" s="2">
        <v>1</v>
      </c>
      <c r="S1242" s="2">
        <v>0</v>
      </c>
      <c r="T1242" s="2">
        <v>3</v>
      </c>
      <c r="U1242" s="2">
        <v>0</v>
      </c>
      <c r="V1242" s="1">
        <f t="shared" ref="V1242:V1249" si="600">AA1242-Y1242-X1242-W1242-U1242</f>
        <v>40</v>
      </c>
      <c r="W1242" s="2">
        <v>0</v>
      </c>
      <c r="X1242" s="2">
        <v>4</v>
      </c>
      <c r="Y1242" s="2">
        <v>0</v>
      </c>
      <c r="Z1242" s="2">
        <f t="shared" si="597"/>
        <v>4</v>
      </c>
      <c r="AA1242" s="2">
        <f t="shared" si="598"/>
        <v>44</v>
      </c>
      <c r="AB1242" s="2">
        <v>2097</v>
      </c>
      <c r="AC1242" s="20">
        <f t="shared" si="599"/>
        <v>2.09823557463042</v>
      </c>
      <c r="AD1242" s="2" t="s">
        <v>83</v>
      </c>
      <c r="AE1242" s="2">
        <v>125</v>
      </c>
      <c r="AF1242" s="21">
        <f t="shared" ref="AF1242:AF1256" si="601">188/AE1242*AC1242</f>
        <v>3.15574630424416</v>
      </c>
      <c r="AG1242" s="4">
        <f t="shared" ref="AG1242:AG1256" si="602">V1242/AB1242*100</f>
        <v>1.90748688602766</v>
      </c>
      <c r="AH1242" s="4">
        <f t="shared" ref="AH1242:AH1268" si="603">Z1242/AB1242*100</f>
        <v>0.190748688602766</v>
      </c>
      <c r="AI1242" s="2">
        <v>2640</v>
      </c>
      <c r="AJ1242" s="2">
        <v>256</v>
      </c>
      <c r="AK1242" s="2">
        <v>528</v>
      </c>
      <c r="AL1242" s="2">
        <v>19</v>
      </c>
      <c r="AM1242" s="2">
        <v>12</v>
      </c>
      <c r="AN1242" s="2">
        <v>2</v>
      </c>
      <c r="AO1242" s="2">
        <v>0</v>
      </c>
      <c r="AP1242" s="2">
        <f t="shared" ref="AP1242:AP1261" si="604">AI1242+AJ1242+AL1242+AN1242</f>
        <v>2917</v>
      </c>
      <c r="AQ1242" s="2">
        <f t="shared" ref="AQ1242:AQ1261" si="605">AP1242/AB1241*100</f>
        <v>67.8056717805672</v>
      </c>
      <c r="AR1242" s="5">
        <f t="shared" ref="AR1242:AR1261" si="606">AQ1242*1.88</f>
        <v>127.474662947466</v>
      </c>
    </row>
    <row r="1243" spans="1:44">
      <c r="A1243" s="2">
        <v>20260415</v>
      </c>
      <c r="B1243" s="2" t="s">
        <v>2530</v>
      </c>
      <c r="C1243" s="2" t="s">
        <v>2531</v>
      </c>
      <c r="D1243" s="2">
        <v>0</v>
      </c>
      <c r="E1243" s="2">
        <v>2</v>
      </c>
      <c r="F1243" s="2">
        <v>6</v>
      </c>
      <c r="G1243" s="2">
        <v>4</v>
      </c>
      <c r="H1243" s="2">
        <v>14</v>
      </c>
      <c r="I1243" s="3">
        <v>4</v>
      </c>
      <c r="J1243" s="2">
        <v>4</v>
      </c>
      <c r="K1243" s="2">
        <v>2</v>
      </c>
      <c r="L1243" s="2">
        <v>5</v>
      </c>
      <c r="M1243" s="2">
        <v>11</v>
      </c>
      <c r="N1243" s="2">
        <v>2</v>
      </c>
      <c r="O1243" s="2">
        <v>3</v>
      </c>
      <c r="P1243" s="3">
        <v>4</v>
      </c>
      <c r="Q1243" s="2">
        <v>15</v>
      </c>
      <c r="R1243" s="2">
        <v>2</v>
      </c>
      <c r="S1243" s="2">
        <v>2</v>
      </c>
      <c r="T1243" s="2">
        <v>1</v>
      </c>
      <c r="U1243" s="2">
        <v>0</v>
      </c>
      <c r="V1243" s="1">
        <f t="shared" si="600"/>
        <v>45</v>
      </c>
      <c r="W1243" s="2">
        <v>1</v>
      </c>
      <c r="X1243" s="2">
        <v>3</v>
      </c>
      <c r="Y1243" s="2">
        <v>0</v>
      </c>
      <c r="Z1243" s="2">
        <f t="shared" ref="Z1243:Z1257" si="607">Y1243+X1243+W1243+U1243</f>
        <v>4</v>
      </c>
      <c r="AA1243" s="2">
        <f t="shared" ref="AA1243:AA1257" si="608">G1243+H1243+I1243+J1243+K1243+L1243+M1243+P1243+T1243+U1243</f>
        <v>49</v>
      </c>
      <c r="AB1243" s="2">
        <v>2097</v>
      </c>
      <c r="AC1243" s="20">
        <f t="shared" ref="AC1243:AC1257" si="609">AA1243/AB1243*100</f>
        <v>2.33667143538388</v>
      </c>
      <c r="AD1243" s="2" t="s">
        <v>83</v>
      </c>
      <c r="AE1243" s="2">
        <v>125</v>
      </c>
      <c r="AF1243" s="21">
        <f t="shared" si="601"/>
        <v>3.51435383881736</v>
      </c>
      <c r="AG1243" s="4">
        <f t="shared" si="602"/>
        <v>2.14592274678112</v>
      </c>
      <c r="AH1243" s="4">
        <f t="shared" si="603"/>
        <v>0.190748688602766</v>
      </c>
      <c r="AI1243" s="2">
        <v>4054</v>
      </c>
      <c r="AJ1243" s="2">
        <v>294</v>
      </c>
      <c r="AK1243" s="2">
        <v>521</v>
      </c>
      <c r="AL1243" s="2">
        <v>8</v>
      </c>
      <c r="AM1243" s="2">
        <v>11</v>
      </c>
      <c r="AN1243" s="2">
        <v>0</v>
      </c>
      <c r="AO1243" s="2">
        <v>0</v>
      </c>
      <c r="AP1243" s="2">
        <f t="shared" si="604"/>
        <v>4356</v>
      </c>
      <c r="AQ1243" s="2">
        <f t="shared" si="605"/>
        <v>207.725321888412</v>
      </c>
      <c r="AR1243" s="5">
        <f t="shared" si="606"/>
        <v>390.523605150215</v>
      </c>
    </row>
    <row r="1244" spans="1:44">
      <c r="A1244" s="2">
        <v>20260415</v>
      </c>
      <c r="B1244" s="2" t="s">
        <v>2532</v>
      </c>
      <c r="C1244" s="2" t="s">
        <v>2533</v>
      </c>
      <c r="D1244" s="2">
        <v>0</v>
      </c>
      <c r="E1244" s="2">
        <v>22</v>
      </c>
      <c r="F1244" s="2">
        <v>19</v>
      </c>
      <c r="G1244" s="2">
        <v>6</v>
      </c>
      <c r="H1244" s="2">
        <v>11</v>
      </c>
      <c r="I1244" s="3">
        <v>11</v>
      </c>
      <c r="J1244" s="2">
        <v>53</v>
      </c>
      <c r="K1244" s="2">
        <v>1</v>
      </c>
      <c r="L1244" s="2">
        <v>0</v>
      </c>
      <c r="M1244" s="2">
        <v>11</v>
      </c>
      <c r="N1244" s="2">
        <v>60</v>
      </c>
      <c r="O1244" s="2">
        <v>5</v>
      </c>
      <c r="P1244" s="3">
        <v>3</v>
      </c>
      <c r="Q1244" s="2">
        <v>14</v>
      </c>
      <c r="R1244" s="2">
        <v>78</v>
      </c>
      <c r="S1244" s="2">
        <v>0</v>
      </c>
      <c r="T1244" s="2">
        <v>7</v>
      </c>
      <c r="U1244" s="2">
        <v>0</v>
      </c>
      <c r="V1244" s="1">
        <f t="shared" si="600"/>
        <v>98</v>
      </c>
      <c r="W1244" s="2">
        <v>2</v>
      </c>
      <c r="X1244" s="2">
        <v>3</v>
      </c>
      <c r="Y1244" s="2">
        <v>0</v>
      </c>
      <c r="Z1244" s="2">
        <f t="shared" si="607"/>
        <v>5</v>
      </c>
      <c r="AA1244" s="2">
        <f t="shared" si="608"/>
        <v>103</v>
      </c>
      <c r="AB1244" s="2">
        <v>2660</v>
      </c>
      <c r="AC1244" s="20">
        <f t="shared" si="609"/>
        <v>3.87218045112782</v>
      </c>
      <c r="AD1244" s="2" t="s">
        <v>83</v>
      </c>
      <c r="AE1244" s="2">
        <v>125</v>
      </c>
      <c r="AF1244" s="21">
        <f t="shared" si="601"/>
        <v>5.82375939849624</v>
      </c>
      <c r="AG1244" s="4">
        <f t="shared" si="602"/>
        <v>3.68421052631579</v>
      </c>
      <c r="AH1244" s="4">
        <f t="shared" si="603"/>
        <v>0.18796992481203</v>
      </c>
      <c r="AI1244" s="2">
        <v>3683</v>
      </c>
      <c r="AJ1244" s="2">
        <v>323</v>
      </c>
      <c r="AK1244" s="2">
        <v>923</v>
      </c>
      <c r="AL1244" s="2">
        <v>70</v>
      </c>
      <c r="AM1244" s="2">
        <v>26</v>
      </c>
      <c r="AN1244" s="2">
        <v>1</v>
      </c>
      <c r="AO1244" s="2">
        <v>0</v>
      </c>
      <c r="AP1244" s="2">
        <f t="shared" si="604"/>
        <v>4077</v>
      </c>
      <c r="AQ1244" s="2">
        <f t="shared" si="605"/>
        <v>194.420600858369</v>
      </c>
      <c r="AR1244" s="5">
        <f t="shared" si="606"/>
        <v>365.510729613734</v>
      </c>
    </row>
    <row r="1245" spans="1:44">
      <c r="A1245" s="2">
        <v>20260415</v>
      </c>
      <c r="B1245" s="2" t="s">
        <v>2534</v>
      </c>
      <c r="C1245" s="2" t="s">
        <v>2535</v>
      </c>
      <c r="D1245" s="2">
        <v>1</v>
      </c>
      <c r="E1245" s="2">
        <v>5</v>
      </c>
      <c r="F1245" s="2">
        <v>1</v>
      </c>
      <c r="G1245" s="2">
        <v>10</v>
      </c>
      <c r="H1245" s="2">
        <v>10</v>
      </c>
      <c r="I1245" s="3">
        <v>13</v>
      </c>
      <c r="J1245" s="2">
        <v>4</v>
      </c>
      <c r="K1245" s="2">
        <v>3</v>
      </c>
      <c r="L1245" s="2">
        <v>2</v>
      </c>
      <c r="M1245" s="2">
        <v>17</v>
      </c>
      <c r="N1245" s="2">
        <v>10</v>
      </c>
      <c r="O1245" s="2">
        <v>1</v>
      </c>
      <c r="P1245" s="3">
        <v>5</v>
      </c>
      <c r="Q1245" s="2">
        <v>5</v>
      </c>
      <c r="R1245" s="2">
        <v>22</v>
      </c>
      <c r="S1245" s="2">
        <v>0</v>
      </c>
      <c r="T1245" s="2">
        <v>3</v>
      </c>
      <c r="U1245" s="2">
        <v>1</v>
      </c>
      <c r="V1245" s="1">
        <f t="shared" si="600"/>
        <v>65</v>
      </c>
      <c r="W1245" s="2">
        <v>2</v>
      </c>
      <c r="X1245" s="2">
        <v>0</v>
      </c>
      <c r="Y1245" s="2">
        <v>0</v>
      </c>
      <c r="Z1245" s="2">
        <f t="shared" si="607"/>
        <v>3</v>
      </c>
      <c r="AA1245" s="2">
        <f t="shared" si="608"/>
        <v>68</v>
      </c>
      <c r="AB1245" s="2">
        <v>4303</v>
      </c>
      <c r="AC1245" s="20">
        <f t="shared" si="609"/>
        <v>1.58029281896351</v>
      </c>
      <c r="AD1245" s="2" t="s">
        <v>83</v>
      </c>
      <c r="AE1245" s="2">
        <v>125</v>
      </c>
      <c r="AF1245" s="21">
        <f t="shared" si="601"/>
        <v>2.37676039972112</v>
      </c>
      <c r="AG1245" s="4">
        <f t="shared" si="602"/>
        <v>1.51057401812689</v>
      </c>
      <c r="AH1245" s="4">
        <f t="shared" si="603"/>
        <v>0.0697188008366256</v>
      </c>
      <c r="AI1245" s="2">
        <v>4729</v>
      </c>
      <c r="AJ1245" s="2">
        <v>276</v>
      </c>
      <c r="AK1245" s="2">
        <v>1321</v>
      </c>
      <c r="AL1245" s="2">
        <v>71</v>
      </c>
      <c r="AM1245" s="2">
        <v>34</v>
      </c>
      <c r="AN1245" s="2">
        <v>2</v>
      </c>
      <c r="AO1245" s="2">
        <v>0</v>
      </c>
      <c r="AP1245" s="2">
        <f t="shared" si="604"/>
        <v>5078</v>
      </c>
      <c r="AQ1245" s="2">
        <f t="shared" si="605"/>
        <v>190.902255639098</v>
      </c>
      <c r="AR1245" s="5">
        <f t="shared" si="606"/>
        <v>358.896240601504</v>
      </c>
    </row>
    <row r="1246" spans="1:44">
      <c r="A1246" s="2">
        <v>20260415</v>
      </c>
      <c r="B1246" s="2" t="s">
        <v>2536</v>
      </c>
      <c r="C1246" s="2" t="s">
        <v>2537</v>
      </c>
      <c r="D1246" s="2">
        <v>0</v>
      </c>
      <c r="E1246" s="2">
        <v>4</v>
      </c>
      <c r="F1246" s="2">
        <v>5</v>
      </c>
      <c r="G1246" s="2">
        <v>4</v>
      </c>
      <c r="H1246" s="2">
        <v>2</v>
      </c>
      <c r="I1246" s="3">
        <v>10</v>
      </c>
      <c r="J1246" s="2">
        <v>5</v>
      </c>
      <c r="K1246" s="2">
        <v>4</v>
      </c>
      <c r="L1246" s="2">
        <v>0</v>
      </c>
      <c r="M1246" s="2">
        <v>2</v>
      </c>
      <c r="N1246" s="2">
        <v>31</v>
      </c>
      <c r="O1246" s="2">
        <v>11</v>
      </c>
      <c r="P1246" s="3">
        <v>3</v>
      </c>
      <c r="Q1246" s="2">
        <v>3</v>
      </c>
      <c r="R1246" s="2">
        <v>30</v>
      </c>
      <c r="S1246" s="2">
        <v>0</v>
      </c>
      <c r="T1246" s="2">
        <v>4</v>
      </c>
      <c r="U1246" s="2">
        <v>1</v>
      </c>
      <c r="V1246" s="1">
        <f t="shared" si="600"/>
        <v>21</v>
      </c>
      <c r="W1246" s="2">
        <v>8</v>
      </c>
      <c r="X1246" s="2">
        <v>5</v>
      </c>
      <c r="Y1246" s="2">
        <v>0</v>
      </c>
      <c r="Z1246" s="2">
        <f t="shared" si="607"/>
        <v>14</v>
      </c>
      <c r="AA1246" s="2">
        <f t="shared" si="608"/>
        <v>35</v>
      </c>
      <c r="AB1246" s="2">
        <v>2097</v>
      </c>
      <c r="AC1246" s="20">
        <f t="shared" si="609"/>
        <v>1.6690510252742</v>
      </c>
      <c r="AD1246" s="2" t="s">
        <v>83</v>
      </c>
      <c r="AE1246" s="2">
        <v>125</v>
      </c>
      <c r="AF1246" s="21">
        <f t="shared" si="601"/>
        <v>2.5102527420124</v>
      </c>
      <c r="AG1246" s="4">
        <f t="shared" si="602"/>
        <v>1.00143061516452</v>
      </c>
      <c r="AH1246" s="4">
        <f t="shared" si="603"/>
        <v>0.667620410109681</v>
      </c>
      <c r="AI1246" s="2">
        <v>3197</v>
      </c>
      <c r="AJ1246" s="2">
        <v>99</v>
      </c>
      <c r="AK1246" s="2">
        <v>750</v>
      </c>
      <c r="AL1246" s="2">
        <v>55</v>
      </c>
      <c r="AM1246" s="2">
        <v>37</v>
      </c>
      <c r="AN1246" s="2">
        <v>0</v>
      </c>
      <c r="AO1246" s="2">
        <v>0</v>
      </c>
      <c r="AP1246" s="2">
        <f t="shared" si="604"/>
        <v>3351</v>
      </c>
      <c r="AQ1246" s="2">
        <f t="shared" si="605"/>
        <v>77.8759005345108</v>
      </c>
      <c r="AR1246" s="5">
        <f t="shared" si="606"/>
        <v>146.40669300488</v>
      </c>
    </row>
    <row r="1247" spans="1:44">
      <c r="A1247" s="2">
        <v>20260415</v>
      </c>
      <c r="B1247" s="2" t="s">
        <v>2538</v>
      </c>
      <c r="C1247" s="2" t="s">
        <v>2539</v>
      </c>
      <c r="D1247" s="2">
        <v>1</v>
      </c>
      <c r="E1247" s="2">
        <v>4</v>
      </c>
      <c r="F1247" s="2">
        <v>7</v>
      </c>
      <c r="G1247" s="2">
        <v>6</v>
      </c>
      <c r="H1247" s="2">
        <v>7</v>
      </c>
      <c r="I1247" s="3">
        <v>14</v>
      </c>
      <c r="J1247" s="2">
        <v>5</v>
      </c>
      <c r="K1247" s="2">
        <v>3</v>
      </c>
      <c r="L1247" s="2">
        <v>2</v>
      </c>
      <c r="M1247" s="2">
        <v>6</v>
      </c>
      <c r="N1247" s="2">
        <v>8</v>
      </c>
      <c r="O1247" s="2">
        <v>0</v>
      </c>
      <c r="P1247" s="3">
        <v>3</v>
      </c>
      <c r="Q1247" s="2">
        <v>3</v>
      </c>
      <c r="R1247" s="2">
        <v>15</v>
      </c>
      <c r="S1247" s="2">
        <v>0</v>
      </c>
      <c r="T1247" s="2">
        <v>11</v>
      </c>
      <c r="U1247" s="2">
        <v>0</v>
      </c>
      <c r="V1247" s="1">
        <f t="shared" si="600"/>
        <v>51</v>
      </c>
      <c r="W1247" s="2">
        <v>0</v>
      </c>
      <c r="X1247" s="2">
        <v>3</v>
      </c>
      <c r="Y1247" s="2">
        <v>3</v>
      </c>
      <c r="Z1247" s="2">
        <f t="shared" si="607"/>
        <v>6</v>
      </c>
      <c r="AA1247" s="2">
        <f t="shared" si="608"/>
        <v>57</v>
      </c>
      <c r="AB1247" s="2">
        <v>4553</v>
      </c>
      <c r="AC1247" s="20">
        <f t="shared" si="609"/>
        <v>1.25192180979574</v>
      </c>
      <c r="AD1247" s="2" t="s">
        <v>83</v>
      </c>
      <c r="AE1247" s="2">
        <v>125</v>
      </c>
      <c r="AF1247" s="21">
        <f t="shared" si="601"/>
        <v>1.88289040193279</v>
      </c>
      <c r="AG1247" s="4">
        <f t="shared" si="602"/>
        <v>1.12014056665935</v>
      </c>
      <c r="AH1247" s="4">
        <f t="shared" si="603"/>
        <v>0.131781243136394</v>
      </c>
      <c r="AI1247" s="2">
        <v>597</v>
      </c>
      <c r="AJ1247" s="2">
        <v>5</v>
      </c>
      <c r="AK1247" s="2">
        <v>139</v>
      </c>
      <c r="AL1247" s="2">
        <v>1</v>
      </c>
      <c r="AM1247" s="2">
        <v>3</v>
      </c>
      <c r="AN1247" s="2">
        <v>1</v>
      </c>
      <c r="AO1247" s="2">
        <v>0</v>
      </c>
      <c r="AP1247" s="2">
        <f t="shared" si="604"/>
        <v>604</v>
      </c>
      <c r="AQ1247" s="2">
        <f t="shared" si="605"/>
        <v>28.8030519790176</v>
      </c>
      <c r="AR1247" s="5">
        <f t="shared" si="606"/>
        <v>54.1497377205532</v>
      </c>
    </row>
    <row r="1248" spans="1:44">
      <c r="A1248" s="2">
        <v>20260415</v>
      </c>
      <c r="B1248" s="2" t="s">
        <v>2540</v>
      </c>
      <c r="C1248" s="2" t="s">
        <v>2541</v>
      </c>
      <c r="D1248" s="2">
        <v>0</v>
      </c>
      <c r="E1248" s="2">
        <v>3</v>
      </c>
      <c r="F1248" s="2">
        <v>3</v>
      </c>
      <c r="G1248" s="2">
        <v>4</v>
      </c>
      <c r="H1248" s="2">
        <v>2</v>
      </c>
      <c r="I1248" s="3">
        <v>6</v>
      </c>
      <c r="J1248" s="2">
        <v>8</v>
      </c>
      <c r="K1248" s="2">
        <v>2</v>
      </c>
      <c r="L1248" s="2">
        <v>1</v>
      </c>
      <c r="M1248" s="2">
        <v>2</v>
      </c>
      <c r="N1248" s="2">
        <v>14</v>
      </c>
      <c r="O1248" s="2">
        <v>3</v>
      </c>
      <c r="P1248" s="3">
        <v>0</v>
      </c>
      <c r="Q1248" s="2">
        <v>9</v>
      </c>
      <c r="R1248" s="2">
        <v>24</v>
      </c>
      <c r="S1248" s="2">
        <v>1</v>
      </c>
      <c r="T1248" s="2">
        <v>0</v>
      </c>
      <c r="U1248" s="2">
        <v>1</v>
      </c>
      <c r="V1248" s="1">
        <f t="shared" ref="V1248:V1294" si="610">AA1248-Y1248-X1248-W1248-U1248</f>
        <v>20</v>
      </c>
      <c r="W1248" s="2">
        <v>5</v>
      </c>
      <c r="X1248" s="2">
        <v>0</v>
      </c>
      <c r="Y1248" s="2">
        <v>0</v>
      </c>
      <c r="Z1248" s="2">
        <f t="shared" si="607"/>
        <v>6</v>
      </c>
      <c r="AA1248" s="2">
        <f t="shared" si="608"/>
        <v>26</v>
      </c>
      <c r="AB1248" s="2">
        <v>4252</v>
      </c>
      <c r="AC1248" s="20">
        <f t="shared" si="609"/>
        <v>0.611476952022578</v>
      </c>
      <c r="AD1248" s="2" t="s">
        <v>83</v>
      </c>
      <c r="AE1248" s="2">
        <v>125</v>
      </c>
      <c r="AF1248" s="21">
        <f t="shared" si="601"/>
        <v>0.919661335841957</v>
      </c>
      <c r="AG1248" s="4">
        <f t="shared" si="602"/>
        <v>0.470366886171214</v>
      </c>
      <c r="AH1248" s="4">
        <f t="shared" si="603"/>
        <v>0.141110065851364</v>
      </c>
      <c r="AI1248" s="2">
        <v>6163</v>
      </c>
      <c r="AJ1248" s="2">
        <v>92</v>
      </c>
      <c r="AK1248" s="2">
        <v>1465</v>
      </c>
      <c r="AL1248" s="2">
        <v>30</v>
      </c>
      <c r="AM1248" s="2">
        <v>38</v>
      </c>
      <c r="AN1248" s="2">
        <v>2</v>
      </c>
      <c r="AO1248" s="2">
        <v>0</v>
      </c>
      <c r="AP1248" s="2">
        <f t="shared" si="604"/>
        <v>6287</v>
      </c>
      <c r="AQ1248" s="2">
        <f t="shared" si="605"/>
        <v>138.084779266418</v>
      </c>
      <c r="AR1248" s="5">
        <f t="shared" si="606"/>
        <v>259.599385020865</v>
      </c>
    </row>
    <row r="1249" spans="1:44">
      <c r="A1249" s="2">
        <v>20260415</v>
      </c>
      <c r="B1249" s="8" t="s">
        <v>2542</v>
      </c>
      <c r="C1249" s="2" t="s">
        <v>2543</v>
      </c>
      <c r="D1249" s="2">
        <v>3</v>
      </c>
      <c r="E1249" s="2">
        <v>9</v>
      </c>
      <c r="F1249" s="2">
        <v>0</v>
      </c>
      <c r="G1249" s="2">
        <v>4</v>
      </c>
      <c r="H1249" s="2">
        <v>4</v>
      </c>
      <c r="I1249" s="3">
        <v>5</v>
      </c>
      <c r="J1249" s="2">
        <v>8</v>
      </c>
      <c r="K1249" s="2">
        <v>2</v>
      </c>
      <c r="L1249" s="2">
        <v>3</v>
      </c>
      <c r="M1249" s="2">
        <v>2</v>
      </c>
      <c r="N1249" s="2">
        <v>9</v>
      </c>
      <c r="O1249" s="2">
        <v>3</v>
      </c>
      <c r="P1249" s="3">
        <v>4</v>
      </c>
      <c r="Q1249" s="2">
        <v>5</v>
      </c>
      <c r="R1249" s="2">
        <v>18</v>
      </c>
      <c r="S1249" s="2">
        <v>0</v>
      </c>
      <c r="T1249" s="2">
        <v>0</v>
      </c>
      <c r="U1249" s="2">
        <v>1</v>
      </c>
      <c r="V1249" s="1">
        <f t="shared" si="610"/>
        <v>28</v>
      </c>
      <c r="W1249" s="2">
        <v>2</v>
      </c>
      <c r="X1249" s="2">
        <v>2</v>
      </c>
      <c r="Y1249" s="2">
        <v>0</v>
      </c>
      <c r="Z1249" s="2">
        <f t="shared" si="607"/>
        <v>5</v>
      </c>
      <c r="AA1249" s="2">
        <f t="shared" si="608"/>
        <v>33</v>
      </c>
      <c r="AB1249" s="2">
        <v>4252</v>
      </c>
      <c r="AC1249" s="20">
        <f t="shared" si="609"/>
        <v>0.776105362182502</v>
      </c>
      <c r="AD1249" s="2" t="s">
        <v>83</v>
      </c>
      <c r="AE1249" s="2">
        <v>125</v>
      </c>
      <c r="AF1249" s="21">
        <f t="shared" si="601"/>
        <v>1.16726246472248</v>
      </c>
      <c r="AG1249" s="4">
        <f t="shared" si="602"/>
        <v>0.658513640639699</v>
      </c>
      <c r="AH1249" s="4">
        <f t="shared" si="603"/>
        <v>0.117591721542803</v>
      </c>
      <c r="AI1249" s="2">
        <v>5756</v>
      </c>
      <c r="AJ1249" s="2">
        <v>96</v>
      </c>
      <c r="AK1249" s="2">
        <v>1324</v>
      </c>
      <c r="AL1249" s="2">
        <v>48</v>
      </c>
      <c r="AM1249" s="2">
        <v>69</v>
      </c>
      <c r="AN1249" s="2">
        <v>1</v>
      </c>
      <c r="AO1249" s="2">
        <v>0</v>
      </c>
      <c r="AP1249" s="2">
        <f t="shared" si="604"/>
        <v>5901</v>
      </c>
      <c r="AQ1249" s="2">
        <f t="shared" si="605"/>
        <v>138.781749764817</v>
      </c>
      <c r="AR1249" s="5">
        <f t="shared" si="606"/>
        <v>260.909689557855</v>
      </c>
    </row>
    <row r="1250" spans="1:44">
      <c r="A1250" s="2">
        <v>20260415</v>
      </c>
      <c r="B1250" s="1" t="s">
        <v>2544</v>
      </c>
      <c r="C1250" s="2" t="s">
        <v>2545</v>
      </c>
      <c r="D1250" s="2">
        <v>0</v>
      </c>
      <c r="E1250" s="2">
        <v>0</v>
      </c>
      <c r="F1250" s="2">
        <v>2</v>
      </c>
      <c r="G1250" s="2">
        <v>4</v>
      </c>
      <c r="H1250" s="2">
        <v>12</v>
      </c>
      <c r="I1250" s="3">
        <v>9</v>
      </c>
      <c r="J1250" s="2">
        <v>9</v>
      </c>
      <c r="K1250" s="2">
        <v>1</v>
      </c>
      <c r="L1250" s="2">
        <v>0</v>
      </c>
      <c r="M1250" s="2">
        <v>33</v>
      </c>
      <c r="N1250" s="2">
        <v>8</v>
      </c>
      <c r="O1250" s="2">
        <v>10</v>
      </c>
      <c r="P1250" s="3">
        <v>5</v>
      </c>
      <c r="Q1250" s="2">
        <v>5</v>
      </c>
      <c r="R1250" s="2">
        <v>1</v>
      </c>
      <c r="S1250" s="2">
        <v>1</v>
      </c>
      <c r="T1250" s="2">
        <v>2</v>
      </c>
      <c r="U1250" s="2">
        <v>1</v>
      </c>
      <c r="V1250" s="1">
        <f t="shared" si="610"/>
        <v>71</v>
      </c>
      <c r="W1250" s="2">
        <v>2</v>
      </c>
      <c r="X1250" s="2">
        <v>2</v>
      </c>
      <c r="Y1250" s="2">
        <v>0</v>
      </c>
      <c r="Z1250" s="2">
        <f t="shared" si="607"/>
        <v>5</v>
      </c>
      <c r="AA1250" s="2">
        <f t="shared" si="608"/>
        <v>76</v>
      </c>
      <c r="AB1250" s="2">
        <v>1930</v>
      </c>
      <c r="AC1250" s="20">
        <f t="shared" si="609"/>
        <v>3.93782383419689</v>
      </c>
      <c r="AD1250" s="2" t="s">
        <v>340</v>
      </c>
      <c r="AE1250" s="2">
        <v>175</v>
      </c>
      <c r="AF1250" s="21">
        <f t="shared" si="601"/>
        <v>4.23034789045152</v>
      </c>
      <c r="AG1250" s="4">
        <f t="shared" si="602"/>
        <v>3.67875647668394</v>
      </c>
      <c r="AH1250" s="4">
        <f t="shared" si="603"/>
        <v>0.259067357512953</v>
      </c>
      <c r="AI1250" s="2">
        <v>8041</v>
      </c>
      <c r="AJ1250" s="2">
        <v>3500</v>
      </c>
      <c r="AK1250" s="2">
        <v>745</v>
      </c>
      <c r="AL1250" s="2">
        <v>51</v>
      </c>
      <c r="AM1250" s="2">
        <v>17</v>
      </c>
      <c r="AN1250" s="2">
        <v>31</v>
      </c>
      <c r="AO1250" s="2">
        <v>0</v>
      </c>
      <c r="AP1250" s="2">
        <f t="shared" si="604"/>
        <v>11623</v>
      </c>
      <c r="AQ1250" s="2">
        <f t="shared" si="605"/>
        <v>273.353715898401</v>
      </c>
      <c r="AR1250" s="5">
        <f t="shared" si="606"/>
        <v>513.904985888993</v>
      </c>
    </row>
    <row r="1251" spans="1:44">
      <c r="A1251" s="2">
        <v>20260415</v>
      </c>
      <c r="B1251" s="2" t="s">
        <v>2546</v>
      </c>
      <c r="C1251" s="2" t="s">
        <v>2547</v>
      </c>
      <c r="D1251" s="2">
        <v>2</v>
      </c>
      <c r="E1251" s="2">
        <v>1</v>
      </c>
      <c r="F1251" s="2">
        <v>4</v>
      </c>
      <c r="G1251" s="2">
        <v>3</v>
      </c>
      <c r="H1251" s="2">
        <v>5</v>
      </c>
      <c r="I1251" s="3">
        <v>6</v>
      </c>
      <c r="J1251" s="2">
        <v>0</v>
      </c>
      <c r="K1251" s="2">
        <v>3</v>
      </c>
      <c r="L1251" s="2">
        <v>0</v>
      </c>
      <c r="M1251" s="2">
        <v>17</v>
      </c>
      <c r="N1251" s="2">
        <v>3</v>
      </c>
      <c r="O1251" s="2">
        <v>10</v>
      </c>
      <c r="P1251" s="3">
        <v>2</v>
      </c>
      <c r="Q1251" s="2">
        <v>2</v>
      </c>
      <c r="R1251" s="2">
        <v>2</v>
      </c>
      <c r="S1251" s="2">
        <v>1</v>
      </c>
      <c r="T1251" s="2">
        <v>1</v>
      </c>
      <c r="U1251" s="2">
        <v>1</v>
      </c>
      <c r="V1251" s="1">
        <f t="shared" si="610"/>
        <v>37</v>
      </c>
      <c r="W1251" s="2">
        <v>0</v>
      </c>
      <c r="X1251" s="2">
        <v>0</v>
      </c>
      <c r="Y1251" s="2">
        <v>0</v>
      </c>
      <c r="Z1251" s="2">
        <f t="shared" si="607"/>
        <v>1</v>
      </c>
      <c r="AA1251" s="2">
        <f t="shared" si="608"/>
        <v>38</v>
      </c>
      <c r="AB1251" s="2">
        <v>1930</v>
      </c>
      <c r="AC1251" s="20">
        <f t="shared" si="609"/>
        <v>1.96891191709845</v>
      </c>
      <c r="AD1251" s="2" t="s">
        <v>340</v>
      </c>
      <c r="AE1251" s="2">
        <v>175</v>
      </c>
      <c r="AF1251" s="21">
        <f t="shared" si="601"/>
        <v>2.11517394522576</v>
      </c>
      <c r="AG1251" s="4">
        <f t="shared" si="602"/>
        <v>1.91709844559586</v>
      </c>
      <c r="AH1251" s="4">
        <f t="shared" si="603"/>
        <v>0.0518134715025907</v>
      </c>
      <c r="AI1251" s="2">
        <v>8400</v>
      </c>
      <c r="AJ1251" s="2">
        <v>2891</v>
      </c>
      <c r="AK1251" s="2">
        <v>793</v>
      </c>
      <c r="AL1251" s="2">
        <v>10</v>
      </c>
      <c r="AM1251" s="2">
        <v>18</v>
      </c>
      <c r="AN1251" s="2">
        <v>20</v>
      </c>
      <c r="AO1251" s="2">
        <v>0</v>
      </c>
      <c r="AP1251" s="2">
        <f t="shared" si="604"/>
        <v>11321</v>
      </c>
      <c r="AQ1251" s="2">
        <f t="shared" si="605"/>
        <v>586.580310880829</v>
      </c>
      <c r="AR1251" s="5">
        <f t="shared" si="606"/>
        <v>1102.77098445596</v>
      </c>
    </row>
    <row r="1252" spans="1:44">
      <c r="A1252" s="2">
        <v>20260415</v>
      </c>
      <c r="B1252" s="8" t="s">
        <v>2548</v>
      </c>
      <c r="C1252" s="2" t="s">
        <v>2549</v>
      </c>
      <c r="D1252" s="2">
        <v>3</v>
      </c>
      <c r="E1252" s="2">
        <v>4</v>
      </c>
      <c r="F1252" s="2">
        <v>2</v>
      </c>
      <c r="G1252" s="2">
        <v>3</v>
      </c>
      <c r="H1252" s="2">
        <v>4</v>
      </c>
      <c r="I1252" s="3">
        <v>405</v>
      </c>
      <c r="J1252" s="2">
        <v>4</v>
      </c>
      <c r="K1252" s="2">
        <v>2</v>
      </c>
      <c r="L1252" s="2">
        <v>2</v>
      </c>
      <c r="M1252" s="2">
        <v>8</v>
      </c>
      <c r="N1252" s="2">
        <v>4</v>
      </c>
      <c r="O1252" s="2">
        <v>2</v>
      </c>
      <c r="P1252" s="3">
        <v>4</v>
      </c>
      <c r="Q1252" s="2">
        <v>2</v>
      </c>
      <c r="R1252" s="2">
        <v>7</v>
      </c>
      <c r="S1252" s="2">
        <v>0</v>
      </c>
      <c r="T1252" s="2">
        <v>7</v>
      </c>
      <c r="U1252" s="2">
        <v>0</v>
      </c>
      <c r="V1252" s="1">
        <f t="shared" si="610"/>
        <v>438</v>
      </c>
      <c r="W1252" s="2">
        <v>1</v>
      </c>
      <c r="X1252" s="2">
        <v>0</v>
      </c>
      <c r="Y1252" s="2">
        <v>0</v>
      </c>
      <c r="Z1252" s="2">
        <f t="shared" ref="Z1252:Z1257" si="611">Y1252+X1252+W1252+U1252</f>
        <v>1</v>
      </c>
      <c r="AA1252" s="2">
        <f t="shared" si="608"/>
        <v>439</v>
      </c>
      <c r="AB1252" s="2">
        <v>3397</v>
      </c>
      <c r="AC1252" s="20">
        <f t="shared" si="609"/>
        <v>12.9231675007359</v>
      </c>
      <c r="AD1252" s="2" t="s">
        <v>340</v>
      </c>
      <c r="AE1252" s="2">
        <v>175</v>
      </c>
      <c r="AF1252" s="21">
        <f t="shared" si="601"/>
        <v>13.883174229362</v>
      </c>
      <c r="AG1252" s="4">
        <f t="shared" si="602"/>
        <v>12.8937297615543</v>
      </c>
      <c r="AH1252" s="4">
        <f t="shared" si="603"/>
        <v>0.0294377391816309</v>
      </c>
      <c r="AI1252" s="2">
        <v>16928</v>
      </c>
      <c r="AJ1252" s="2">
        <v>4058</v>
      </c>
      <c r="AK1252" s="2">
        <v>1507</v>
      </c>
      <c r="AL1252" s="2">
        <v>21</v>
      </c>
      <c r="AM1252" s="2">
        <v>35</v>
      </c>
      <c r="AN1252" s="2">
        <v>6</v>
      </c>
      <c r="AO1252" s="2">
        <v>0</v>
      </c>
      <c r="AP1252" s="2">
        <f t="shared" si="604"/>
        <v>21013</v>
      </c>
      <c r="AQ1252" s="2">
        <f t="shared" si="605"/>
        <v>1088.75647668394</v>
      </c>
      <c r="AR1252" s="5">
        <f t="shared" si="606"/>
        <v>2046.8621761658</v>
      </c>
    </row>
    <row r="1253" spans="1:44">
      <c r="A1253" s="2">
        <v>20260415</v>
      </c>
      <c r="B1253" s="8" t="s">
        <v>2550</v>
      </c>
      <c r="C1253" s="2" t="s">
        <v>2551</v>
      </c>
      <c r="D1253" s="2">
        <v>2</v>
      </c>
      <c r="E1253" s="2">
        <v>0</v>
      </c>
      <c r="F1253" s="2">
        <v>7</v>
      </c>
      <c r="G1253" s="2">
        <v>3</v>
      </c>
      <c r="H1253" s="2">
        <v>2</v>
      </c>
      <c r="I1253" s="3">
        <v>13</v>
      </c>
      <c r="J1253" s="2">
        <v>4</v>
      </c>
      <c r="K1253" s="2">
        <v>3</v>
      </c>
      <c r="L1253" s="2">
        <v>1</v>
      </c>
      <c r="M1253" s="2">
        <v>13</v>
      </c>
      <c r="N1253" s="2">
        <v>7</v>
      </c>
      <c r="O1253" s="2">
        <v>10</v>
      </c>
      <c r="P1253" s="3">
        <v>5</v>
      </c>
      <c r="Q1253" s="2">
        <v>5</v>
      </c>
      <c r="R1253" s="2">
        <v>7</v>
      </c>
      <c r="S1253" s="2">
        <v>3</v>
      </c>
      <c r="T1253" s="2">
        <v>5</v>
      </c>
      <c r="U1253" s="2">
        <v>0</v>
      </c>
      <c r="V1253" s="1">
        <f t="shared" si="610"/>
        <v>38</v>
      </c>
      <c r="W1253" s="2">
        <v>1</v>
      </c>
      <c r="X1253" s="2">
        <v>10</v>
      </c>
      <c r="Y1253" s="2">
        <v>0</v>
      </c>
      <c r="Z1253" s="2">
        <f t="shared" si="611"/>
        <v>11</v>
      </c>
      <c r="AA1253" s="2">
        <f t="shared" si="608"/>
        <v>49</v>
      </c>
      <c r="AB1253" s="2">
        <v>3729</v>
      </c>
      <c r="AC1253" s="20">
        <f t="shared" si="609"/>
        <v>1.31402520783052</v>
      </c>
      <c r="AD1253" s="2" t="s">
        <v>340</v>
      </c>
      <c r="AE1253" s="2">
        <v>175</v>
      </c>
      <c r="AF1253" s="21">
        <f t="shared" si="601"/>
        <v>1.41163850898364</v>
      </c>
      <c r="AG1253" s="4">
        <f t="shared" si="602"/>
        <v>1.01903995709305</v>
      </c>
      <c r="AH1253" s="4">
        <f t="shared" si="603"/>
        <v>0.294985250737463</v>
      </c>
      <c r="AI1253" s="2">
        <v>15903</v>
      </c>
      <c r="AJ1253" s="2">
        <v>4200</v>
      </c>
      <c r="AK1253" s="2">
        <v>1534</v>
      </c>
      <c r="AL1253" s="2">
        <v>5</v>
      </c>
      <c r="AM1253" s="2">
        <v>18</v>
      </c>
      <c r="AN1253" s="2">
        <v>12</v>
      </c>
      <c r="AO1253" s="2">
        <v>0</v>
      </c>
      <c r="AP1253" s="2">
        <f t="shared" si="604"/>
        <v>20120</v>
      </c>
      <c r="AQ1253" s="2">
        <f t="shared" si="605"/>
        <v>592.287312334413</v>
      </c>
      <c r="AR1253" s="5">
        <f t="shared" si="606"/>
        <v>1113.5001471887</v>
      </c>
    </row>
    <row r="1254" spans="1:44">
      <c r="A1254" s="2">
        <v>20260416</v>
      </c>
      <c r="B1254" s="8" t="s">
        <v>2552</v>
      </c>
      <c r="C1254" s="2" t="s">
        <v>2553</v>
      </c>
      <c r="D1254" s="2">
        <v>3</v>
      </c>
      <c r="E1254" s="2">
        <v>1</v>
      </c>
      <c r="F1254" s="2">
        <v>3</v>
      </c>
      <c r="G1254" s="2">
        <v>5</v>
      </c>
      <c r="H1254" s="2">
        <v>2</v>
      </c>
      <c r="I1254" s="3">
        <v>2</v>
      </c>
      <c r="J1254" s="2">
        <v>3</v>
      </c>
      <c r="K1254" s="2">
        <v>2</v>
      </c>
      <c r="L1254" s="2">
        <v>0</v>
      </c>
      <c r="M1254" s="2">
        <v>4</v>
      </c>
      <c r="N1254" s="2">
        <v>1</v>
      </c>
      <c r="O1254" s="2">
        <v>10</v>
      </c>
      <c r="P1254" s="3">
        <v>3</v>
      </c>
      <c r="Q1254" s="2">
        <v>7</v>
      </c>
      <c r="R1254" s="2">
        <v>9</v>
      </c>
      <c r="S1254" s="2">
        <v>0</v>
      </c>
      <c r="T1254" s="2">
        <v>0</v>
      </c>
      <c r="U1254" s="2">
        <v>1</v>
      </c>
      <c r="V1254" s="1">
        <f t="shared" si="610"/>
        <v>19</v>
      </c>
      <c r="W1254" s="2">
        <v>0</v>
      </c>
      <c r="X1254" s="2">
        <v>2</v>
      </c>
      <c r="Y1254" s="2">
        <v>0</v>
      </c>
      <c r="Z1254" s="2">
        <f t="shared" si="611"/>
        <v>3</v>
      </c>
      <c r="AA1254" s="2">
        <f t="shared" si="608"/>
        <v>22</v>
      </c>
      <c r="AB1254" s="2">
        <v>3829</v>
      </c>
      <c r="AC1254" s="20">
        <f t="shared" si="609"/>
        <v>0.574562548968399</v>
      </c>
      <c r="AD1254" s="2" t="s">
        <v>340</v>
      </c>
      <c r="AE1254" s="2">
        <v>175</v>
      </c>
      <c r="AF1254" s="21">
        <f t="shared" si="601"/>
        <v>0.617244338320337</v>
      </c>
      <c r="AG1254" s="4">
        <f t="shared" si="602"/>
        <v>0.496213110472708</v>
      </c>
      <c r="AH1254" s="4">
        <f t="shared" si="603"/>
        <v>0.0783494384956908</v>
      </c>
      <c r="AI1254" s="2">
        <v>15495</v>
      </c>
      <c r="AJ1254" s="2">
        <v>4766</v>
      </c>
      <c r="AK1254" s="2">
        <v>1590</v>
      </c>
      <c r="AL1254" s="2">
        <v>34</v>
      </c>
      <c r="AM1254" s="2">
        <v>34</v>
      </c>
      <c r="AN1254" s="2">
        <v>3</v>
      </c>
      <c r="AO1254" s="2">
        <v>0</v>
      </c>
      <c r="AP1254" s="2">
        <f t="shared" si="604"/>
        <v>20298</v>
      </c>
      <c r="AQ1254" s="2">
        <f t="shared" si="605"/>
        <v>544.328238133548</v>
      </c>
      <c r="AR1254" s="5">
        <f t="shared" si="606"/>
        <v>1023.33708769107</v>
      </c>
    </row>
    <row r="1255" spans="1:44">
      <c r="A1255" s="2">
        <v>20260416</v>
      </c>
      <c r="B1255" s="8" t="s">
        <v>2554</v>
      </c>
      <c r="C1255" s="2" t="s">
        <v>2555</v>
      </c>
      <c r="D1255" s="2">
        <v>6</v>
      </c>
      <c r="E1255" s="2">
        <v>5</v>
      </c>
      <c r="F1255" s="2">
        <v>9</v>
      </c>
      <c r="G1255" s="2">
        <v>4</v>
      </c>
      <c r="H1255" s="2">
        <v>3</v>
      </c>
      <c r="I1255" s="3">
        <v>9</v>
      </c>
      <c r="J1255" s="2">
        <v>5</v>
      </c>
      <c r="K1255" s="2">
        <v>1</v>
      </c>
      <c r="L1255" s="2">
        <v>2</v>
      </c>
      <c r="M1255" s="2">
        <v>10</v>
      </c>
      <c r="N1255" s="2">
        <v>6</v>
      </c>
      <c r="O1255" s="2">
        <v>21</v>
      </c>
      <c r="P1255" s="3">
        <v>2</v>
      </c>
      <c r="Q1255" s="2">
        <v>7</v>
      </c>
      <c r="R1255" s="2">
        <v>12</v>
      </c>
      <c r="S1255" s="2">
        <v>0</v>
      </c>
      <c r="T1255" s="2">
        <v>3</v>
      </c>
      <c r="U1255" s="2">
        <v>0</v>
      </c>
      <c r="V1255" s="1">
        <f t="shared" si="610"/>
        <v>33</v>
      </c>
      <c r="W1255" s="2">
        <v>2</v>
      </c>
      <c r="X1255" s="2">
        <v>4</v>
      </c>
      <c r="Y1255" s="2">
        <v>0</v>
      </c>
      <c r="Z1255" s="2">
        <f t="shared" si="611"/>
        <v>6</v>
      </c>
      <c r="AA1255" s="2">
        <f t="shared" si="608"/>
        <v>39</v>
      </c>
      <c r="AB1255" s="2">
        <v>3729</v>
      </c>
      <c r="AC1255" s="20">
        <f t="shared" si="609"/>
        <v>1.04585679806919</v>
      </c>
      <c r="AD1255" s="2" t="s">
        <v>340</v>
      </c>
      <c r="AE1255" s="2">
        <v>175</v>
      </c>
      <c r="AF1255" s="21">
        <f t="shared" si="601"/>
        <v>1.12354901735433</v>
      </c>
      <c r="AG1255" s="4">
        <f t="shared" si="602"/>
        <v>0.884955752212389</v>
      </c>
      <c r="AH1255" s="4">
        <f t="shared" si="603"/>
        <v>0.160901045856798</v>
      </c>
      <c r="AI1255" s="2">
        <v>14781</v>
      </c>
      <c r="AJ1255" s="2">
        <v>3418</v>
      </c>
      <c r="AK1255" s="2">
        <v>1638</v>
      </c>
      <c r="AL1255" s="2">
        <v>9</v>
      </c>
      <c r="AM1255" s="2">
        <v>38</v>
      </c>
      <c r="AN1255" s="2">
        <v>12</v>
      </c>
      <c r="AO1255" s="2">
        <v>0</v>
      </c>
      <c r="AP1255" s="2">
        <f t="shared" si="604"/>
        <v>18220</v>
      </c>
      <c r="AQ1255" s="2">
        <f t="shared" si="605"/>
        <v>475.842256463829</v>
      </c>
      <c r="AR1255" s="5">
        <f t="shared" si="606"/>
        <v>894.583442151998</v>
      </c>
    </row>
    <row r="1256" spans="1:44">
      <c r="A1256" s="2">
        <v>20260416</v>
      </c>
      <c r="B1256" s="8" t="s">
        <v>2556</v>
      </c>
      <c r="C1256" s="2" t="s">
        <v>2557</v>
      </c>
      <c r="D1256" s="2">
        <v>2</v>
      </c>
      <c r="E1256" s="2">
        <v>2</v>
      </c>
      <c r="F1256" s="2">
        <v>3</v>
      </c>
      <c r="G1256" s="2">
        <v>1</v>
      </c>
      <c r="H1256" s="2">
        <v>0</v>
      </c>
      <c r="I1256" s="3">
        <v>2</v>
      </c>
      <c r="J1256" s="2">
        <v>7</v>
      </c>
      <c r="K1256" s="2">
        <v>0</v>
      </c>
      <c r="L1256" s="2">
        <v>0</v>
      </c>
      <c r="M1256" s="2">
        <v>8</v>
      </c>
      <c r="N1256" s="2">
        <v>14</v>
      </c>
      <c r="O1256" s="2">
        <v>7</v>
      </c>
      <c r="P1256" s="3">
        <v>0</v>
      </c>
      <c r="Q1256" s="2">
        <v>2</v>
      </c>
      <c r="R1256" s="2">
        <v>4</v>
      </c>
      <c r="S1256" s="2">
        <v>1</v>
      </c>
      <c r="T1256" s="2">
        <v>1</v>
      </c>
      <c r="U1256" s="2">
        <v>0</v>
      </c>
      <c r="V1256" s="1">
        <f t="shared" si="610"/>
        <v>17</v>
      </c>
      <c r="W1256" s="2">
        <v>1</v>
      </c>
      <c r="X1256" s="2">
        <v>1</v>
      </c>
      <c r="Y1256" s="2">
        <v>0</v>
      </c>
      <c r="Z1256" s="2">
        <f t="shared" si="611"/>
        <v>2</v>
      </c>
      <c r="AA1256" s="2">
        <f t="shared" si="608"/>
        <v>19</v>
      </c>
      <c r="AB1256" s="2">
        <v>3729</v>
      </c>
      <c r="AC1256" s="20">
        <f t="shared" si="609"/>
        <v>0.509519978546527</v>
      </c>
      <c r="AD1256" s="2" t="s">
        <v>340</v>
      </c>
      <c r="AE1256" s="2">
        <v>175</v>
      </c>
      <c r="AF1256" s="21">
        <f t="shared" si="601"/>
        <v>0.547370034095698</v>
      </c>
      <c r="AG1256" s="4">
        <f t="shared" si="602"/>
        <v>0.455886296594261</v>
      </c>
      <c r="AH1256" s="4">
        <f t="shared" si="603"/>
        <v>0.053633681952266</v>
      </c>
      <c r="AI1256" s="2">
        <v>14607</v>
      </c>
      <c r="AJ1256" s="2">
        <v>3637</v>
      </c>
      <c r="AK1256" s="2">
        <v>1466</v>
      </c>
      <c r="AL1256" s="2">
        <v>8</v>
      </c>
      <c r="AM1256" s="2">
        <v>20</v>
      </c>
      <c r="AN1256" s="2">
        <v>5</v>
      </c>
      <c r="AO1256" s="2">
        <v>0</v>
      </c>
      <c r="AP1256" s="2">
        <f t="shared" si="604"/>
        <v>18257</v>
      </c>
      <c r="AQ1256" s="2">
        <f t="shared" si="605"/>
        <v>489.59506570126</v>
      </c>
      <c r="AR1256" s="5">
        <f t="shared" si="606"/>
        <v>920.43872351837</v>
      </c>
    </row>
    <row r="1257" spans="1:44">
      <c r="A1257" s="2">
        <v>20260416</v>
      </c>
      <c r="B1257" s="8" t="s">
        <v>2558</v>
      </c>
      <c r="C1257" s="2" t="s">
        <v>2559</v>
      </c>
      <c r="D1257" s="2">
        <v>0</v>
      </c>
      <c r="E1257" s="2">
        <v>0</v>
      </c>
      <c r="F1257" s="2">
        <v>1</v>
      </c>
      <c r="G1257" s="2">
        <v>2</v>
      </c>
      <c r="H1257" s="2">
        <v>3</v>
      </c>
      <c r="I1257" s="3">
        <v>6</v>
      </c>
      <c r="J1257" s="2">
        <v>1</v>
      </c>
      <c r="K1257" s="2">
        <v>0</v>
      </c>
      <c r="L1257" s="2">
        <v>0</v>
      </c>
      <c r="M1257" s="2">
        <v>6</v>
      </c>
      <c r="N1257" s="2">
        <v>3</v>
      </c>
      <c r="O1257" s="2">
        <v>4</v>
      </c>
      <c r="P1257" s="3">
        <v>2</v>
      </c>
      <c r="Q1257" s="2">
        <v>4</v>
      </c>
      <c r="R1257" s="2">
        <v>1</v>
      </c>
      <c r="S1257" s="2">
        <v>1</v>
      </c>
      <c r="T1257" s="2">
        <v>0</v>
      </c>
      <c r="U1257" s="2">
        <v>0</v>
      </c>
      <c r="V1257" s="1">
        <f t="shared" si="610"/>
        <v>12</v>
      </c>
      <c r="W1257" s="2">
        <v>4</v>
      </c>
      <c r="X1257" s="2">
        <v>4</v>
      </c>
      <c r="Y1257" s="2">
        <v>0</v>
      </c>
      <c r="Z1257" s="2">
        <f t="shared" si="611"/>
        <v>8</v>
      </c>
      <c r="AA1257" s="2">
        <f t="shared" si="608"/>
        <v>20</v>
      </c>
      <c r="AB1257" s="2">
        <v>1879</v>
      </c>
      <c r="AC1257" s="20">
        <f t="shared" si="609"/>
        <v>1.06439595529537</v>
      </c>
      <c r="AD1257" s="2" t="s">
        <v>340</v>
      </c>
      <c r="AE1257" s="2">
        <v>175</v>
      </c>
      <c r="AF1257" s="21">
        <f t="shared" ref="AF1257:AF1268" si="612">188/AE1257*AC1257</f>
        <v>1.14346536911731</v>
      </c>
      <c r="AG1257" s="4">
        <f t="shared" ref="AG1257:AG1266" si="613">V1257/AB1257*100</f>
        <v>0.638637573177222</v>
      </c>
      <c r="AH1257" s="4">
        <f t="shared" si="603"/>
        <v>0.425758382118148</v>
      </c>
      <c r="AI1257" s="2">
        <v>7216</v>
      </c>
      <c r="AJ1257" s="2">
        <v>2129</v>
      </c>
      <c r="AK1257" s="2">
        <v>867</v>
      </c>
      <c r="AL1257" s="2">
        <v>1</v>
      </c>
      <c r="AM1257" s="2">
        <v>9</v>
      </c>
      <c r="AN1257" s="2">
        <v>7</v>
      </c>
      <c r="AO1257" s="2">
        <v>0</v>
      </c>
      <c r="AP1257" s="2">
        <f t="shared" si="604"/>
        <v>9353</v>
      </c>
      <c r="AQ1257" s="2">
        <f t="shared" si="605"/>
        <v>250.817913649772</v>
      </c>
      <c r="AR1257" s="5">
        <f t="shared" si="606"/>
        <v>471.537677661571</v>
      </c>
    </row>
    <row r="1258" spans="1:44">
      <c r="A1258" s="2">
        <v>20260416</v>
      </c>
      <c r="B1258" s="8" t="s">
        <v>2560</v>
      </c>
      <c r="C1258" s="2" t="s">
        <v>2561</v>
      </c>
      <c r="D1258" s="2">
        <v>1</v>
      </c>
      <c r="E1258" s="2">
        <v>0</v>
      </c>
      <c r="F1258" s="2">
        <v>1</v>
      </c>
      <c r="G1258" s="2">
        <v>2</v>
      </c>
      <c r="H1258" s="2">
        <v>1</v>
      </c>
      <c r="I1258" s="3">
        <v>11</v>
      </c>
      <c r="J1258" s="2">
        <v>2</v>
      </c>
      <c r="K1258" s="2">
        <v>1</v>
      </c>
      <c r="L1258" s="2">
        <v>0</v>
      </c>
      <c r="M1258" s="2">
        <v>0</v>
      </c>
      <c r="N1258" s="2">
        <v>0</v>
      </c>
      <c r="O1258" s="2">
        <v>8</v>
      </c>
      <c r="P1258" s="3">
        <v>1</v>
      </c>
      <c r="Q1258" s="2">
        <v>2</v>
      </c>
      <c r="R1258" s="2">
        <v>2</v>
      </c>
      <c r="S1258" s="2">
        <v>1</v>
      </c>
      <c r="T1258" s="2">
        <v>0</v>
      </c>
      <c r="U1258" s="2">
        <v>0</v>
      </c>
      <c r="V1258" s="1">
        <f t="shared" si="610"/>
        <v>3</v>
      </c>
      <c r="W1258" s="2">
        <v>4</v>
      </c>
      <c r="X1258" s="2">
        <v>11</v>
      </c>
      <c r="Y1258" s="2">
        <v>0</v>
      </c>
      <c r="Z1258" s="2">
        <v>0</v>
      </c>
      <c r="AA1258" s="2">
        <f t="shared" ref="AA1258:AA1263" si="614">G1258+H1258+I1258+J1258+K1258+L1258+M1258+P1258+T1258+U1258</f>
        <v>18</v>
      </c>
      <c r="AB1258" s="2">
        <v>1418</v>
      </c>
      <c r="AC1258" s="20">
        <f t="shared" ref="AC1258:AC1263" si="615">AA1258/AB1258*100</f>
        <v>1.26939351198872</v>
      </c>
      <c r="AD1258" s="2" t="s">
        <v>676</v>
      </c>
      <c r="AE1258" s="2">
        <v>188</v>
      </c>
      <c r="AF1258" s="21">
        <f t="shared" si="612"/>
        <v>1.26939351198872</v>
      </c>
      <c r="AG1258" s="4">
        <f t="shared" si="613"/>
        <v>0.211565585331453</v>
      </c>
      <c r="AH1258" s="4">
        <f t="shared" si="603"/>
        <v>0</v>
      </c>
      <c r="AI1258" s="2">
        <v>991</v>
      </c>
      <c r="AJ1258" s="2">
        <v>62</v>
      </c>
      <c r="AK1258" s="2">
        <v>589</v>
      </c>
      <c r="AL1258" s="2">
        <v>21</v>
      </c>
      <c r="AM1258" s="2">
        <v>7</v>
      </c>
      <c r="AN1258" s="2">
        <v>4</v>
      </c>
      <c r="AO1258" s="2">
        <v>0</v>
      </c>
      <c r="AP1258" s="2">
        <f t="shared" si="604"/>
        <v>1078</v>
      </c>
      <c r="AQ1258" s="2">
        <f t="shared" si="605"/>
        <v>57.3709419904204</v>
      </c>
      <c r="AR1258" s="5">
        <f t="shared" si="606"/>
        <v>107.85737094199</v>
      </c>
    </row>
    <row r="1259" spans="1:44">
      <c r="A1259" s="2">
        <v>20260416</v>
      </c>
      <c r="B1259" s="8" t="s">
        <v>2562</v>
      </c>
      <c r="C1259" s="2" t="s">
        <v>2563</v>
      </c>
      <c r="D1259" s="2">
        <v>1</v>
      </c>
      <c r="E1259" s="2">
        <v>0</v>
      </c>
      <c r="F1259" s="2">
        <v>8</v>
      </c>
      <c r="G1259" s="2">
        <v>0</v>
      </c>
      <c r="H1259" s="2">
        <v>5</v>
      </c>
      <c r="I1259" s="3">
        <v>7</v>
      </c>
      <c r="J1259" s="2">
        <v>8</v>
      </c>
      <c r="K1259" s="2">
        <v>11</v>
      </c>
      <c r="L1259" s="2">
        <v>3</v>
      </c>
      <c r="M1259" s="2">
        <v>16</v>
      </c>
      <c r="N1259" s="2">
        <v>2</v>
      </c>
      <c r="O1259" s="2">
        <v>1</v>
      </c>
      <c r="P1259" s="3">
        <v>3</v>
      </c>
      <c r="Q1259" s="2">
        <v>5</v>
      </c>
      <c r="R1259" s="2">
        <v>1</v>
      </c>
      <c r="S1259" s="2">
        <v>1</v>
      </c>
      <c r="T1259" s="2">
        <v>2</v>
      </c>
      <c r="U1259" s="2">
        <v>0</v>
      </c>
      <c r="V1259" s="1">
        <f t="shared" si="610"/>
        <v>48</v>
      </c>
      <c r="W1259" s="2">
        <v>5</v>
      </c>
      <c r="X1259" s="2">
        <v>2</v>
      </c>
      <c r="Y1259" s="2">
        <v>0</v>
      </c>
      <c r="Z1259" s="2">
        <v>1</v>
      </c>
      <c r="AA1259" s="2">
        <f t="shared" si="614"/>
        <v>55</v>
      </c>
      <c r="AB1259" s="2">
        <v>2804</v>
      </c>
      <c r="AC1259" s="20">
        <f t="shared" si="615"/>
        <v>1.96148359486448</v>
      </c>
      <c r="AD1259" s="2" t="s">
        <v>676</v>
      </c>
      <c r="AE1259" s="2">
        <v>188</v>
      </c>
      <c r="AF1259" s="21">
        <f t="shared" si="612"/>
        <v>1.96148359486448</v>
      </c>
      <c r="AG1259" s="4">
        <f t="shared" si="613"/>
        <v>1.71184022824536</v>
      </c>
      <c r="AH1259" s="4">
        <f t="shared" si="603"/>
        <v>0.0356633380884451</v>
      </c>
      <c r="AI1259" s="2">
        <v>2368</v>
      </c>
      <c r="AJ1259" s="2">
        <v>67</v>
      </c>
      <c r="AK1259" s="2">
        <v>1043</v>
      </c>
      <c r="AL1259" s="2">
        <v>21</v>
      </c>
      <c r="AM1259" s="2">
        <v>32</v>
      </c>
      <c r="AN1259" s="2">
        <v>1</v>
      </c>
      <c r="AO1259" s="2">
        <v>0</v>
      </c>
      <c r="AP1259" s="2">
        <f t="shared" si="604"/>
        <v>2457</v>
      </c>
      <c r="AQ1259" s="2">
        <f t="shared" si="605"/>
        <v>173.27221438646</v>
      </c>
      <c r="AR1259" s="5">
        <f t="shared" si="606"/>
        <v>325.751763046544</v>
      </c>
    </row>
    <row r="1260" spans="1:44">
      <c r="A1260" s="2">
        <v>20260416</v>
      </c>
      <c r="B1260" s="8" t="s">
        <v>2564</v>
      </c>
      <c r="C1260" s="2" t="s">
        <v>2565</v>
      </c>
      <c r="D1260" s="2">
        <v>1</v>
      </c>
      <c r="E1260" s="2">
        <v>22</v>
      </c>
      <c r="F1260" s="2">
        <v>3</v>
      </c>
      <c r="G1260" s="2">
        <v>0</v>
      </c>
      <c r="H1260" s="2">
        <v>7</v>
      </c>
      <c r="I1260" s="3">
        <v>14</v>
      </c>
      <c r="J1260" s="2">
        <v>13</v>
      </c>
      <c r="K1260" s="2">
        <v>1</v>
      </c>
      <c r="L1260" s="2">
        <v>0</v>
      </c>
      <c r="M1260" s="2">
        <v>3</v>
      </c>
      <c r="N1260" s="2">
        <v>2</v>
      </c>
      <c r="O1260" s="2">
        <v>11</v>
      </c>
      <c r="P1260" s="3">
        <v>2</v>
      </c>
      <c r="Q1260" s="2">
        <v>1</v>
      </c>
      <c r="R1260" s="2">
        <v>37</v>
      </c>
      <c r="S1260" s="2">
        <v>2</v>
      </c>
      <c r="T1260" s="2">
        <v>0</v>
      </c>
      <c r="U1260" s="2">
        <v>0</v>
      </c>
      <c r="V1260" s="1">
        <f t="shared" si="610"/>
        <v>25</v>
      </c>
      <c r="W1260" s="2">
        <v>5</v>
      </c>
      <c r="X1260" s="2">
        <v>10</v>
      </c>
      <c r="Y1260" s="2">
        <v>0</v>
      </c>
      <c r="Z1260" s="2">
        <v>2</v>
      </c>
      <c r="AA1260" s="2">
        <f t="shared" si="614"/>
        <v>40</v>
      </c>
      <c r="AB1260" s="2">
        <v>3104</v>
      </c>
      <c r="AC1260" s="20">
        <f t="shared" si="615"/>
        <v>1.28865979381443</v>
      </c>
      <c r="AD1260" s="2" t="s">
        <v>676</v>
      </c>
      <c r="AE1260" s="2">
        <v>188</v>
      </c>
      <c r="AF1260" s="21">
        <f t="shared" si="612"/>
        <v>1.28865979381443</v>
      </c>
      <c r="AG1260" s="4">
        <f t="shared" si="613"/>
        <v>0.805412371134021</v>
      </c>
      <c r="AH1260" s="4">
        <f t="shared" si="603"/>
        <v>0.0644329896907216</v>
      </c>
      <c r="AI1260" s="2">
        <v>2505</v>
      </c>
      <c r="AJ1260" s="2">
        <v>104</v>
      </c>
      <c r="AK1260" s="2">
        <v>738</v>
      </c>
      <c r="AL1260" s="2">
        <v>21</v>
      </c>
      <c r="AM1260" s="2">
        <v>32</v>
      </c>
      <c r="AN1260" s="2">
        <v>2</v>
      </c>
      <c r="AO1260" s="2">
        <v>0</v>
      </c>
      <c r="AP1260" s="2">
        <f t="shared" si="604"/>
        <v>2632</v>
      </c>
      <c r="AQ1260" s="2">
        <f t="shared" si="605"/>
        <v>93.8659058487874</v>
      </c>
      <c r="AR1260" s="5">
        <f t="shared" si="606"/>
        <v>176.46790299572</v>
      </c>
    </row>
    <row r="1261" spans="1:44">
      <c r="A1261" s="2">
        <v>20260416</v>
      </c>
      <c r="B1261" s="8" t="s">
        <v>2566</v>
      </c>
      <c r="C1261" s="2" t="s">
        <v>2567</v>
      </c>
      <c r="D1261" s="2">
        <v>1</v>
      </c>
      <c r="E1261" s="2">
        <v>1</v>
      </c>
      <c r="F1261" s="2">
        <v>1</v>
      </c>
      <c r="G1261" s="2">
        <v>1</v>
      </c>
      <c r="H1261" s="2">
        <v>3</v>
      </c>
      <c r="I1261" s="3">
        <v>1</v>
      </c>
      <c r="J1261" s="2">
        <v>1</v>
      </c>
      <c r="K1261" s="2">
        <v>0</v>
      </c>
      <c r="L1261" s="2">
        <v>0</v>
      </c>
      <c r="M1261" s="2">
        <v>2</v>
      </c>
      <c r="N1261" s="2">
        <v>4</v>
      </c>
      <c r="O1261" s="2">
        <v>2</v>
      </c>
      <c r="P1261" s="3">
        <v>1</v>
      </c>
      <c r="Q1261" s="2">
        <v>0</v>
      </c>
      <c r="R1261" s="2">
        <v>2</v>
      </c>
      <c r="S1261" s="2">
        <v>1</v>
      </c>
      <c r="T1261" s="2">
        <v>1</v>
      </c>
      <c r="U1261" s="2">
        <v>2</v>
      </c>
      <c r="V1261" s="1">
        <f t="shared" si="610"/>
        <v>6</v>
      </c>
      <c r="W1261" s="2">
        <v>3</v>
      </c>
      <c r="X1261" s="2">
        <v>1</v>
      </c>
      <c r="Y1261" s="2">
        <v>0</v>
      </c>
      <c r="Z1261" s="2">
        <v>3</v>
      </c>
      <c r="AA1261" s="2">
        <f t="shared" si="614"/>
        <v>12</v>
      </c>
      <c r="AB1261" s="2">
        <v>1406</v>
      </c>
      <c r="AC1261" s="20">
        <f t="shared" si="615"/>
        <v>0.85348506401138</v>
      </c>
      <c r="AD1261" s="2" t="s">
        <v>676</v>
      </c>
      <c r="AE1261" s="2">
        <v>188</v>
      </c>
      <c r="AF1261" s="21">
        <f t="shared" si="612"/>
        <v>0.85348506401138</v>
      </c>
      <c r="AG1261" s="4">
        <f t="shared" si="613"/>
        <v>0.42674253200569</v>
      </c>
      <c r="AH1261" s="4">
        <f t="shared" si="603"/>
        <v>0.213371266002845</v>
      </c>
      <c r="AI1261" s="2">
        <v>1295</v>
      </c>
      <c r="AJ1261" s="2">
        <v>36</v>
      </c>
      <c r="AK1261" s="2">
        <v>302</v>
      </c>
      <c r="AL1261" s="2">
        <v>6</v>
      </c>
      <c r="AM1261" s="2">
        <v>11</v>
      </c>
      <c r="AN1261" s="2">
        <v>0</v>
      </c>
      <c r="AO1261" s="2">
        <v>0</v>
      </c>
      <c r="AP1261" s="2">
        <f t="shared" si="604"/>
        <v>1337</v>
      </c>
      <c r="AQ1261" s="2">
        <f t="shared" si="605"/>
        <v>43.0734536082474</v>
      </c>
      <c r="AR1261" s="5">
        <f t="shared" si="606"/>
        <v>80.9780927835052</v>
      </c>
    </row>
    <row r="1262" spans="1:44">
      <c r="A1262" s="2">
        <v>20260416</v>
      </c>
      <c r="B1262" s="8" t="s">
        <v>2568</v>
      </c>
      <c r="C1262" s="2" t="s">
        <v>2569</v>
      </c>
      <c r="D1262" s="2">
        <v>0</v>
      </c>
      <c r="E1262" s="2">
        <v>0</v>
      </c>
      <c r="F1262" s="2">
        <v>2</v>
      </c>
      <c r="G1262" s="2">
        <v>0</v>
      </c>
      <c r="H1262" s="2">
        <v>24</v>
      </c>
      <c r="I1262" s="3">
        <v>4</v>
      </c>
      <c r="J1262" s="2">
        <v>2</v>
      </c>
      <c r="K1262" s="2">
        <v>0</v>
      </c>
      <c r="L1262" s="2">
        <v>31</v>
      </c>
      <c r="M1262" s="2">
        <v>5</v>
      </c>
      <c r="N1262" s="2">
        <v>2</v>
      </c>
      <c r="O1262" s="2">
        <v>11</v>
      </c>
      <c r="P1262" s="3">
        <v>5</v>
      </c>
      <c r="Q1262" s="2">
        <v>3</v>
      </c>
      <c r="R1262" s="2">
        <v>0</v>
      </c>
      <c r="S1262" s="2">
        <v>0</v>
      </c>
      <c r="T1262" s="2">
        <v>0</v>
      </c>
      <c r="U1262" s="2">
        <v>0</v>
      </c>
      <c r="V1262" s="1">
        <f t="shared" si="610"/>
        <v>53</v>
      </c>
      <c r="W1262" s="2">
        <v>0</v>
      </c>
      <c r="X1262" s="2">
        <v>18</v>
      </c>
      <c r="Y1262" s="2">
        <v>0</v>
      </c>
      <c r="Z1262" s="2">
        <v>4</v>
      </c>
      <c r="AA1262" s="2">
        <f t="shared" si="614"/>
        <v>71</v>
      </c>
      <c r="AB1262" s="2">
        <v>1266</v>
      </c>
      <c r="AC1262" s="20">
        <f t="shared" si="615"/>
        <v>5.60821484992101</v>
      </c>
      <c r="AD1262" s="2" t="s">
        <v>1861</v>
      </c>
      <c r="AE1262" s="2">
        <v>188</v>
      </c>
      <c r="AF1262" s="21">
        <f t="shared" si="612"/>
        <v>5.60821484992101</v>
      </c>
      <c r="AG1262" s="4">
        <f t="shared" si="613"/>
        <v>4.18641390205371</v>
      </c>
      <c r="AH1262" s="4">
        <f t="shared" si="603"/>
        <v>0.315955766192733</v>
      </c>
      <c r="AI1262" s="2">
        <v>363</v>
      </c>
      <c r="AJ1262" s="2">
        <v>1</v>
      </c>
      <c r="AK1262" s="2">
        <v>120</v>
      </c>
      <c r="AL1262" s="2">
        <v>291</v>
      </c>
      <c r="AM1262" s="2">
        <v>1</v>
      </c>
      <c r="AN1262" s="2">
        <v>0</v>
      </c>
      <c r="AO1262" s="2">
        <v>0</v>
      </c>
      <c r="AP1262" s="2">
        <f t="shared" ref="AP1262:AP1271" si="616">AI1262+AJ1262+AL1262+AN1262</f>
        <v>655</v>
      </c>
      <c r="AQ1262" s="2">
        <f t="shared" ref="AQ1262:AQ1271" si="617">AP1262/AB1261*100</f>
        <v>46.5860597439545</v>
      </c>
      <c r="AR1262" s="5">
        <f t="shared" ref="AR1262:AR1271" si="618">AQ1262*1.88</f>
        <v>87.5817923186344</v>
      </c>
    </row>
    <row r="1263" spans="1:44">
      <c r="A1263" s="2">
        <v>20260416</v>
      </c>
      <c r="B1263" s="8" t="s">
        <v>2570</v>
      </c>
      <c r="C1263" s="2" t="s">
        <v>2571</v>
      </c>
      <c r="D1263" s="2">
        <v>0</v>
      </c>
      <c r="E1263" s="2">
        <v>1</v>
      </c>
      <c r="F1263" s="2">
        <v>14</v>
      </c>
      <c r="G1263" s="2">
        <v>4</v>
      </c>
      <c r="H1263" s="2">
        <v>8</v>
      </c>
      <c r="I1263" s="3">
        <v>16</v>
      </c>
      <c r="J1263" s="2">
        <v>2</v>
      </c>
      <c r="K1263" s="2">
        <v>8</v>
      </c>
      <c r="L1263" s="2">
        <v>1</v>
      </c>
      <c r="M1263" s="2">
        <v>50</v>
      </c>
      <c r="N1263" s="2">
        <v>4</v>
      </c>
      <c r="O1263" s="2">
        <v>3</v>
      </c>
      <c r="P1263" s="3">
        <v>16</v>
      </c>
      <c r="Q1263" s="2">
        <v>6</v>
      </c>
      <c r="R1263" s="2">
        <v>1</v>
      </c>
      <c r="S1263" s="2">
        <v>1</v>
      </c>
      <c r="T1263" s="2">
        <v>1</v>
      </c>
      <c r="U1263" s="2">
        <v>2</v>
      </c>
      <c r="V1263" s="1">
        <f t="shared" si="610"/>
        <v>102</v>
      </c>
      <c r="W1263" s="2">
        <v>1</v>
      </c>
      <c r="X1263" s="2">
        <v>3</v>
      </c>
      <c r="Y1263" s="2">
        <v>0</v>
      </c>
      <c r="Z1263" s="2">
        <v>5</v>
      </c>
      <c r="AA1263" s="2">
        <f t="shared" si="614"/>
        <v>108</v>
      </c>
      <c r="AB1263" s="2">
        <v>1586</v>
      </c>
      <c r="AC1263" s="20">
        <f t="shared" si="615"/>
        <v>6.80958385876419</v>
      </c>
      <c r="AD1263" s="2" t="s">
        <v>1861</v>
      </c>
      <c r="AE1263" s="2">
        <v>188</v>
      </c>
      <c r="AF1263" s="21">
        <f t="shared" si="612"/>
        <v>6.80958385876419</v>
      </c>
      <c r="AG1263" s="4">
        <f t="shared" si="613"/>
        <v>6.4312736443884</v>
      </c>
      <c r="AH1263" s="4">
        <f t="shared" si="603"/>
        <v>0.315258511979823</v>
      </c>
      <c r="AI1263" s="4">
        <v>5270</v>
      </c>
      <c r="AJ1263" s="2">
        <v>230</v>
      </c>
      <c r="AK1263" s="2">
        <v>0</v>
      </c>
      <c r="AL1263" s="2">
        <v>169</v>
      </c>
      <c r="AM1263" s="2">
        <v>362</v>
      </c>
      <c r="AN1263" s="2">
        <v>4</v>
      </c>
      <c r="AO1263" s="2">
        <v>0</v>
      </c>
      <c r="AP1263" s="2">
        <f>AJ1263+AK1263+AM1263+AO1263</f>
        <v>592</v>
      </c>
      <c r="AQ1263" s="2">
        <f t="shared" si="617"/>
        <v>46.7614533965245</v>
      </c>
      <c r="AR1263" s="5">
        <f t="shared" si="618"/>
        <v>87.911532385466</v>
      </c>
    </row>
    <row r="1264" spans="1:44">
      <c r="A1264" s="2">
        <v>20260416</v>
      </c>
      <c r="B1264" s="2" t="s">
        <v>2572</v>
      </c>
      <c r="C1264" s="2" t="s">
        <v>2573</v>
      </c>
      <c r="D1264" s="2">
        <v>0</v>
      </c>
      <c r="E1264" s="2">
        <v>7</v>
      </c>
      <c r="F1264" s="2">
        <v>7</v>
      </c>
      <c r="G1264" s="2">
        <v>2</v>
      </c>
      <c r="H1264" s="2">
        <v>1</v>
      </c>
      <c r="I1264" s="3">
        <v>11</v>
      </c>
      <c r="J1264" s="2">
        <v>1</v>
      </c>
      <c r="K1264" s="2">
        <v>2</v>
      </c>
      <c r="L1264" s="2">
        <v>5</v>
      </c>
      <c r="M1264" s="2">
        <v>10</v>
      </c>
      <c r="N1264" s="2">
        <v>3</v>
      </c>
      <c r="O1264" s="2">
        <v>1</v>
      </c>
      <c r="P1264" s="3">
        <v>5</v>
      </c>
      <c r="Q1264" s="2">
        <v>0</v>
      </c>
      <c r="R1264" s="2">
        <v>0</v>
      </c>
      <c r="S1264" s="2">
        <v>2</v>
      </c>
      <c r="T1264" s="2">
        <v>0</v>
      </c>
      <c r="U1264" s="2">
        <v>0</v>
      </c>
      <c r="V1264" s="1">
        <f t="shared" si="610"/>
        <v>19</v>
      </c>
      <c r="W1264" s="2">
        <v>10</v>
      </c>
      <c r="X1264" s="2">
        <v>8</v>
      </c>
      <c r="Y1264" s="2">
        <v>0</v>
      </c>
      <c r="Z1264" s="2">
        <v>6</v>
      </c>
      <c r="AA1264" s="2">
        <f t="shared" ref="AA1264:AA1270" si="619">G1264+H1264+I1264+J1264+K1264+L1264+M1264+P1264+T1264+U1264</f>
        <v>37</v>
      </c>
      <c r="AB1264" s="2">
        <v>1267</v>
      </c>
      <c r="AC1264" s="20">
        <f t="shared" ref="AC1264:AC1274" si="620">AA1264/AB1264*100</f>
        <v>2.92028413575375</v>
      </c>
      <c r="AD1264" s="2" t="s">
        <v>229</v>
      </c>
      <c r="AE1264" s="2">
        <v>250</v>
      </c>
      <c r="AF1264" s="21">
        <f t="shared" si="612"/>
        <v>2.19605367008682</v>
      </c>
      <c r="AG1264" s="4">
        <f t="shared" si="613"/>
        <v>1.49960536700868</v>
      </c>
      <c r="AH1264" s="4">
        <f t="shared" si="603"/>
        <v>0.473559589581689</v>
      </c>
      <c r="AI1264" s="2">
        <v>7697</v>
      </c>
      <c r="AJ1264" s="2">
        <v>109</v>
      </c>
      <c r="AK1264" s="2">
        <v>47</v>
      </c>
      <c r="AL1264" s="2">
        <v>113</v>
      </c>
      <c r="AM1264" s="2">
        <v>41</v>
      </c>
      <c r="AN1264" s="2">
        <v>4</v>
      </c>
      <c r="AO1264" s="2">
        <v>0</v>
      </c>
      <c r="AP1264" s="2">
        <f t="shared" si="616"/>
        <v>7923</v>
      </c>
      <c r="AQ1264" s="2">
        <f t="shared" si="617"/>
        <v>499.558638083228</v>
      </c>
      <c r="AR1264" s="5">
        <f t="shared" si="618"/>
        <v>939.170239596469</v>
      </c>
    </row>
    <row r="1265" spans="1:44">
      <c r="A1265" s="2">
        <v>20260416</v>
      </c>
      <c r="B1265" s="2" t="s">
        <v>2574</v>
      </c>
      <c r="C1265" s="2" t="s">
        <v>2575</v>
      </c>
      <c r="D1265" s="2">
        <v>3</v>
      </c>
      <c r="E1265" s="2">
        <v>6</v>
      </c>
      <c r="F1265" s="2">
        <v>4</v>
      </c>
      <c r="G1265" s="2">
        <v>0</v>
      </c>
      <c r="H1265" s="2">
        <v>3</v>
      </c>
      <c r="I1265" s="3">
        <v>10</v>
      </c>
      <c r="J1265" s="2">
        <v>2</v>
      </c>
      <c r="K1265" s="2">
        <v>3</v>
      </c>
      <c r="L1265" s="2">
        <v>2</v>
      </c>
      <c r="M1265" s="2">
        <v>12</v>
      </c>
      <c r="N1265" s="2">
        <v>3</v>
      </c>
      <c r="O1265" s="2">
        <v>5</v>
      </c>
      <c r="P1265" s="3">
        <v>5</v>
      </c>
      <c r="Q1265" s="2">
        <v>1</v>
      </c>
      <c r="R1265" s="2">
        <v>1</v>
      </c>
      <c r="S1265" s="2">
        <v>1</v>
      </c>
      <c r="T1265" s="2">
        <v>1</v>
      </c>
      <c r="U1265" s="2">
        <v>0</v>
      </c>
      <c r="V1265" s="1">
        <f t="shared" si="610"/>
        <v>26</v>
      </c>
      <c r="W1265" s="2">
        <v>6</v>
      </c>
      <c r="X1265" s="2">
        <v>6</v>
      </c>
      <c r="Y1265" s="2">
        <v>0</v>
      </c>
      <c r="Z1265" s="2">
        <v>7</v>
      </c>
      <c r="AA1265" s="2">
        <f t="shared" si="619"/>
        <v>38</v>
      </c>
      <c r="AB1265" s="2">
        <v>1397</v>
      </c>
      <c r="AC1265" s="20">
        <f t="shared" si="620"/>
        <v>2.72011453113815</v>
      </c>
      <c r="AD1265" s="2" t="s">
        <v>229</v>
      </c>
      <c r="AE1265" s="2">
        <v>250</v>
      </c>
      <c r="AF1265" s="21">
        <f t="shared" si="612"/>
        <v>2.04552612741589</v>
      </c>
      <c r="AG1265" s="4">
        <f t="shared" si="613"/>
        <v>1.86113099498926</v>
      </c>
      <c r="AH1265" s="4">
        <f t="shared" si="603"/>
        <v>0.501073729420186</v>
      </c>
      <c r="AI1265" s="2">
        <v>11005</v>
      </c>
      <c r="AJ1265" s="2">
        <v>157</v>
      </c>
      <c r="AK1265" s="2">
        <v>45</v>
      </c>
      <c r="AL1265" s="2">
        <v>71</v>
      </c>
      <c r="AM1265" s="2">
        <v>48</v>
      </c>
      <c r="AN1265" s="2">
        <v>0</v>
      </c>
      <c r="AO1265" s="2">
        <v>0</v>
      </c>
      <c r="AP1265" s="2">
        <f t="shared" si="616"/>
        <v>11233</v>
      </c>
      <c r="AQ1265" s="2">
        <f t="shared" si="617"/>
        <v>886.582478295185</v>
      </c>
      <c r="AR1265" s="5">
        <f t="shared" si="618"/>
        <v>1666.77505919495</v>
      </c>
    </row>
    <row r="1266" spans="1:44">
      <c r="A1266" s="2">
        <v>20260416</v>
      </c>
      <c r="B1266" s="2" t="s">
        <v>2576</v>
      </c>
      <c r="C1266" s="2" t="s">
        <v>2577</v>
      </c>
      <c r="D1266" s="2">
        <v>0</v>
      </c>
      <c r="E1266" s="2">
        <v>4</v>
      </c>
      <c r="F1266" s="2">
        <v>6</v>
      </c>
      <c r="G1266" s="2">
        <v>2</v>
      </c>
      <c r="H1266" s="2">
        <v>5</v>
      </c>
      <c r="I1266" s="3">
        <v>10</v>
      </c>
      <c r="J1266" s="2">
        <v>1</v>
      </c>
      <c r="K1266" s="2">
        <v>1</v>
      </c>
      <c r="L1266" s="2">
        <v>0</v>
      </c>
      <c r="M1266" s="2">
        <v>10</v>
      </c>
      <c r="N1266" s="2">
        <v>3</v>
      </c>
      <c r="O1266" s="2">
        <v>3</v>
      </c>
      <c r="P1266" s="3">
        <v>1</v>
      </c>
      <c r="Q1266" s="2">
        <v>4</v>
      </c>
      <c r="R1266" s="2">
        <v>1</v>
      </c>
      <c r="S1266" s="2">
        <v>0</v>
      </c>
      <c r="T1266" s="2">
        <v>1</v>
      </c>
      <c r="U1266" s="2">
        <v>0</v>
      </c>
      <c r="V1266" s="1">
        <f t="shared" si="610"/>
        <v>28</v>
      </c>
      <c r="W1266" s="2">
        <v>1</v>
      </c>
      <c r="X1266" s="2">
        <v>2</v>
      </c>
      <c r="Y1266" s="2">
        <v>0</v>
      </c>
      <c r="Z1266" s="2">
        <v>8</v>
      </c>
      <c r="AA1266" s="2">
        <f t="shared" si="619"/>
        <v>31</v>
      </c>
      <c r="AB1266" s="2">
        <v>1267</v>
      </c>
      <c r="AC1266" s="20">
        <f t="shared" si="620"/>
        <v>2.44672454617206</v>
      </c>
      <c r="AD1266" s="2" t="s">
        <v>229</v>
      </c>
      <c r="AE1266" s="2">
        <v>250</v>
      </c>
      <c r="AF1266" s="21">
        <f t="shared" si="612"/>
        <v>1.83993685872139</v>
      </c>
      <c r="AG1266" s="4">
        <f t="shared" ref="AG1266:AG1271" si="621">V1266/AB1266*100</f>
        <v>2.20994475138122</v>
      </c>
      <c r="AH1266" s="4">
        <f t="shared" si="603"/>
        <v>0.631412786108919</v>
      </c>
      <c r="AI1266" s="2">
        <v>4608</v>
      </c>
      <c r="AJ1266" s="2">
        <v>134</v>
      </c>
      <c r="AK1266" s="2">
        <v>32</v>
      </c>
      <c r="AL1266" s="2">
        <v>73</v>
      </c>
      <c r="AM1266" s="2">
        <v>58</v>
      </c>
      <c r="AN1266" s="2">
        <v>1</v>
      </c>
      <c r="AO1266" s="2">
        <v>0</v>
      </c>
      <c r="AP1266" s="2">
        <f t="shared" si="616"/>
        <v>4816</v>
      </c>
      <c r="AQ1266" s="2">
        <f t="shared" si="617"/>
        <v>344.738725841088</v>
      </c>
      <c r="AR1266" s="5">
        <f t="shared" si="618"/>
        <v>648.108804581246</v>
      </c>
    </row>
    <row r="1267" spans="1:44">
      <c r="A1267" s="2">
        <v>20260416</v>
      </c>
      <c r="B1267" s="2" t="s">
        <v>2578</v>
      </c>
      <c r="C1267" s="2" t="s">
        <v>2579</v>
      </c>
      <c r="D1267" s="2">
        <v>0</v>
      </c>
      <c r="E1267" s="2">
        <v>116</v>
      </c>
      <c r="F1267" s="2">
        <v>12</v>
      </c>
      <c r="G1267" s="2">
        <v>2</v>
      </c>
      <c r="H1267" s="2">
        <v>39</v>
      </c>
      <c r="I1267" s="3">
        <v>21</v>
      </c>
      <c r="J1267" s="2">
        <v>8</v>
      </c>
      <c r="K1267" s="2">
        <v>11</v>
      </c>
      <c r="L1267" s="2">
        <v>2</v>
      </c>
      <c r="M1267" s="2">
        <v>14</v>
      </c>
      <c r="N1267" s="2">
        <v>25</v>
      </c>
      <c r="O1267" s="2">
        <v>7</v>
      </c>
      <c r="P1267" s="3">
        <v>3</v>
      </c>
      <c r="Q1267" s="2">
        <v>3</v>
      </c>
      <c r="R1267" s="2">
        <v>4</v>
      </c>
      <c r="S1267" s="2">
        <v>2</v>
      </c>
      <c r="T1267" s="2">
        <v>27</v>
      </c>
      <c r="U1267" s="2">
        <v>2</v>
      </c>
      <c r="V1267" s="1">
        <f t="shared" si="610"/>
        <v>124</v>
      </c>
      <c r="W1267" s="2">
        <v>1</v>
      </c>
      <c r="X1267" s="2">
        <v>0</v>
      </c>
      <c r="Y1267" s="2">
        <v>2</v>
      </c>
      <c r="Z1267" s="2">
        <v>9</v>
      </c>
      <c r="AA1267" s="2">
        <f t="shared" si="619"/>
        <v>129</v>
      </c>
      <c r="AB1267" s="2">
        <v>2516</v>
      </c>
      <c r="AC1267" s="20">
        <f t="shared" si="620"/>
        <v>5.12718600953895</v>
      </c>
      <c r="AD1267" s="2" t="s">
        <v>229</v>
      </c>
      <c r="AE1267" s="2">
        <v>250</v>
      </c>
      <c r="AF1267" s="21">
        <f t="shared" si="612"/>
        <v>3.85564387917329</v>
      </c>
      <c r="AG1267" s="4">
        <f t="shared" si="621"/>
        <v>4.92845786963434</v>
      </c>
      <c r="AH1267" s="4">
        <f t="shared" si="603"/>
        <v>0.357710651828299</v>
      </c>
      <c r="AI1267" s="2">
        <v>13285</v>
      </c>
      <c r="AJ1267" s="2">
        <v>406</v>
      </c>
      <c r="AK1267" s="2">
        <v>52</v>
      </c>
      <c r="AL1267" s="2">
        <v>249</v>
      </c>
      <c r="AM1267" s="2">
        <v>260</v>
      </c>
      <c r="AN1267" s="2">
        <v>0</v>
      </c>
      <c r="AO1267" s="2">
        <v>0</v>
      </c>
      <c r="AP1267" s="2">
        <f t="shared" si="616"/>
        <v>13940</v>
      </c>
      <c r="AQ1267" s="2">
        <f t="shared" si="617"/>
        <v>1100.23677979479</v>
      </c>
      <c r="AR1267" s="5">
        <f t="shared" si="618"/>
        <v>2068.44514601421</v>
      </c>
    </row>
    <row r="1268" spans="1:44">
      <c r="A1268" s="2">
        <v>20260417</v>
      </c>
      <c r="B1268" s="2" t="s">
        <v>2580</v>
      </c>
      <c r="C1268" s="2" t="s">
        <v>2581</v>
      </c>
      <c r="D1268" s="2">
        <v>1</v>
      </c>
      <c r="E1268" s="2">
        <v>7</v>
      </c>
      <c r="F1268" s="2">
        <v>5</v>
      </c>
      <c r="G1268" s="2">
        <v>2</v>
      </c>
      <c r="H1268" s="2">
        <v>4</v>
      </c>
      <c r="I1268" s="3">
        <v>36</v>
      </c>
      <c r="J1268" s="2">
        <v>3</v>
      </c>
      <c r="K1268" s="2">
        <v>0</v>
      </c>
      <c r="L1268" s="2">
        <v>1</v>
      </c>
      <c r="M1268" s="2">
        <v>13</v>
      </c>
      <c r="N1268" s="2">
        <v>4</v>
      </c>
      <c r="O1268" s="2">
        <v>14</v>
      </c>
      <c r="P1268" s="3">
        <v>6</v>
      </c>
      <c r="Q1268" s="2">
        <v>8</v>
      </c>
      <c r="R1268" s="2">
        <v>6</v>
      </c>
      <c r="S1268" s="2">
        <v>0</v>
      </c>
      <c r="T1268" s="2">
        <v>1</v>
      </c>
      <c r="U1268" s="2">
        <v>0</v>
      </c>
      <c r="V1268" s="1">
        <f t="shared" si="610"/>
        <v>57</v>
      </c>
      <c r="W1268" s="2">
        <v>0</v>
      </c>
      <c r="X1268" s="2">
        <v>8</v>
      </c>
      <c r="Y1268" s="2">
        <v>1</v>
      </c>
      <c r="Z1268" s="2">
        <v>10</v>
      </c>
      <c r="AA1268" s="2">
        <f t="shared" si="619"/>
        <v>66</v>
      </c>
      <c r="AB1268" s="2">
        <v>2666</v>
      </c>
      <c r="AC1268" s="20">
        <f t="shared" si="620"/>
        <v>2.47561890472618</v>
      </c>
      <c r="AD1268" s="2" t="s">
        <v>229</v>
      </c>
      <c r="AE1268" s="2">
        <v>250</v>
      </c>
      <c r="AF1268" s="21">
        <f t="shared" si="612"/>
        <v>1.86166541635409</v>
      </c>
      <c r="AG1268" s="4">
        <f t="shared" si="621"/>
        <v>2.13803450862716</v>
      </c>
      <c r="AH1268" s="4">
        <f t="shared" si="603"/>
        <v>0.375093773443361</v>
      </c>
      <c r="AI1268" s="2">
        <v>5147</v>
      </c>
      <c r="AJ1268" s="2">
        <v>161</v>
      </c>
      <c r="AK1268" s="2">
        <v>54</v>
      </c>
      <c r="AL1268" s="2">
        <v>298</v>
      </c>
      <c r="AM1268" s="2">
        <v>56</v>
      </c>
      <c r="AN1268" s="2">
        <v>2</v>
      </c>
      <c r="AO1268" s="2">
        <v>0</v>
      </c>
      <c r="AP1268" s="2">
        <f t="shared" si="616"/>
        <v>5608</v>
      </c>
      <c r="AQ1268" s="2">
        <f t="shared" si="617"/>
        <v>222.893481717011</v>
      </c>
      <c r="AR1268" s="5">
        <f t="shared" si="618"/>
        <v>419.039745627981</v>
      </c>
    </row>
    <row r="1269" spans="1:44">
      <c r="A1269" s="2">
        <v>20260417</v>
      </c>
      <c r="B1269" s="2" t="s">
        <v>2582</v>
      </c>
      <c r="C1269" s="2" t="s">
        <v>2583</v>
      </c>
      <c r="D1269" s="2">
        <v>15</v>
      </c>
      <c r="E1269" s="2">
        <v>16</v>
      </c>
      <c r="F1269" s="2">
        <v>677</v>
      </c>
      <c r="G1269" s="2">
        <v>48</v>
      </c>
      <c r="H1269" s="2">
        <v>48</v>
      </c>
      <c r="I1269" s="3">
        <v>58</v>
      </c>
      <c r="J1269" s="2">
        <v>186</v>
      </c>
      <c r="K1269" s="2">
        <v>31</v>
      </c>
      <c r="L1269" s="2">
        <v>8</v>
      </c>
      <c r="M1269" s="2">
        <v>15</v>
      </c>
      <c r="N1269" s="2">
        <v>30</v>
      </c>
      <c r="O1269" s="2">
        <v>340</v>
      </c>
      <c r="P1269" s="3">
        <v>6</v>
      </c>
      <c r="Q1269" s="2">
        <v>453</v>
      </c>
      <c r="R1269" s="2">
        <v>16</v>
      </c>
      <c r="S1269" s="2">
        <v>20</v>
      </c>
      <c r="T1269" s="2">
        <v>6</v>
      </c>
      <c r="U1269" s="2">
        <v>0</v>
      </c>
      <c r="V1269" s="1">
        <f t="shared" si="610"/>
        <v>404</v>
      </c>
      <c r="W1269" s="2">
        <v>0</v>
      </c>
      <c r="X1269" s="2">
        <v>2</v>
      </c>
      <c r="Y1269" s="2">
        <v>0</v>
      </c>
      <c r="Z1269" s="2">
        <v>11</v>
      </c>
      <c r="AA1269" s="2">
        <f t="shared" si="619"/>
        <v>406</v>
      </c>
      <c r="AB1269" s="2">
        <v>2516</v>
      </c>
      <c r="AC1269" s="20">
        <f t="shared" si="620"/>
        <v>16.1367249602544</v>
      </c>
      <c r="AD1269" s="2" t="s">
        <v>229</v>
      </c>
      <c r="AE1269" s="2">
        <v>250</v>
      </c>
      <c r="AF1269" s="21">
        <f t="shared" ref="AF1269:AF1286" si="622">188/AE1269*AC1269</f>
        <v>12.1348171701113</v>
      </c>
      <c r="AG1269" s="4">
        <f t="shared" ref="AG1269:AG1278" si="623">V1269/AB1269*100</f>
        <v>16.0572337042925</v>
      </c>
      <c r="AH1269" s="4">
        <f t="shared" ref="AH1269:AH1278" si="624">Z1269/AB1269*100</f>
        <v>0.437201907790143</v>
      </c>
      <c r="AI1269" s="2">
        <v>1943</v>
      </c>
      <c r="AJ1269" s="2">
        <v>54</v>
      </c>
      <c r="AK1269" s="2">
        <v>15</v>
      </c>
      <c r="AL1269" s="2">
        <v>18</v>
      </c>
      <c r="AM1269" s="2">
        <v>211</v>
      </c>
      <c r="AN1269" s="2">
        <v>0</v>
      </c>
      <c r="AO1269" s="2">
        <v>0</v>
      </c>
      <c r="AP1269" s="2">
        <f t="shared" si="616"/>
        <v>2015</v>
      </c>
      <c r="AQ1269" s="2">
        <f t="shared" si="617"/>
        <v>75.5813953488372</v>
      </c>
      <c r="AR1269" s="5">
        <f t="shared" si="618"/>
        <v>142.093023255814</v>
      </c>
    </row>
    <row r="1270" spans="1:44">
      <c r="A1270" s="2">
        <v>20260417</v>
      </c>
      <c r="B1270" s="2" t="s">
        <v>2584</v>
      </c>
      <c r="C1270" s="2" t="s">
        <v>2585</v>
      </c>
      <c r="D1270" s="2">
        <v>2</v>
      </c>
      <c r="E1270" s="2">
        <v>15</v>
      </c>
      <c r="F1270" s="2">
        <v>1</v>
      </c>
      <c r="G1270" s="2">
        <v>24</v>
      </c>
      <c r="H1270" s="2">
        <v>12</v>
      </c>
      <c r="I1270" s="3">
        <v>35</v>
      </c>
      <c r="J1270" s="2">
        <v>67</v>
      </c>
      <c r="K1270" s="2">
        <v>2</v>
      </c>
      <c r="L1270" s="2">
        <v>0</v>
      </c>
      <c r="M1270" s="2">
        <v>7</v>
      </c>
      <c r="N1270" s="2">
        <v>5</v>
      </c>
      <c r="O1270" s="2">
        <v>5</v>
      </c>
      <c r="P1270" s="3">
        <v>3</v>
      </c>
      <c r="Q1270" s="2">
        <v>1</v>
      </c>
      <c r="R1270" s="2">
        <v>3</v>
      </c>
      <c r="S1270" s="2">
        <v>2</v>
      </c>
      <c r="T1270" s="2">
        <v>1</v>
      </c>
      <c r="U1270" s="2">
        <v>0</v>
      </c>
      <c r="V1270" s="1">
        <f t="shared" si="610"/>
        <v>151</v>
      </c>
      <c r="W1270" s="2">
        <v>0</v>
      </c>
      <c r="X1270" s="2">
        <v>0</v>
      </c>
      <c r="Y1270" s="2">
        <v>0</v>
      </c>
      <c r="Z1270" s="2">
        <v>12</v>
      </c>
      <c r="AA1270" s="2">
        <f t="shared" ref="AA1270:AA1280" si="625">G1270+H1270+I1270+J1270+K1270+L1270+M1270+P1270+T1270+U1270</f>
        <v>151</v>
      </c>
      <c r="AB1270" s="2">
        <v>2615</v>
      </c>
      <c r="AC1270" s="20">
        <f t="shared" si="620"/>
        <v>5.77437858508604</v>
      </c>
      <c r="AD1270" s="2" t="s">
        <v>229</v>
      </c>
      <c r="AE1270" s="2">
        <v>250</v>
      </c>
      <c r="AF1270" s="21">
        <f t="shared" si="622"/>
        <v>4.3423326959847</v>
      </c>
      <c r="AG1270" s="4">
        <f t="shared" si="623"/>
        <v>5.77437858508604</v>
      </c>
      <c r="AH1270" s="4">
        <f t="shared" si="624"/>
        <v>0.458891013384321</v>
      </c>
      <c r="AI1270" s="2">
        <v>1060</v>
      </c>
      <c r="AJ1270" s="2">
        <v>127</v>
      </c>
      <c r="AK1270" s="2">
        <v>3</v>
      </c>
      <c r="AL1270" s="2">
        <v>373</v>
      </c>
      <c r="AM1270" s="2">
        <v>88</v>
      </c>
      <c r="AN1270" s="2">
        <v>0</v>
      </c>
      <c r="AO1270" s="2">
        <v>0</v>
      </c>
      <c r="AP1270" s="2">
        <f t="shared" ref="AP1270:AP1279" si="626">AI1270+AJ1270+AL1270+AN1270</f>
        <v>1560</v>
      </c>
      <c r="AQ1270" s="2">
        <f t="shared" ref="AQ1270:AQ1279" si="627">AP1270/AB1269*100</f>
        <v>62.0031796502385</v>
      </c>
      <c r="AR1270" s="5">
        <f t="shared" ref="AR1270:AR1279" si="628">AQ1270*1.88</f>
        <v>116.565977742448</v>
      </c>
    </row>
    <row r="1271" spans="1:44">
      <c r="A1271" s="2">
        <v>20260417</v>
      </c>
      <c r="B1271" s="2" t="s">
        <v>2586</v>
      </c>
      <c r="C1271" s="2" t="s">
        <v>2587</v>
      </c>
      <c r="D1271" s="2">
        <v>2</v>
      </c>
      <c r="E1271" s="2">
        <v>6</v>
      </c>
      <c r="F1271" s="2">
        <v>21</v>
      </c>
      <c r="G1271" s="2">
        <v>33</v>
      </c>
      <c r="H1271" s="2">
        <v>16</v>
      </c>
      <c r="I1271" s="3">
        <v>25</v>
      </c>
      <c r="J1271" s="2">
        <v>48</v>
      </c>
      <c r="K1271" s="2">
        <v>4</v>
      </c>
      <c r="L1271" s="2">
        <v>0</v>
      </c>
      <c r="M1271" s="2">
        <v>5</v>
      </c>
      <c r="N1271" s="2">
        <v>9</v>
      </c>
      <c r="O1271" s="2">
        <v>7</v>
      </c>
      <c r="P1271" s="3">
        <v>8</v>
      </c>
      <c r="Q1271" s="2">
        <v>10</v>
      </c>
      <c r="R1271" s="2">
        <v>6</v>
      </c>
      <c r="S1271" s="2">
        <v>3</v>
      </c>
      <c r="T1271" s="2">
        <v>1</v>
      </c>
      <c r="U1271" s="2">
        <v>0</v>
      </c>
      <c r="V1271" s="1">
        <f t="shared" si="610"/>
        <v>140</v>
      </c>
      <c r="W1271" s="2">
        <v>0</v>
      </c>
      <c r="X1271" s="2">
        <v>0</v>
      </c>
      <c r="Y1271" s="2">
        <v>0</v>
      </c>
      <c r="Z1271" s="2">
        <v>13</v>
      </c>
      <c r="AA1271" s="2">
        <f t="shared" si="625"/>
        <v>140</v>
      </c>
      <c r="AB1271" s="2">
        <v>1695</v>
      </c>
      <c r="AC1271" s="20">
        <f t="shared" si="620"/>
        <v>8.25958702064897</v>
      </c>
      <c r="AD1271" s="2" t="s">
        <v>229</v>
      </c>
      <c r="AE1271" s="2">
        <v>258</v>
      </c>
      <c r="AF1271" s="21">
        <f t="shared" si="622"/>
        <v>6.01861379799227</v>
      </c>
      <c r="AG1271" s="4">
        <f t="shared" si="623"/>
        <v>8.25958702064897</v>
      </c>
      <c r="AH1271" s="4">
        <f t="shared" si="624"/>
        <v>0.766961651917404</v>
      </c>
      <c r="AI1271" s="2">
        <v>524</v>
      </c>
      <c r="AJ1271" s="2">
        <v>31</v>
      </c>
      <c r="AK1271" s="2">
        <v>1</v>
      </c>
      <c r="AL1271" s="2">
        <v>27</v>
      </c>
      <c r="AM1271" s="2">
        <v>5</v>
      </c>
      <c r="AN1271" s="2">
        <v>0</v>
      </c>
      <c r="AO1271" s="2">
        <v>0</v>
      </c>
      <c r="AP1271" s="2">
        <f t="shared" si="626"/>
        <v>582</v>
      </c>
      <c r="AQ1271" s="2">
        <f t="shared" si="627"/>
        <v>22.2562141491396</v>
      </c>
      <c r="AR1271" s="5">
        <f t="shared" si="628"/>
        <v>41.8416826003824</v>
      </c>
    </row>
    <row r="1272" spans="1:44">
      <c r="A1272" s="2">
        <v>20260417</v>
      </c>
      <c r="B1272" s="2" t="s">
        <v>2588</v>
      </c>
      <c r="C1272" s="2" t="s">
        <v>2589</v>
      </c>
      <c r="D1272" s="2">
        <v>0</v>
      </c>
      <c r="E1272" s="2">
        <v>6</v>
      </c>
      <c r="F1272" s="2">
        <v>0</v>
      </c>
      <c r="G1272" s="2">
        <v>29</v>
      </c>
      <c r="H1272" s="2">
        <v>6</v>
      </c>
      <c r="I1272" s="3">
        <v>25</v>
      </c>
      <c r="J1272" s="2">
        <v>16</v>
      </c>
      <c r="K1272" s="2">
        <v>1</v>
      </c>
      <c r="L1272" s="2">
        <v>0</v>
      </c>
      <c r="M1272" s="2">
        <v>8</v>
      </c>
      <c r="N1272" s="2">
        <v>0</v>
      </c>
      <c r="O1272" s="2">
        <v>7</v>
      </c>
      <c r="P1272" s="3">
        <v>4</v>
      </c>
      <c r="Q1272" s="2">
        <v>1</v>
      </c>
      <c r="R1272" s="2">
        <v>6</v>
      </c>
      <c r="S1272" s="2">
        <v>1</v>
      </c>
      <c r="T1272" s="2">
        <v>0</v>
      </c>
      <c r="U1272" s="2">
        <v>0</v>
      </c>
      <c r="V1272" s="1">
        <f t="shared" si="610"/>
        <v>83</v>
      </c>
      <c r="W1272" s="2">
        <v>1</v>
      </c>
      <c r="X1272" s="2">
        <v>5</v>
      </c>
      <c r="Y1272" s="2">
        <v>0</v>
      </c>
      <c r="Z1272" s="2">
        <v>14</v>
      </c>
      <c r="AA1272" s="2">
        <f t="shared" si="625"/>
        <v>89</v>
      </c>
      <c r="AB1272" s="2">
        <v>2516</v>
      </c>
      <c r="AC1272" s="20">
        <f t="shared" si="620"/>
        <v>3.53736089030207</v>
      </c>
      <c r="AD1272" s="2" t="s">
        <v>229</v>
      </c>
      <c r="AE1272" s="2">
        <v>258</v>
      </c>
      <c r="AF1272" s="21">
        <f t="shared" si="622"/>
        <v>2.57761181153794</v>
      </c>
      <c r="AG1272" s="4">
        <f t="shared" si="623"/>
        <v>3.29888712241653</v>
      </c>
      <c r="AH1272" s="4">
        <f t="shared" si="624"/>
        <v>0.556438791732909</v>
      </c>
      <c r="AI1272" s="2">
        <v>11342</v>
      </c>
      <c r="AJ1272" s="2">
        <v>879</v>
      </c>
      <c r="AK1272" s="2">
        <v>53</v>
      </c>
      <c r="AL1272" s="2">
        <v>850</v>
      </c>
      <c r="AM1272" s="2">
        <v>99</v>
      </c>
      <c r="AN1272" s="2">
        <v>2</v>
      </c>
      <c r="AO1272" s="2">
        <v>0</v>
      </c>
      <c r="AP1272" s="2">
        <f t="shared" si="626"/>
        <v>13073</v>
      </c>
      <c r="AQ1272" s="2">
        <f t="shared" si="627"/>
        <v>771.268436578171</v>
      </c>
      <c r="AR1272" s="5">
        <f t="shared" si="628"/>
        <v>1449.98466076696</v>
      </c>
    </row>
    <row r="1273" spans="1:44">
      <c r="A1273" s="2">
        <v>20260417</v>
      </c>
      <c r="B1273" s="2" t="s">
        <v>2590</v>
      </c>
      <c r="C1273" s="2" t="s">
        <v>2591</v>
      </c>
      <c r="D1273" s="2">
        <v>0</v>
      </c>
      <c r="E1273" s="2">
        <v>13</v>
      </c>
      <c r="F1273" s="2">
        <v>1</v>
      </c>
      <c r="G1273" s="2">
        <v>109</v>
      </c>
      <c r="H1273" s="2">
        <v>62</v>
      </c>
      <c r="I1273" s="3">
        <v>39</v>
      </c>
      <c r="J1273" s="2">
        <v>86</v>
      </c>
      <c r="K1273" s="2">
        <v>3</v>
      </c>
      <c r="L1273" s="2">
        <v>0</v>
      </c>
      <c r="M1273" s="2">
        <v>7</v>
      </c>
      <c r="N1273" s="2">
        <v>6</v>
      </c>
      <c r="O1273" s="2">
        <v>5</v>
      </c>
      <c r="P1273" s="3">
        <v>6</v>
      </c>
      <c r="Q1273" s="2">
        <v>2</v>
      </c>
      <c r="R1273" s="2">
        <v>8</v>
      </c>
      <c r="S1273" s="2">
        <v>2</v>
      </c>
      <c r="T1273" s="2">
        <v>2</v>
      </c>
      <c r="U1273" s="2">
        <v>0</v>
      </c>
      <c r="V1273" s="1">
        <f t="shared" si="610"/>
        <v>283</v>
      </c>
      <c r="W1273" s="2">
        <v>10</v>
      </c>
      <c r="X1273" s="2">
        <v>21</v>
      </c>
      <c r="Y1273" s="2">
        <v>0</v>
      </c>
      <c r="Z1273" s="2">
        <v>14</v>
      </c>
      <c r="AA1273" s="2">
        <f t="shared" si="625"/>
        <v>314</v>
      </c>
      <c r="AB1273" s="2">
        <v>2615</v>
      </c>
      <c r="AC1273" s="20">
        <f t="shared" si="620"/>
        <v>12.0076481835564</v>
      </c>
      <c r="AD1273" s="2" t="s">
        <v>229</v>
      </c>
      <c r="AE1273" s="2">
        <v>258</v>
      </c>
      <c r="AF1273" s="21">
        <f t="shared" si="622"/>
        <v>8.74975914150622</v>
      </c>
      <c r="AG1273" s="4">
        <f t="shared" si="623"/>
        <v>10.8221797323136</v>
      </c>
      <c r="AH1273" s="4">
        <f t="shared" si="624"/>
        <v>0.535372848948375</v>
      </c>
      <c r="AI1273" s="2">
        <v>9491</v>
      </c>
      <c r="AJ1273" s="2">
        <v>1756</v>
      </c>
      <c r="AK1273" s="2">
        <v>65</v>
      </c>
      <c r="AL1273" s="2">
        <v>3440</v>
      </c>
      <c r="AM1273" s="2">
        <v>248</v>
      </c>
      <c r="AN1273" s="2">
        <v>2</v>
      </c>
      <c r="AO1273" s="2">
        <v>0</v>
      </c>
      <c r="AP1273" s="2">
        <f t="shared" si="626"/>
        <v>14689</v>
      </c>
      <c r="AQ1273" s="2">
        <f t="shared" si="627"/>
        <v>583.823529411765</v>
      </c>
      <c r="AR1273" s="5">
        <f t="shared" si="628"/>
        <v>1097.58823529412</v>
      </c>
    </row>
    <row r="1274" spans="1:44">
      <c r="A1274" s="2">
        <v>20260417</v>
      </c>
      <c r="B1274" s="2" t="s">
        <v>2592</v>
      </c>
      <c r="C1274" s="2" t="s">
        <v>2593</v>
      </c>
      <c r="D1274" s="2">
        <v>0</v>
      </c>
      <c r="E1274" s="2">
        <v>43</v>
      </c>
      <c r="F1274" s="2">
        <v>62</v>
      </c>
      <c r="G1274" s="2">
        <v>25</v>
      </c>
      <c r="H1274" s="2">
        <v>27</v>
      </c>
      <c r="I1274" s="3">
        <v>80</v>
      </c>
      <c r="J1274" s="2">
        <v>31</v>
      </c>
      <c r="K1274" s="2">
        <v>9</v>
      </c>
      <c r="L1274" s="2">
        <v>0</v>
      </c>
      <c r="M1274" s="2">
        <v>12</v>
      </c>
      <c r="N1274" s="2">
        <v>12</v>
      </c>
      <c r="O1274" s="2">
        <v>35</v>
      </c>
      <c r="P1274" s="3">
        <v>4</v>
      </c>
      <c r="Q1274" s="2">
        <v>9</v>
      </c>
      <c r="R1274" s="2">
        <v>47</v>
      </c>
      <c r="S1274" s="2">
        <v>3</v>
      </c>
      <c r="T1274" s="2">
        <v>11</v>
      </c>
      <c r="U1274" s="2">
        <v>1</v>
      </c>
      <c r="V1274" s="1">
        <f t="shared" si="610"/>
        <v>187</v>
      </c>
      <c r="W1274" s="2">
        <v>3</v>
      </c>
      <c r="X1274" s="2">
        <v>9</v>
      </c>
      <c r="Y1274" s="2">
        <v>0</v>
      </c>
      <c r="Z1274" s="2">
        <v>14</v>
      </c>
      <c r="AA1274" s="2">
        <f t="shared" si="625"/>
        <v>200</v>
      </c>
      <c r="AB1274" s="2">
        <v>1905</v>
      </c>
      <c r="AC1274" s="20">
        <f t="shared" ref="AC1274:AC1280" si="629">AA1274/AB1274*100</f>
        <v>10.498687664042</v>
      </c>
      <c r="AD1274" s="2" t="s">
        <v>229</v>
      </c>
      <c r="AE1274" s="2">
        <v>258</v>
      </c>
      <c r="AF1274" s="21">
        <f t="shared" si="622"/>
        <v>7.65020651488331</v>
      </c>
      <c r="AG1274" s="4">
        <f t="shared" si="623"/>
        <v>9.81627296587926</v>
      </c>
      <c r="AH1274" s="4">
        <f t="shared" si="624"/>
        <v>0.73490813648294</v>
      </c>
      <c r="AI1274" s="2">
        <v>9181</v>
      </c>
      <c r="AJ1274" s="2">
        <v>1367</v>
      </c>
      <c r="AK1274" s="2">
        <v>65</v>
      </c>
      <c r="AL1274" s="2">
        <v>1191</v>
      </c>
      <c r="AM1274" s="2">
        <v>391</v>
      </c>
      <c r="AN1274" s="2">
        <v>8</v>
      </c>
      <c r="AO1274" s="2">
        <v>0</v>
      </c>
      <c r="AP1274" s="2">
        <f t="shared" si="626"/>
        <v>11747</v>
      </c>
      <c r="AQ1274" s="2">
        <f t="shared" si="627"/>
        <v>449.216061185468</v>
      </c>
      <c r="AR1274" s="5">
        <f t="shared" si="628"/>
        <v>844.526195028681</v>
      </c>
    </row>
    <row r="1275" spans="1:44">
      <c r="A1275" s="2">
        <v>20260417</v>
      </c>
      <c r="B1275" s="2" t="s">
        <v>2594</v>
      </c>
      <c r="C1275" s="2" t="s">
        <v>2595</v>
      </c>
      <c r="D1275" s="2">
        <v>0</v>
      </c>
      <c r="E1275" s="2">
        <v>23</v>
      </c>
      <c r="F1275" s="2">
        <v>7</v>
      </c>
      <c r="G1275" s="2">
        <v>2</v>
      </c>
      <c r="H1275" s="2">
        <v>12</v>
      </c>
      <c r="I1275" s="3">
        <v>41</v>
      </c>
      <c r="J1275" s="2">
        <v>17</v>
      </c>
      <c r="K1275" s="2">
        <v>3</v>
      </c>
      <c r="L1275" s="2">
        <v>0</v>
      </c>
      <c r="M1275" s="2">
        <v>13</v>
      </c>
      <c r="N1275" s="2">
        <v>9</v>
      </c>
      <c r="O1275" s="2">
        <v>7</v>
      </c>
      <c r="P1275" s="3">
        <v>3</v>
      </c>
      <c r="Q1275" s="2">
        <v>3</v>
      </c>
      <c r="R1275" s="2">
        <v>6</v>
      </c>
      <c r="S1275" s="2">
        <v>5</v>
      </c>
      <c r="T1275" s="2">
        <v>1</v>
      </c>
      <c r="U1275" s="2">
        <v>0</v>
      </c>
      <c r="V1275" s="1">
        <f t="shared" si="610"/>
        <v>66</v>
      </c>
      <c r="W1275" s="2">
        <v>15</v>
      </c>
      <c r="X1275" s="2">
        <v>11</v>
      </c>
      <c r="Y1275" s="2">
        <v>0</v>
      </c>
      <c r="Z1275" s="2">
        <v>14</v>
      </c>
      <c r="AA1275" s="2">
        <f t="shared" si="625"/>
        <v>92</v>
      </c>
      <c r="AB1275" s="2">
        <v>2796</v>
      </c>
      <c r="AC1275" s="20">
        <f t="shared" si="629"/>
        <v>3.29041487839771</v>
      </c>
      <c r="AD1275" s="2" t="s">
        <v>229</v>
      </c>
      <c r="AE1275" s="2">
        <v>258</v>
      </c>
      <c r="AF1275" s="21">
        <f t="shared" si="622"/>
        <v>2.39766665557663</v>
      </c>
      <c r="AG1275" s="4">
        <f t="shared" si="623"/>
        <v>2.36051502145923</v>
      </c>
      <c r="AH1275" s="4">
        <f t="shared" si="624"/>
        <v>0.50071530758226</v>
      </c>
      <c r="AI1275" s="2">
        <v>6518</v>
      </c>
      <c r="AJ1275" s="2">
        <v>242</v>
      </c>
      <c r="AK1275" s="2">
        <v>61</v>
      </c>
      <c r="AL1275" s="2">
        <v>610</v>
      </c>
      <c r="AM1275" s="2">
        <v>351</v>
      </c>
      <c r="AN1275" s="2">
        <v>3</v>
      </c>
      <c r="AO1275" s="2">
        <v>0</v>
      </c>
      <c r="AP1275" s="2">
        <f t="shared" si="626"/>
        <v>7373</v>
      </c>
      <c r="AQ1275" s="2">
        <f t="shared" si="627"/>
        <v>387.034120734908</v>
      </c>
      <c r="AR1275" s="5">
        <f t="shared" si="628"/>
        <v>727.624146981627</v>
      </c>
    </row>
    <row r="1276" spans="1:44">
      <c r="A1276" s="2">
        <v>20260417</v>
      </c>
      <c r="B1276" s="2" t="s">
        <v>2596</v>
      </c>
      <c r="C1276" s="2" t="s">
        <v>2597</v>
      </c>
      <c r="D1276" s="2">
        <v>0</v>
      </c>
      <c r="E1276" s="2">
        <v>10</v>
      </c>
      <c r="F1276" s="2">
        <v>1</v>
      </c>
      <c r="G1276" s="2">
        <v>2</v>
      </c>
      <c r="H1276" s="2">
        <v>2</v>
      </c>
      <c r="I1276" s="3">
        <v>34</v>
      </c>
      <c r="J1276" s="2">
        <v>18</v>
      </c>
      <c r="K1276" s="2">
        <v>1</v>
      </c>
      <c r="L1276" s="2">
        <v>0</v>
      </c>
      <c r="M1276" s="2">
        <v>8</v>
      </c>
      <c r="N1276" s="2">
        <v>1</v>
      </c>
      <c r="O1276" s="2">
        <v>1</v>
      </c>
      <c r="P1276" s="3">
        <v>3</v>
      </c>
      <c r="Q1276" s="2">
        <v>1</v>
      </c>
      <c r="R1276" s="2">
        <v>2</v>
      </c>
      <c r="S1276" s="2">
        <v>4</v>
      </c>
      <c r="T1276" s="2">
        <v>1</v>
      </c>
      <c r="U1276" s="2">
        <v>0</v>
      </c>
      <c r="V1276" s="1">
        <f t="shared" si="610"/>
        <v>26</v>
      </c>
      <c r="W1276" s="2">
        <v>23</v>
      </c>
      <c r="X1276" s="2">
        <v>20</v>
      </c>
      <c r="Y1276" s="2">
        <v>0</v>
      </c>
      <c r="Z1276" s="2">
        <v>14</v>
      </c>
      <c r="AA1276" s="2">
        <f t="shared" si="625"/>
        <v>69</v>
      </c>
      <c r="AB1276" s="2">
        <v>2736</v>
      </c>
      <c r="AC1276" s="20">
        <f t="shared" si="629"/>
        <v>2.5219298245614</v>
      </c>
      <c r="AD1276" s="2" t="s">
        <v>58</v>
      </c>
      <c r="AE1276" s="2">
        <v>250</v>
      </c>
      <c r="AF1276" s="21">
        <f t="shared" si="622"/>
        <v>1.89649122807018</v>
      </c>
      <c r="AG1276" s="4">
        <f t="shared" si="623"/>
        <v>0.950292397660819</v>
      </c>
      <c r="AH1276" s="4">
        <f t="shared" si="624"/>
        <v>0.511695906432749</v>
      </c>
      <c r="AI1276" s="2">
        <v>5506</v>
      </c>
      <c r="AJ1276" s="2">
        <v>247</v>
      </c>
      <c r="AK1276" s="2">
        <v>48</v>
      </c>
      <c r="AL1276" s="2">
        <v>513</v>
      </c>
      <c r="AM1276" s="2">
        <v>216</v>
      </c>
      <c r="AN1276" s="2">
        <v>7</v>
      </c>
      <c r="AO1276" s="2">
        <v>0</v>
      </c>
      <c r="AP1276" s="2">
        <f t="shared" si="626"/>
        <v>6273</v>
      </c>
      <c r="AQ1276" s="2">
        <f t="shared" si="627"/>
        <v>224.356223175966</v>
      </c>
      <c r="AR1276" s="5">
        <f t="shared" si="628"/>
        <v>421.789699570815</v>
      </c>
    </row>
    <row r="1277" spans="1:44">
      <c r="A1277" s="2">
        <v>20260417</v>
      </c>
      <c r="B1277" s="2" t="s">
        <v>2598</v>
      </c>
      <c r="C1277" s="2" t="s">
        <v>2599</v>
      </c>
      <c r="D1277" s="2">
        <v>0</v>
      </c>
      <c r="E1277" s="2">
        <v>5</v>
      </c>
      <c r="F1277" s="2">
        <v>0</v>
      </c>
      <c r="G1277" s="2">
        <v>1</v>
      </c>
      <c r="H1277" s="2">
        <v>3</v>
      </c>
      <c r="I1277" s="3">
        <v>13</v>
      </c>
      <c r="J1277" s="2">
        <v>9</v>
      </c>
      <c r="K1277" s="2">
        <v>0</v>
      </c>
      <c r="L1277" s="2">
        <v>0</v>
      </c>
      <c r="M1277" s="2">
        <v>3</v>
      </c>
      <c r="N1277" s="2">
        <v>2</v>
      </c>
      <c r="O1277" s="2">
        <v>0</v>
      </c>
      <c r="P1277" s="3">
        <v>2</v>
      </c>
      <c r="Q1277" s="2">
        <v>0</v>
      </c>
      <c r="R1277" s="2">
        <v>0</v>
      </c>
      <c r="S1277" s="2">
        <v>5</v>
      </c>
      <c r="T1277" s="2">
        <v>0</v>
      </c>
      <c r="U1277" s="2">
        <v>0</v>
      </c>
      <c r="V1277" s="1">
        <f t="shared" si="610"/>
        <v>11</v>
      </c>
      <c r="W1277" s="2">
        <v>15</v>
      </c>
      <c r="X1277" s="2">
        <v>5</v>
      </c>
      <c r="Y1277" s="2">
        <v>0</v>
      </c>
      <c r="Z1277" s="2">
        <v>14</v>
      </c>
      <c r="AA1277" s="2">
        <f t="shared" si="625"/>
        <v>31</v>
      </c>
      <c r="AB1277" s="2">
        <v>1061</v>
      </c>
      <c r="AC1277" s="20">
        <f t="shared" si="629"/>
        <v>2.92177191328935</v>
      </c>
      <c r="AD1277" s="2" t="s">
        <v>58</v>
      </c>
      <c r="AE1277" s="2">
        <v>250</v>
      </c>
      <c r="AF1277" s="21">
        <f t="shared" si="622"/>
        <v>2.19717247879359</v>
      </c>
      <c r="AG1277" s="4">
        <f t="shared" si="623"/>
        <v>1.03675777568332</v>
      </c>
      <c r="AH1277" s="4">
        <f t="shared" si="624"/>
        <v>1.31950989632422</v>
      </c>
      <c r="AI1277" s="2">
        <v>1426</v>
      </c>
      <c r="AJ1277" s="2">
        <v>60</v>
      </c>
      <c r="AK1277" s="2">
        <v>10</v>
      </c>
      <c r="AL1277" s="2">
        <v>182</v>
      </c>
      <c r="AM1277" s="2">
        <v>84</v>
      </c>
      <c r="AN1277" s="2">
        <v>1</v>
      </c>
      <c r="AO1277" s="2">
        <v>0</v>
      </c>
      <c r="AP1277" s="2">
        <f t="shared" si="626"/>
        <v>1669</v>
      </c>
      <c r="AQ1277" s="2">
        <f t="shared" si="627"/>
        <v>61.0014619883041</v>
      </c>
      <c r="AR1277" s="5">
        <f t="shared" si="628"/>
        <v>114.682748538012</v>
      </c>
    </row>
    <row r="1278" spans="1:44">
      <c r="A1278" s="2">
        <v>20260417</v>
      </c>
      <c r="B1278" s="2" t="s">
        <v>2600</v>
      </c>
      <c r="C1278" s="2" t="s">
        <v>2601</v>
      </c>
      <c r="D1278" s="2">
        <v>0</v>
      </c>
      <c r="E1278" s="2">
        <v>3</v>
      </c>
      <c r="F1278" s="2">
        <v>0</v>
      </c>
      <c r="G1278" s="2">
        <v>0</v>
      </c>
      <c r="H1278" s="2">
        <v>2</v>
      </c>
      <c r="I1278" s="3">
        <v>13</v>
      </c>
      <c r="J1278" s="2">
        <v>6</v>
      </c>
      <c r="K1278" s="2">
        <v>1</v>
      </c>
      <c r="L1278" s="2">
        <v>0</v>
      </c>
      <c r="M1278" s="2">
        <v>3</v>
      </c>
      <c r="N1278" s="2">
        <v>0</v>
      </c>
      <c r="O1278" s="2">
        <v>0</v>
      </c>
      <c r="P1278" s="3">
        <v>0</v>
      </c>
      <c r="Q1278" s="2">
        <v>0</v>
      </c>
      <c r="R1278" s="2">
        <v>1</v>
      </c>
      <c r="S1278" s="2">
        <v>2</v>
      </c>
      <c r="T1278" s="2">
        <v>0</v>
      </c>
      <c r="U1278" s="2">
        <v>0</v>
      </c>
      <c r="V1278" s="1">
        <f t="shared" si="610"/>
        <v>7</v>
      </c>
      <c r="W1278" s="2">
        <v>12</v>
      </c>
      <c r="X1278" s="2">
        <v>6</v>
      </c>
      <c r="Y1278" s="2">
        <v>0</v>
      </c>
      <c r="Z1278" s="2">
        <v>14</v>
      </c>
      <c r="AA1278" s="2">
        <f t="shared" si="625"/>
        <v>25</v>
      </c>
      <c r="AB1278" s="2">
        <v>1276</v>
      </c>
      <c r="AC1278" s="20">
        <f t="shared" si="629"/>
        <v>1.95924764890282</v>
      </c>
      <c r="AD1278" s="2" t="s">
        <v>58</v>
      </c>
      <c r="AE1278" s="2">
        <v>250</v>
      </c>
      <c r="AF1278" s="21">
        <f t="shared" si="622"/>
        <v>1.47335423197492</v>
      </c>
      <c r="AG1278" s="4">
        <f t="shared" ref="AG1278:AG1286" si="630">V1278/AB1278*100</f>
        <v>0.54858934169279</v>
      </c>
      <c r="AH1278" s="4">
        <f t="shared" ref="AH1278:AH1286" si="631">Z1278/AB1278*100</f>
        <v>1.09717868338558</v>
      </c>
      <c r="AI1278" s="2">
        <v>3204</v>
      </c>
      <c r="AJ1278" s="2">
        <v>105</v>
      </c>
      <c r="AK1278" s="2">
        <v>27</v>
      </c>
      <c r="AL1278" s="2">
        <v>152</v>
      </c>
      <c r="AM1278" s="2">
        <v>109</v>
      </c>
      <c r="AN1278" s="2">
        <v>1</v>
      </c>
      <c r="AO1278" s="2">
        <v>0</v>
      </c>
      <c r="AP1278" s="2">
        <f t="shared" si="626"/>
        <v>3462</v>
      </c>
      <c r="AQ1278" s="2">
        <f t="shared" si="627"/>
        <v>326.295947219604</v>
      </c>
      <c r="AR1278" s="5">
        <f t="shared" si="628"/>
        <v>613.436380772856</v>
      </c>
    </row>
    <row r="1279" spans="1:44">
      <c r="A1279" s="2">
        <v>20260417</v>
      </c>
      <c r="B1279" s="2" t="s">
        <v>2602</v>
      </c>
      <c r="C1279" s="2" t="s">
        <v>2603</v>
      </c>
      <c r="D1279" s="2">
        <v>12</v>
      </c>
      <c r="E1279" s="2">
        <v>2251</v>
      </c>
      <c r="F1279" s="2">
        <v>46</v>
      </c>
      <c r="G1279" s="2">
        <v>24</v>
      </c>
      <c r="H1279" s="2">
        <v>100</v>
      </c>
      <c r="I1279" s="3">
        <v>100</v>
      </c>
      <c r="J1279" s="2">
        <v>358</v>
      </c>
      <c r="K1279" s="2">
        <v>127</v>
      </c>
      <c r="L1279" s="2">
        <v>16</v>
      </c>
      <c r="M1279" s="2">
        <v>12</v>
      </c>
      <c r="N1279" s="2">
        <v>23</v>
      </c>
      <c r="O1279" s="2">
        <v>55</v>
      </c>
      <c r="P1279" s="3">
        <v>123</v>
      </c>
      <c r="Q1279" s="2">
        <v>50</v>
      </c>
      <c r="R1279" s="2">
        <v>306</v>
      </c>
      <c r="S1279" s="2">
        <v>34</v>
      </c>
      <c r="T1279" s="2">
        <v>36</v>
      </c>
      <c r="U1279" s="2">
        <v>21</v>
      </c>
      <c r="V1279" s="1">
        <f t="shared" si="610"/>
        <v>873</v>
      </c>
      <c r="W1279" s="2">
        <v>2</v>
      </c>
      <c r="X1279" s="2">
        <v>21</v>
      </c>
      <c r="Y1279" s="2">
        <v>0</v>
      </c>
      <c r="Z1279" s="2">
        <v>14</v>
      </c>
      <c r="AA1279" s="2">
        <f t="shared" si="625"/>
        <v>917</v>
      </c>
      <c r="AB1279" s="2">
        <v>1676</v>
      </c>
      <c r="AC1279" s="20">
        <f t="shared" si="629"/>
        <v>54.7136038186158</v>
      </c>
      <c r="AD1279" s="2" t="s">
        <v>58</v>
      </c>
      <c r="AE1279" s="2">
        <v>250</v>
      </c>
      <c r="AF1279" s="21">
        <f t="shared" si="622"/>
        <v>41.144630071599</v>
      </c>
      <c r="AG1279" s="4">
        <f t="shared" si="630"/>
        <v>52.0883054892601</v>
      </c>
      <c r="AH1279" s="4">
        <f t="shared" si="631"/>
        <v>0.835322195704057</v>
      </c>
      <c r="AI1279" s="2">
        <v>7205</v>
      </c>
      <c r="AJ1279" s="2">
        <v>920</v>
      </c>
      <c r="AK1279" s="2">
        <v>88</v>
      </c>
      <c r="AL1279" s="2">
        <v>1323</v>
      </c>
      <c r="AM1279" s="2">
        <v>549</v>
      </c>
      <c r="AN1279" s="2">
        <v>81</v>
      </c>
      <c r="AO1279" s="2">
        <v>0</v>
      </c>
      <c r="AP1279" s="2">
        <f t="shared" si="626"/>
        <v>9529</v>
      </c>
      <c r="AQ1279" s="2">
        <f t="shared" si="627"/>
        <v>746.786833855799</v>
      </c>
      <c r="AR1279" s="5">
        <f t="shared" si="628"/>
        <v>1403.9592476489</v>
      </c>
    </row>
    <row r="1280" spans="1:44">
      <c r="A1280" s="2">
        <v>20260417</v>
      </c>
      <c r="B1280" s="2" t="s">
        <v>2604</v>
      </c>
      <c r="C1280" s="2" t="s">
        <v>2605</v>
      </c>
      <c r="D1280" s="2">
        <v>4</v>
      </c>
      <c r="E1280" s="2">
        <v>10</v>
      </c>
      <c r="F1280" s="2">
        <v>30</v>
      </c>
      <c r="G1280" s="2">
        <v>24</v>
      </c>
      <c r="H1280" s="2">
        <v>21</v>
      </c>
      <c r="I1280" s="3">
        <v>11</v>
      </c>
      <c r="J1280" s="2">
        <v>5</v>
      </c>
      <c r="K1280" s="2">
        <v>27</v>
      </c>
      <c r="L1280" s="2">
        <v>1</v>
      </c>
      <c r="M1280" s="2">
        <v>4</v>
      </c>
      <c r="N1280" s="2">
        <v>13</v>
      </c>
      <c r="O1280" s="2">
        <v>47</v>
      </c>
      <c r="P1280" s="3">
        <v>11</v>
      </c>
      <c r="Q1280" s="2">
        <v>11</v>
      </c>
      <c r="R1280" s="2">
        <v>4</v>
      </c>
      <c r="S1280" s="2">
        <v>1</v>
      </c>
      <c r="T1280" s="2">
        <v>21</v>
      </c>
      <c r="U1280" s="2">
        <v>3</v>
      </c>
      <c r="V1280" s="1">
        <f t="shared" si="610"/>
        <v>118</v>
      </c>
      <c r="W1280" s="2">
        <v>3</v>
      </c>
      <c r="X1280" s="2">
        <v>4</v>
      </c>
      <c r="Y1280" s="2">
        <v>0</v>
      </c>
      <c r="Z1280" s="2">
        <v>14</v>
      </c>
      <c r="AA1280" s="2">
        <f t="shared" si="625"/>
        <v>128</v>
      </c>
      <c r="AB1280" s="2">
        <v>1464</v>
      </c>
      <c r="AC1280" s="20">
        <f t="shared" si="629"/>
        <v>8.7431693989071</v>
      </c>
      <c r="AD1280" s="2" t="s">
        <v>49</v>
      </c>
      <c r="AE1280" s="2">
        <v>250</v>
      </c>
      <c r="AF1280" s="21">
        <f t="shared" si="622"/>
        <v>6.57486338797814</v>
      </c>
      <c r="AG1280" s="4">
        <f t="shared" si="630"/>
        <v>8.06010928961749</v>
      </c>
      <c r="AH1280" s="4">
        <f t="shared" si="631"/>
        <v>0.956284153005465</v>
      </c>
      <c r="AI1280" s="2">
        <v>4701</v>
      </c>
      <c r="AJ1280" s="2">
        <v>242</v>
      </c>
      <c r="AK1280" s="2">
        <v>60</v>
      </c>
      <c r="AL1280" s="2">
        <v>291</v>
      </c>
      <c r="AM1280" s="2">
        <v>169</v>
      </c>
      <c r="AN1280" s="2">
        <v>1</v>
      </c>
      <c r="AO1280" s="2">
        <v>0</v>
      </c>
      <c r="AP1280" s="2">
        <f t="shared" ref="AP1280:AP1294" si="632">AI1280+AJ1280+AL1280+AN1280</f>
        <v>5235</v>
      </c>
      <c r="AQ1280" s="2">
        <f t="shared" ref="AQ1280:AQ1294" si="633">AP1280/AB1279*100</f>
        <v>312.350835322196</v>
      </c>
      <c r="AR1280" s="5">
        <f t="shared" ref="AR1280:AR1294" si="634">AQ1280*1.88</f>
        <v>587.219570405728</v>
      </c>
    </row>
    <row r="1281" spans="1:44">
      <c r="A1281" s="2">
        <v>20260417</v>
      </c>
      <c r="B1281" s="2" t="s">
        <v>2606</v>
      </c>
      <c r="C1281" s="2" t="s">
        <v>2607</v>
      </c>
      <c r="D1281" s="2">
        <v>2</v>
      </c>
      <c r="E1281" s="2">
        <v>7</v>
      </c>
      <c r="F1281" s="2">
        <v>3</v>
      </c>
      <c r="G1281" s="2">
        <v>2</v>
      </c>
      <c r="H1281" s="2">
        <v>4</v>
      </c>
      <c r="I1281" s="3">
        <v>32</v>
      </c>
      <c r="J1281" s="2">
        <v>12</v>
      </c>
      <c r="K1281" s="2">
        <v>2</v>
      </c>
      <c r="L1281" s="2">
        <v>1</v>
      </c>
      <c r="M1281" s="2">
        <v>7</v>
      </c>
      <c r="N1281" s="2">
        <v>3</v>
      </c>
      <c r="O1281" s="2">
        <v>7</v>
      </c>
      <c r="P1281" s="3">
        <v>2</v>
      </c>
      <c r="Q1281" s="2">
        <v>0</v>
      </c>
      <c r="R1281" s="2">
        <v>4</v>
      </c>
      <c r="S1281" s="2">
        <v>1</v>
      </c>
      <c r="T1281" s="2">
        <v>2</v>
      </c>
      <c r="U1281" s="2">
        <v>1</v>
      </c>
      <c r="V1281" s="1">
        <f t="shared" si="610"/>
        <v>26</v>
      </c>
      <c r="W1281" s="2">
        <v>10</v>
      </c>
      <c r="X1281" s="2">
        <v>28</v>
      </c>
      <c r="Y1281" s="2">
        <v>0</v>
      </c>
      <c r="Z1281" s="2">
        <v>15</v>
      </c>
      <c r="AA1281" s="2">
        <f t="shared" ref="AA1281:AA1295" si="635">G1281+H1281+I1281+J1281+K1281+L1281+M1281+P1281+T1281+U1281</f>
        <v>65</v>
      </c>
      <c r="AB1281" s="2">
        <v>2546</v>
      </c>
      <c r="AC1281" s="20">
        <f t="shared" ref="AC1281:AC1295" si="636">AA1281/AB1281*100</f>
        <v>2.55302435192459</v>
      </c>
      <c r="AD1281" s="2" t="s">
        <v>49</v>
      </c>
      <c r="AE1281" s="2">
        <v>250</v>
      </c>
      <c r="AF1281" s="21">
        <f t="shared" si="622"/>
        <v>1.91987431264729</v>
      </c>
      <c r="AG1281" s="4">
        <f t="shared" si="630"/>
        <v>1.02120974076984</v>
      </c>
      <c r="AH1281" s="4">
        <f t="shared" si="631"/>
        <v>0.589159465828751</v>
      </c>
      <c r="AI1281" s="2">
        <v>7203</v>
      </c>
      <c r="AJ1281" s="2">
        <v>217</v>
      </c>
      <c r="AK1281" s="2">
        <v>97</v>
      </c>
      <c r="AL1281" s="2">
        <v>207</v>
      </c>
      <c r="AM1281" s="2">
        <v>81</v>
      </c>
      <c r="AN1281" s="2">
        <v>2</v>
      </c>
      <c r="AO1281" s="2">
        <v>0</v>
      </c>
      <c r="AP1281" s="2">
        <f t="shared" si="632"/>
        <v>7629</v>
      </c>
      <c r="AQ1281" s="2">
        <f t="shared" si="633"/>
        <v>521.106557377049</v>
      </c>
      <c r="AR1281" s="5">
        <f t="shared" si="634"/>
        <v>979.680327868852</v>
      </c>
    </row>
    <row r="1282" spans="1:44">
      <c r="A1282" s="2">
        <v>20260417</v>
      </c>
      <c r="B1282" s="2" t="s">
        <v>2608</v>
      </c>
      <c r="C1282" s="2" t="s">
        <v>2609</v>
      </c>
      <c r="D1282" s="2">
        <v>1</v>
      </c>
      <c r="E1282" s="2">
        <v>5</v>
      </c>
      <c r="F1282" s="2">
        <v>7</v>
      </c>
      <c r="G1282" s="2">
        <v>4</v>
      </c>
      <c r="H1282" s="2">
        <v>4</v>
      </c>
      <c r="I1282" s="3">
        <v>14</v>
      </c>
      <c r="J1282" s="2">
        <v>14</v>
      </c>
      <c r="K1282" s="2">
        <v>3</v>
      </c>
      <c r="L1282" s="2">
        <v>0</v>
      </c>
      <c r="M1282" s="2">
        <v>7</v>
      </c>
      <c r="N1282" s="2">
        <v>2</v>
      </c>
      <c r="O1282" s="2">
        <v>22</v>
      </c>
      <c r="P1282" s="3">
        <v>1</v>
      </c>
      <c r="Q1282" s="2">
        <v>4</v>
      </c>
      <c r="R1282" s="2">
        <v>3</v>
      </c>
      <c r="S1282" s="2">
        <v>2</v>
      </c>
      <c r="T1282" s="2">
        <v>2</v>
      </c>
      <c r="U1282" s="2">
        <v>0</v>
      </c>
      <c r="V1282" s="1">
        <f t="shared" si="610"/>
        <v>36</v>
      </c>
      <c r="W1282" s="2">
        <v>6</v>
      </c>
      <c r="X1282" s="2">
        <v>7</v>
      </c>
      <c r="Y1282" s="2">
        <v>0</v>
      </c>
      <c r="Z1282" s="2">
        <f t="shared" ref="Z1282:Z1284" si="637">Y1282+X1282+W1282+U1282</f>
        <v>13</v>
      </c>
      <c r="AA1282" s="2">
        <f t="shared" si="635"/>
        <v>49</v>
      </c>
      <c r="AB1282" s="2">
        <v>1616</v>
      </c>
      <c r="AC1282" s="20">
        <f t="shared" si="636"/>
        <v>3.03217821782178</v>
      </c>
      <c r="AD1282" s="2" t="s">
        <v>49</v>
      </c>
      <c r="AE1282" s="2">
        <v>250</v>
      </c>
      <c r="AF1282" s="21">
        <f t="shared" si="622"/>
        <v>2.28019801980198</v>
      </c>
      <c r="AG1282" s="4">
        <f t="shared" si="630"/>
        <v>2.22772277227723</v>
      </c>
      <c r="AH1282" s="4">
        <f t="shared" si="631"/>
        <v>0.804455445544555</v>
      </c>
      <c r="AI1282" s="2">
        <v>5769</v>
      </c>
      <c r="AJ1282" s="2">
        <v>174</v>
      </c>
      <c r="AK1282" s="2">
        <v>63</v>
      </c>
      <c r="AL1282" s="2">
        <v>98</v>
      </c>
      <c r="AM1282" s="2">
        <v>83</v>
      </c>
      <c r="AN1282" s="2">
        <v>4</v>
      </c>
      <c r="AO1282" s="2">
        <v>0</v>
      </c>
      <c r="AP1282" s="2">
        <f t="shared" si="632"/>
        <v>6045</v>
      </c>
      <c r="AQ1282" s="2">
        <f t="shared" si="633"/>
        <v>237.431264728987</v>
      </c>
      <c r="AR1282" s="5">
        <f t="shared" si="634"/>
        <v>446.370777690495</v>
      </c>
    </row>
    <row r="1283" spans="1:44">
      <c r="A1283" s="2">
        <v>20260417</v>
      </c>
      <c r="B1283" s="2" t="s">
        <v>2610</v>
      </c>
      <c r="C1283" s="2" t="s">
        <v>2611</v>
      </c>
      <c r="D1283" s="2">
        <v>0</v>
      </c>
      <c r="E1283" s="2">
        <v>4</v>
      </c>
      <c r="F1283" s="2">
        <v>2</v>
      </c>
      <c r="G1283" s="2">
        <v>3</v>
      </c>
      <c r="H1283" s="2">
        <v>2</v>
      </c>
      <c r="I1283" s="3">
        <v>11</v>
      </c>
      <c r="J1283" s="2">
        <v>6</v>
      </c>
      <c r="K1283" s="2">
        <v>1</v>
      </c>
      <c r="L1283" s="2">
        <v>0</v>
      </c>
      <c r="M1283" s="2">
        <v>4</v>
      </c>
      <c r="N1283" s="2">
        <v>2</v>
      </c>
      <c r="O1283" s="2">
        <v>0</v>
      </c>
      <c r="P1283" s="3">
        <v>0</v>
      </c>
      <c r="Q1283" s="2">
        <v>2</v>
      </c>
      <c r="R1283" s="2">
        <v>3</v>
      </c>
      <c r="S1283" s="2">
        <v>1</v>
      </c>
      <c r="T1283" s="2">
        <v>0</v>
      </c>
      <c r="U1283" s="2">
        <v>0</v>
      </c>
      <c r="V1283" s="1">
        <f t="shared" si="610"/>
        <v>13</v>
      </c>
      <c r="W1283" s="2">
        <v>5</v>
      </c>
      <c r="X1283" s="2">
        <v>9</v>
      </c>
      <c r="Y1283" s="2">
        <v>0</v>
      </c>
      <c r="Z1283" s="2">
        <f t="shared" si="637"/>
        <v>14</v>
      </c>
      <c r="AA1283" s="2">
        <f t="shared" si="635"/>
        <v>27</v>
      </c>
      <c r="AB1283" s="2">
        <v>1266</v>
      </c>
      <c r="AC1283" s="20">
        <f t="shared" si="636"/>
        <v>2.13270142180095</v>
      </c>
      <c r="AD1283" s="2" t="s">
        <v>49</v>
      </c>
      <c r="AE1283" s="2">
        <v>250</v>
      </c>
      <c r="AF1283" s="21">
        <f t="shared" si="622"/>
        <v>1.60379146919431</v>
      </c>
      <c r="AG1283" s="4">
        <f t="shared" si="630"/>
        <v>1.02685624012638</v>
      </c>
      <c r="AH1283" s="4">
        <f t="shared" si="631"/>
        <v>1.10584518167457</v>
      </c>
      <c r="AI1283" s="2">
        <v>3296</v>
      </c>
      <c r="AJ1283" s="2">
        <v>51</v>
      </c>
      <c r="AK1283" s="2">
        <v>42</v>
      </c>
      <c r="AL1283" s="2">
        <v>145</v>
      </c>
      <c r="AM1283" s="2">
        <v>34</v>
      </c>
      <c r="AN1283" s="2">
        <v>1</v>
      </c>
      <c r="AO1283" s="2">
        <v>0</v>
      </c>
      <c r="AP1283" s="2">
        <f t="shared" si="632"/>
        <v>3493</v>
      </c>
      <c r="AQ1283" s="2">
        <f t="shared" si="633"/>
        <v>216.15099009901</v>
      </c>
      <c r="AR1283" s="5">
        <f t="shared" si="634"/>
        <v>406.363861386139</v>
      </c>
    </row>
    <row r="1284" spans="1:44">
      <c r="A1284" s="2">
        <v>20260417</v>
      </c>
      <c r="B1284" s="2" t="s">
        <v>2612</v>
      </c>
      <c r="C1284" s="2" t="s">
        <v>2613</v>
      </c>
      <c r="D1284" s="2">
        <v>0</v>
      </c>
      <c r="E1284" s="2">
        <v>53</v>
      </c>
      <c r="F1284" s="2">
        <v>30</v>
      </c>
      <c r="G1284" s="2">
        <v>48</v>
      </c>
      <c r="H1284" s="2">
        <v>46</v>
      </c>
      <c r="I1284" s="3">
        <v>27</v>
      </c>
      <c r="J1284" s="2">
        <v>70</v>
      </c>
      <c r="K1284" s="2">
        <v>4</v>
      </c>
      <c r="L1284" s="2">
        <v>0</v>
      </c>
      <c r="M1284" s="2">
        <v>10</v>
      </c>
      <c r="N1284" s="2">
        <v>17</v>
      </c>
      <c r="O1284" s="2">
        <v>33</v>
      </c>
      <c r="P1284" s="3">
        <v>7</v>
      </c>
      <c r="Q1284" s="2">
        <v>16</v>
      </c>
      <c r="R1284" s="2">
        <v>125</v>
      </c>
      <c r="S1284" s="2">
        <v>2</v>
      </c>
      <c r="T1284" s="2">
        <v>46</v>
      </c>
      <c r="U1284" s="2">
        <v>4</v>
      </c>
      <c r="V1284" s="1">
        <f t="shared" si="610"/>
        <v>241</v>
      </c>
      <c r="W1284" s="2">
        <v>10</v>
      </c>
      <c r="X1284" s="2">
        <v>6</v>
      </c>
      <c r="Y1284" s="2">
        <v>1</v>
      </c>
      <c r="Z1284" s="2">
        <f t="shared" si="637"/>
        <v>21</v>
      </c>
      <c r="AA1284" s="2">
        <f t="shared" si="635"/>
        <v>262</v>
      </c>
      <c r="AB1284" s="2">
        <v>1786</v>
      </c>
      <c r="AC1284" s="20">
        <f t="shared" si="636"/>
        <v>14.6696528555431</v>
      </c>
      <c r="AD1284" s="2" t="s">
        <v>49</v>
      </c>
      <c r="AE1284" s="2">
        <v>250</v>
      </c>
      <c r="AF1284" s="21">
        <f t="shared" si="622"/>
        <v>11.0315789473684</v>
      </c>
      <c r="AG1284" s="4">
        <f t="shared" si="630"/>
        <v>13.4938409854423</v>
      </c>
      <c r="AH1284" s="4">
        <f t="shared" si="631"/>
        <v>1.17581187010078</v>
      </c>
      <c r="AI1284" s="2">
        <v>8692</v>
      </c>
      <c r="AJ1284" s="2">
        <v>1654</v>
      </c>
      <c r="AK1284" s="2">
        <v>64</v>
      </c>
      <c r="AL1284" s="2">
        <v>558</v>
      </c>
      <c r="AM1284" s="2">
        <v>220</v>
      </c>
      <c r="AN1284" s="2">
        <v>7</v>
      </c>
      <c r="AO1284" s="2">
        <v>0</v>
      </c>
      <c r="AP1284" s="2">
        <f t="shared" si="632"/>
        <v>10911</v>
      </c>
      <c r="AQ1284" s="2">
        <f t="shared" si="633"/>
        <v>861.848341232228</v>
      </c>
      <c r="AR1284" s="5">
        <f t="shared" si="634"/>
        <v>1620.27488151659</v>
      </c>
    </row>
    <row r="1285" spans="1:44">
      <c r="A1285" s="2">
        <v>20260417</v>
      </c>
      <c r="B1285" s="2" t="s">
        <v>2614</v>
      </c>
      <c r="C1285" s="2" t="s">
        <v>2615</v>
      </c>
      <c r="D1285" s="2">
        <v>0</v>
      </c>
      <c r="E1285" s="2">
        <v>9</v>
      </c>
      <c r="F1285" s="2">
        <v>7</v>
      </c>
      <c r="G1285" s="2">
        <v>2</v>
      </c>
      <c r="H1285" s="2">
        <v>4</v>
      </c>
      <c r="I1285" s="3">
        <v>22</v>
      </c>
      <c r="J1285" s="2">
        <v>15</v>
      </c>
      <c r="K1285" s="2">
        <v>1</v>
      </c>
      <c r="L1285" s="2">
        <v>0</v>
      </c>
      <c r="M1285" s="2">
        <v>2</v>
      </c>
      <c r="N1285" s="2">
        <v>1</v>
      </c>
      <c r="O1285" s="2">
        <v>2</v>
      </c>
      <c r="P1285" s="3">
        <v>1</v>
      </c>
      <c r="Q1285" s="2">
        <v>1</v>
      </c>
      <c r="R1285" s="2">
        <v>59</v>
      </c>
      <c r="S1285" s="2">
        <v>2</v>
      </c>
      <c r="T1285" s="2">
        <v>1</v>
      </c>
      <c r="U1285" s="2">
        <v>1</v>
      </c>
      <c r="V1285" s="2">
        <f>U1285+T1285+S1285+Q1285</f>
        <v>5</v>
      </c>
      <c r="W1285" s="2">
        <v>21</v>
      </c>
      <c r="X1285" s="2">
        <v>15</v>
      </c>
      <c r="Y1285" s="2">
        <v>0</v>
      </c>
      <c r="Z1285" s="2">
        <f t="shared" ref="Z1285:Z1299" si="638">Y1285+X1285+W1285+U1285</f>
        <v>37</v>
      </c>
      <c r="AA1285" s="2">
        <f t="shared" si="635"/>
        <v>49</v>
      </c>
      <c r="AB1285" s="2">
        <v>2516</v>
      </c>
      <c r="AC1285" s="20">
        <f t="shared" si="636"/>
        <v>1.94753577106518</v>
      </c>
      <c r="AD1285" s="2" t="s">
        <v>49</v>
      </c>
      <c r="AE1285" s="2">
        <v>250</v>
      </c>
      <c r="AF1285" s="21">
        <f t="shared" si="622"/>
        <v>1.46454689984102</v>
      </c>
      <c r="AG1285" s="4">
        <f t="shared" ref="AG1285:AG1295" si="639">V1285/AB1285*100</f>
        <v>0.19872813990461</v>
      </c>
      <c r="AH1285" s="4">
        <f t="shared" ref="AH1285:AH1295" si="640">Z1285/AB1285*100</f>
        <v>1.47058823529412</v>
      </c>
      <c r="AI1285" s="2">
        <v>5351</v>
      </c>
      <c r="AJ1285" s="2">
        <v>156</v>
      </c>
      <c r="AK1285" s="2">
        <v>64</v>
      </c>
      <c r="AL1285" s="2">
        <v>473</v>
      </c>
      <c r="AM1285" s="2">
        <v>86</v>
      </c>
      <c r="AN1285" s="2">
        <v>5</v>
      </c>
      <c r="AO1285" s="2">
        <v>0</v>
      </c>
      <c r="AP1285" s="2">
        <f t="shared" si="632"/>
        <v>5985</v>
      </c>
      <c r="AQ1285" s="2">
        <f t="shared" si="633"/>
        <v>335.106382978723</v>
      </c>
      <c r="AR1285" s="5">
        <f t="shared" si="634"/>
        <v>630</v>
      </c>
    </row>
    <row r="1286" spans="1:44">
      <c r="A1286" s="2">
        <v>20260417</v>
      </c>
      <c r="B1286" s="2" t="s">
        <v>2616</v>
      </c>
      <c r="C1286" s="2" t="s">
        <v>2617</v>
      </c>
      <c r="D1286" s="2">
        <v>0</v>
      </c>
      <c r="E1286" s="2">
        <v>5</v>
      </c>
      <c r="F1286" s="2">
        <v>1</v>
      </c>
      <c r="G1286" s="2">
        <v>3</v>
      </c>
      <c r="H1286" s="2">
        <v>1</v>
      </c>
      <c r="I1286" s="3">
        <v>31</v>
      </c>
      <c r="J1286" s="2">
        <v>10</v>
      </c>
      <c r="K1286" s="2">
        <v>0</v>
      </c>
      <c r="L1286" s="2">
        <v>1</v>
      </c>
      <c r="M1286" s="2">
        <v>3</v>
      </c>
      <c r="N1286" s="2">
        <v>1</v>
      </c>
      <c r="O1286" s="2">
        <v>3</v>
      </c>
      <c r="P1286" s="3">
        <v>0</v>
      </c>
      <c r="Q1286" s="2">
        <v>1</v>
      </c>
      <c r="R1286" s="2">
        <v>2</v>
      </c>
      <c r="S1286" s="2">
        <v>2</v>
      </c>
      <c r="T1286" s="2">
        <v>1</v>
      </c>
      <c r="U1286" s="2">
        <v>0</v>
      </c>
      <c r="V1286" s="2">
        <f t="shared" ref="V1286:V1298" si="641">U1286+T1286+S1286+Q1286</f>
        <v>4</v>
      </c>
      <c r="W1286" s="2">
        <v>16</v>
      </c>
      <c r="X1286" s="2">
        <v>23</v>
      </c>
      <c r="Y1286" s="2">
        <v>2</v>
      </c>
      <c r="Z1286" s="2">
        <f t="shared" si="638"/>
        <v>41</v>
      </c>
      <c r="AA1286" s="2">
        <f t="shared" si="635"/>
        <v>50</v>
      </c>
      <c r="AB1286" s="2">
        <v>2516</v>
      </c>
      <c r="AC1286" s="20">
        <f t="shared" si="636"/>
        <v>1.9872813990461</v>
      </c>
      <c r="AD1286" s="2" t="s">
        <v>49</v>
      </c>
      <c r="AE1286" s="2">
        <v>250</v>
      </c>
      <c r="AF1286" s="21">
        <f t="shared" si="622"/>
        <v>1.49443561208267</v>
      </c>
      <c r="AG1286" s="4">
        <f t="shared" si="639"/>
        <v>0.158982511923688</v>
      </c>
      <c r="AH1286" s="4">
        <f t="shared" si="640"/>
        <v>1.62957074721781</v>
      </c>
      <c r="AI1286" s="2">
        <v>5218</v>
      </c>
      <c r="AJ1286" s="2">
        <v>182</v>
      </c>
      <c r="AK1286" s="2">
        <v>53</v>
      </c>
      <c r="AL1286" s="2">
        <v>206</v>
      </c>
      <c r="AM1286" s="2">
        <v>65</v>
      </c>
      <c r="AN1286" s="2">
        <v>0</v>
      </c>
      <c r="AO1286" s="2">
        <v>0</v>
      </c>
      <c r="AP1286" s="2">
        <f t="shared" si="632"/>
        <v>5606</v>
      </c>
      <c r="AQ1286" s="2">
        <f t="shared" si="633"/>
        <v>222.813990461049</v>
      </c>
      <c r="AR1286" s="5">
        <f t="shared" si="634"/>
        <v>418.890302066773</v>
      </c>
    </row>
    <row r="1287" spans="1:44">
      <c r="A1287" s="2">
        <v>20260418</v>
      </c>
      <c r="B1287" s="2" t="s">
        <v>2618</v>
      </c>
      <c r="C1287" s="2" t="s">
        <v>2619</v>
      </c>
      <c r="D1287" s="2">
        <v>0</v>
      </c>
      <c r="E1287" s="2">
        <v>4</v>
      </c>
      <c r="F1287" s="2">
        <v>4</v>
      </c>
      <c r="G1287" s="2">
        <v>0</v>
      </c>
      <c r="H1287" s="2">
        <v>2</v>
      </c>
      <c r="I1287" s="3">
        <v>17</v>
      </c>
      <c r="J1287" s="2">
        <v>16</v>
      </c>
      <c r="K1287" s="2">
        <v>1</v>
      </c>
      <c r="L1287" s="2">
        <v>0</v>
      </c>
      <c r="M1287" s="2">
        <v>6</v>
      </c>
      <c r="N1287" s="2">
        <v>2</v>
      </c>
      <c r="O1287" s="2">
        <v>15</v>
      </c>
      <c r="P1287" s="3">
        <v>4</v>
      </c>
      <c r="Q1287" s="2">
        <v>7</v>
      </c>
      <c r="R1287" s="2">
        <v>5</v>
      </c>
      <c r="S1287" s="2">
        <v>1</v>
      </c>
      <c r="T1287" s="2">
        <v>2</v>
      </c>
      <c r="U1287" s="2">
        <v>0</v>
      </c>
      <c r="V1287" s="2">
        <f t="shared" si="641"/>
        <v>10</v>
      </c>
      <c r="W1287" s="2">
        <v>12</v>
      </c>
      <c r="X1287" s="2">
        <v>11</v>
      </c>
      <c r="Y1287" s="2">
        <v>0</v>
      </c>
      <c r="Z1287" s="2">
        <f t="shared" si="638"/>
        <v>23</v>
      </c>
      <c r="AA1287" s="2">
        <f t="shared" si="635"/>
        <v>48</v>
      </c>
      <c r="AB1287" s="2">
        <v>2834</v>
      </c>
      <c r="AC1287" s="20">
        <f t="shared" si="636"/>
        <v>1.69371912491179</v>
      </c>
      <c r="AD1287" s="2" t="s">
        <v>58</v>
      </c>
      <c r="AE1287" s="2">
        <v>250</v>
      </c>
      <c r="AF1287" s="21">
        <f t="shared" ref="AF1287:AF1301" si="642">188/AE1287*AC1287</f>
        <v>1.27367678193366</v>
      </c>
      <c r="AG1287" s="4">
        <f t="shared" si="639"/>
        <v>0.352858151023289</v>
      </c>
      <c r="AH1287" s="4">
        <f t="shared" si="640"/>
        <v>0.811573747353564</v>
      </c>
      <c r="AI1287" s="2">
        <v>7041</v>
      </c>
      <c r="AJ1287" s="2">
        <v>150</v>
      </c>
      <c r="AK1287" s="2">
        <v>43</v>
      </c>
      <c r="AL1287" s="2">
        <v>980</v>
      </c>
      <c r="AM1287" s="2">
        <v>101</v>
      </c>
      <c r="AN1287" s="2">
        <v>0</v>
      </c>
      <c r="AO1287" s="2">
        <v>0</v>
      </c>
      <c r="AP1287" s="2">
        <f t="shared" si="632"/>
        <v>8171</v>
      </c>
      <c r="AQ1287" s="2">
        <f t="shared" si="633"/>
        <v>324.761526232114</v>
      </c>
      <c r="AR1287" s="5">
        <f t="shared" si="634"/>
        <v>610.551669316375</v>
      </c>
    </row>
    <row r="1288" spans="1:44">
      <c r="A1288" s="2">
        <v>20260418</v>
      </c>
      <c r="B1288" s="2" t="s">
        <v>2620</v>
      </c>
      <c r="C1288" s="2" t="s">
        <v>2621</v>
      </c>
      <c r="D1288" s="2">
        <v>0</v>
      </c>
      <c r="E1288" s="2">
        <v>66</v>
      </c>
      <c r="F1288" s="2">
        <v>4</v>
      </c>
      <c r="G1288" s="2">
        <v>0</v>
      </c>
      <c r="H1288" s="2">
        <v>1</v>
      </c>
      <c r="I1288" s="3">
        <v>34</v>
      </c>
      <c r="J1288" s="2">
        <v>18</v>
      </c>
      <c r="K1288" s="2">
        <v>1</v>
      </c>
      <c r="L1288" s="2">
        <v>1</v>
      </c>
      <c r="M1288" s="2">
        <v>1</v>
      </c>
      <c r="N1288" s="2">
        <v>6</v>
      </c>
      <c r="O1288" s="2">
        <v>3</v>
      </c>
      <c r="P1288" s="3">
        <v>4</v>
      </c>
      <c r="Q1288" s="2">
        <v>4</v>
      </c>
      <c r="R1288" s="2">
        <v>2</v>
      </c>
      <c r="S1288" s="2">
        <v>2</v>
      </c>
      <c r="T1288" s="2">
        <v>1</v>
      </c>
      <c r="U1288" s="2">
        <v>0</v>
      </c>
      <c r="V1288" s="2">
        <f t="shared" si="641"/>
        <v>7</v>
      </c>
      <c r="W1288" s="2">
        <v>31</v>
      </c>
      <c r="X1288" s="2">
        <v>20</v>
      </c>
      <c r="Y1288" s="2">
        <v>0</v>
      </c>
      <c r="Z1288" s="2">
        <f t="shared" si="638"/>
        <v>51</v>
      </c>
      <c r="AA1288" s="2">
        <f t="shared" si="635"/>
        <v>61</v>
      </c>
      <c r="AB1288" s="2">
        <v>2296</v>
      </c>
      <c r="AC1288" s="20">
        <f t="shared" si="636"/>
        <v>2.65679442508711</v>
      </c>
      <c r="AD1288" s="2" t="s">
        <v>58</v>
      </c>
      <c r="AE1288" s="2">
        <v>250</v>
      </c>
      <c r="AF1288" s="21">
        <f t="shared" si="642"/>
        <v>1.99790940766551</v>
      </c>
      <c r="AG1288" s="4">
        <f t="shared" si="639"/>
        <v>0.304878048780488</v>
      </c>
      <c r="AH1288" s="4">
        <f t="shared" si="640"/>
        <v>2.2212543554007</v>
      </c>
      <c r="AI1288" s="2">
        <v>5985</v>
      </c>
      <c r="AJ1288" s="2">
        <v>201</v>
      </c>
      <c r="AK1288" s="2">
        <v>41</v>
      </c>
      <c r="AL1288" s="2">
        <v>709</v>
      </c>
      <c r="AM1288" s="2">
        <v>209</v>
      </c>
      <c r="AN1288" s="2">
        <v>5</v>
      </c>
      <c r="AO1288" s="2">
        <v>0</v>
      </c>
      <c r="AP1288" s="2">
        <f t="shared" si="632"/>
        <v>6900</v>
      </c>
      <c r="AQ1288" s="2">
        <f t="shared" si="633"/>
        <v>243.472124206069</v>
      </c>
      <c r="AR1288" s="5">
        <f t="shared" si="634"/>
        <v>457.72759350741</v>
      </c>
    </row>
    <row r="1289" spans="1:44">
      <c r="A1289" s="2">
        <v>20260418</v>
      </c>
      <c r="B1289" s="2" t="s">
        <v>2622</v>
      </c>
      <c r="C1289" s="2" t="s">
        <v>2623</v>
      </c>
      <c r="D1289" s="2">
        <v>0</v>
      </c>
      <c r="E1289" s="2">
        <v>32</v>
      </c>
      <c r="F1289" s="2">
        <v>3</v>
      </c>
      <c r="G1289" s="2">
        <v>3</v>
      </c>
      <c r="H1289" s="2">
        <v>3</v>
      </c>
      <c r="I1289" s="3">
        <v>28</v>
      </c>
      <c r="J1289" s="2">
        <v>12</v>
      </c>
      <c r="K1289" s="2">
        <v>0</v>
      </c>
      <c r="L1289" s="2">
        <v>0</v>
      </c>
      <c r="M1289" s="2">
        <v>2</v>
      </c>
      <c r="N1289" s="2">
        <v>5</v>
      </c>
      <c r="O1289" s="2">
        <v>9</v>
      </c>
      <c r="P1289" s="3">
        <v>3</v>
      </c>
      <c r="Q1289" s="2">
        <v>0</v>
      </c>
      <c r="R1289" s="2">
        <v>207</v>
      </c>
      <c r="S1289" s="2">
        <v>2</v>
      </c>
      <c r="T1289" s="2">
        <v>0</v>
      </c>
      <c r="U1289" s="2">
        <v>0</v>
      </c>
      <c r="V1289" s="2">
        <f t="shared" si="641"/>
        <v>2</v>
      </c>
      <c r="W1289" s="2">
        <v>0</v>
      </c>
      <c r="X1289" s="2">
        <v>7</v>
      </c>
      <c r="Y1289" s="2">
        <v>0</v>
      </c>
      <c r="Z1289" s="2">
        <f t="shared" si="638"/>
        <v>7</v>
      </c>
      <c r="AA1289" s="2">
        <f t="shared" si="635"/>
        <v>51</v>
      </c>
      <c r="AB1289" s="2">
        <v>2614</v>
      </c>
      <c r="AC1289" s="20">
        <f t="shared" si="636"/>
        <v>1.95103289977047</v>
      </c>
      <c r="AD1289" s="2" t="s">
        <v>58</v>
      </c>
      <c r="AE1289" s="2">
        <v>250</v>
      </c>
      <c r="AF1289" s="21">
        <f t="shared" si="642"/>
        <v>1.46717674062739</v>
      </c>
      <c r="AG1289" s="4">
        <f t="shared" si="639"/>
        <v>0.0765110941086457</v>
      </c>
      <c r="AH1289" s="4">
        <f t="shared" si="640"/>
        <v>0.26778882938026</v>
      </c>
      <c r="AI1289" s="2">
        <v>6337</v>
      </c>
      <c r="AJ1289" s="2">
        <v>172</v>
      </c>
      <c r="AK1289" s="2">
        <v>65</v>
      </c>
      <c r="AL1289" s="2">
        <v>722</v>
      </c>
      <c r="AM1289" s="2">
        <v>50</v>
      </c>
      <c r="AN1289" s="2">
        <v>2</v>
      </c>
      <c r="AO1289" s="2">
        <v>0</v>
      </c>
      <c r="AP1289" s="2">
        <f t="shared" si="632"/>
        <v>7233</v>
      </c>
      <c r="AQ1289" s="2">
        <f t="shared" si="633"/>
        <v>315.026132404181</v>
      </c>
      <c r="AR1289" s="5">
        <f t="shared" si="634"/>
        <v>592.249128919861</v>
      </c>
    </row>
    <row r="1290" spans="1:44">
      <c r="A1290" s="2">
        <v>20260418</v>
      </c>
      <c r="B1290" s="2" t="s">
        <v>2624</v>
      </c>
      <c r="C1290" s="2" t="s">
        <v>2625</v>
      </c>
      <c r="D1290" s="2">
        <v>1</v>
      </c>
      <c r="E1290" s="2">
        <v>14</v>
      </c>
      <c r="F1290" s="2">
        <v>9</v>
      </c>
      <c r="G1290" s="2">
        <v>1</v>
      </c>
      <c r="H1290" s="2">
        <v>4</v>
      </c>
      <c r="I1290" s="3">
        <v>34</v>
      </c>
      <c r="J1290" s="2">
        <v>12</v>
      </c>
      <c r="K1290" s="2">
        <v>3</v>
      </c>
      <c r="L1290" s="2">
        <v>2</v>
      </c>
      <c r="M1290" s="2">
        <v>6</v>
      </c>
      <c r="N1290" s="2">
        <v>2</v>
      </c>
      <c r="O1290" s="2">
        <v>1</v>
      </c>
      <c r="P1290" s="3">
        <v>3</v>
      </c>
      <c r="Q1290" s="2">
        <v>1</v>
      </c>
      <c r="R1290" s="2">
        <v>15</v>
      </c>
      <c r="S1290" s="2">
        <v>3</v>
      </c>
      <c r="T1290" s="2">
        <v>0</v>
      </c>
      <c r="U1290" s="2">
        <v>1</v>
      </c>
      <c r="V1290" s="2">
        <f t="shared" si="641"/>
        <v>5</v>
      </c>
      <c r="W1290" s="2">
        <v>2</v>
      </c>
      <c r="X1290" s="2">
        <v>5</v>
      </c>
      <c r="Y1290" s="2">
        <v>0</v>
      </c>
      <c r="Z1290" s="2">
        <f t="shared" si="638"/>
        <v>8</v>
      </c>
      <c r="AA1290" s="2">
        <f t="shared" si="635"/>
        <v>66</v>
      </c>
      <c r="AB1290" s="2">
        <v>1515</v>
      </c>
      <c r="AC1290" s="20">
        <f t="shared" si="636"/>
        <v>4.35643564356436</v>
      </c>
      <c r="AD1290" s="2" t="s">
        <v>58</v>
      </c>
      <c r="AE1290" s="2">
        <v>250</v>
      </c>
      <c r="AF1290" s="21">
        <f t="shared" si="642"/>
        <v>3.2760396039604</v>
      </c>
      <c r="AG1290" s="4">
        <f t="shared" si="639"/>
        <v>0.33003300330033</v>
      </c>
      <c r="AH1290" s="4">
        <f t="shared" si="640"/>
        <v>0.528052805280528</v>
      </c>
      <c r="AI1290" s="2">
        <v>4611</v>
      </c>
      <c r="AJ1290" s="2">
        <v>172</v>
      </c>
      <c r="AK1290" s="2">
        <v>48</v>
      </c>
      <c r="AL1290" s="2">
        <v>138</v>
      </c>
      <c r="AM1290" s="2">
        <v>84</v>
      </c>
      <c r="AN1290" s="2">
        <v>1</v>
      </c>
      <c r="AO1290" s="2">
        <v>0</v>
      </c>
      <c r="AP1290" s="2">
        <f t="shared" si="632"/>
        <v>4922</v>
      </c>
      <c r="AQ1290" s="2">
        <f t="shared" si="633"/>
        <v>188.293802601377</v>
      </c>
      <c r="AR1290" s="5">
        <f t="shared" si="634"/>
        <v>353.992348890589</v>
      </c>
    </row>
    <row r="1291" spans="1:44">
      <c r="A1291" s="2">
        <v>20260418</v>
      </c>
      <c r="B1291" s="2" t="s">
        <v>2626</v>
      </c>
      <c r="C1291" s="2" t="s">
        <v>2627</v>
      </c>
      <c r="D1291" s="2">
        <v>0</v>
      </c>
      <c r="E1291" s="2">
        <v>13</v>
      </c>
      <c r="F1291" s="2">
        <v>2</v>
      </c>
      <c r="G1291" s="2">
        <v>1</v>
      </c>
      <c r="H1291" s="2">
        <v>7</v>
      </c>
      <c r="I1291" s="3">
        <v>26</v>
      </c>
      <c r="J1291" s="2">
        <v>11</v>
      </c>
      <c r="K1291" s="2">
        <v>3</v>
      </c>
      <c r="L1291" s="2">
        <v>2</v>
      </c>
      <c r="M1291" s="2">
        <v>6</v>
      </c>
      <c r="N1291" s="2">
        <v>1</v>
      </c>
      <c r="O1291" s="2">
        <v>1</v>
      </c>
      <c r="P1291" s="3">
        <v>3</v>
      </c>
      <c r="Q1291" s="2">
        <v>1</v>
      </c>
      <c r="R1291" s="2">
        <v>9</v>
      </c>
      <c r="S1291" s="2">
        <v>1</v>
      </c>
      <c r="T1291" s="2">
        <v>5</v>
      </c>
      <c r="U1291" s="2">
        <v>1</v>
      </c>
      <c r="V1291" s="2">
        <f t="shared" si="641"/>
        <v>8</v>
      </c>
      <c r="W1291" s="2">
        <v>12</v>
      </c>
      <c r="X1291" s="2">
        <v>14</v>
      </c>
      <c r="Y1291" s="2">
        <v>1</v>
      </c>
      <c r="Z1291" s="2">
        <f t="shared" si="638"/>
        <v>28</v>
      </c>
      <c r="AA1291" s="2">
        <f t="shared" si="635"/>
        <v>65</v>
      </c>
      <c r="AB1291" s="2">
        <v>2514</v>
      </c>
      <c r="AC1291" s="20">
        <f t="shared" si="636"/>
        <v>2.58552108194113</v>
      </c>
      <c r="AD1291" s="2" t="s">
        <v>58</v>
      </c>
      <c r="AE1291" s="2">
        <v>250</v>
      </c>
      <c r="AF1291" s="21">
        <f t="shared" si="642"/>
        <v>1.94431185361973</v>
      </c>
      <c r="AG1291" s="4">
        <f t="shared" si="639"/>
        <v>0.318217979315831</v>
      </c>
      <c r="AH1291" s="4">
        <f t="shared" si="640"/>
        <v>1.11376292760541</v>
      </c>
      <c r="AI1291" s="2">
        <v>5145</v>
      </c>
      <c r="AJ1291" s="2">
        <v>163</v>
      </c>
      <c r="AK1291" s="2">
        <v>77</v>
      </c>
      <c r="AL1291" s="2">
        <v>70</v>
      </c>
      <c r="AM1291" s="2">
        <v>49</v>
      </c>
      <c r="AN1291" s="2">
        <v>7</v>
      </c>
      <c r="AO1291" s="2">
        <v>0</v>
      </c>
      <c r="AP1291" s="2">
        <f t="shared" si="632"/>
        <v>5385</v>
      </c>
      <c r="AQ1291" s="2">
        <f t="shared" si="633"/>
        <v>355.445544554455</v>
      </c>
      <c r="AR1291" s="5">
        <f t="shared" si="634"/>
        <v>668.237623762376</v>
      </c>
    </row>
    <row r="1292" spans="1:44">
      <c r="A1292" s="2">
        <v>20260418</v>
      </c>
      <c r="B1292" s="2" t="s">
        <v>2628</v>
      </c>
      <c r="C1292" s="2" t="s">
        <v>2629</v>
      </c>
      <c r="D1292" s="2">
        <v>0</v>
      </c>
      <c r="E1292" s="2">
        <v>9</v>
      </c>
      <c r="F1292" s="2">
        <v>6</v>
      </c>
      <c r="G1292" s="2">
        <v>1</v>
      </c>
      <c r="H1292" s="2">
        <v>5</v>
      </c>
      <c r="I1292" s="3">
        <v>19</v>
      </c>
      <c r="J1292" s="2">
        <v>12</v>
      </c>
      <c r="K1292" s="2">
        <v>4</v>
      </c>
      <c r="L1292" s="2">
        <v>0</v>
      </c>
      <c r="M1292" s="2">
        <v>6</v>
      </c>
      <c r="N1292" s="2">
        <v>1</v>
      </c>
      <c r="O1292" s="2">
        <v>8</v>
      </c>
      <c r="P1292" s="3">
        <v>2</v>
      </c>
      <c r="Q1292" s="2">
        <v>2</v>
      </c>
      <c r="R1292" s="2">
        <v>10</v>
      </c>
      <c r="S1292" s="2">
        <v>0</v>
      </c>
      <c r="T1292" s="2">
        <v>0</v>
      </c>
      <c r="U1292" s="2">
        <v>0</v>
      </c>
      <c r="V1292" s="2">
        <f t="shared" si="641"/>
        <v>2</v>
      </c>
      <c r="W1292" s="2">
        <v>1</v>
      </c>
      <c r="X1292" s="2">
        <v>8</v>
      </c>
      <c r="Y1292" s="2">
        <v>0</v>
      </c>
      <c r="Z1292" s="2">
        <f t="shared" si="638"/>
        <v>9</v>
      </c>
      <c r="AA1292" s="2">
        <f t="shared" si="635"/>
        <v>49</v>
      </c>
      <c r="AB1292" s="2">
        <v>2514</v>
      </c>
      <c r="AC1292" s="20">
        <f t="shared" si="636"/>
        <v>1.94908512330947</v>
      </c>
      <c r="AD1292" s="2" t="s">
        <v>58</v>
      </c>
      <c r="AE1292" s="2">
        <v>250</v>
      </c>
      <c r="AF1292" s="21">
        <f t="shared" si="642"/>
        <v>1.46571201272872</v>
      </c>
      <c r="AG1292" s="4">
        <f t="shared" si="639"/>
        <v>0.0795544948289578</v>
      </c>
      <c r="AH1292" s="4">
        <f t="shared" si="640"/>
        <v>0.35799522673031</v>
      </c>
      <c r="AI1292" s="2">
        <v>4702</v>
      </c>
      <c r="AJ1292" s="2">
        <v>104</v>
      </c>
      <c r="AK1292" s="2">
        <v>46</v>
      </c>
      <c r="AL1292" s="2">
        <v>108</v>
      </c>
      <c r="AM1292" s="2">
        <v>32</v>
      </c>
      <c r="AN1292" s="2">
        <v>3</v>
      </c>
      <c r="AO1292" s="2">
        <v>0</v>
      </c>
      <c r="AP1292" s="2">
        <f t="shared" si="632"/>
        <v>4917</v>
      </c>
      <c r="AQ1292" s="2">
        <f t="shared" si="633"/>
        <v>195.584725536993</v>
      </c>
      <c r="AR1292" s="5">
        <f t="shared" si="634"/>
        <v>367.699284009546</v>
      </c>
    </row>
    <row r="1293" spans="1:44">
      <c r="A1293" s="2">
        <v>20260418</v>
      </c>
      <c r="B1293" s="2" t="s">
        <v>2630</v>
      </c>
      <c r="C1293" s="2" t="s">
        <v>2631</v>
      </c>
      <c r="D1293" s="2">
        <v>0</v>
      </c>
      <c r="E1293" s="2">
        <v>17</v>
      </c>
      <c r="F1293" s="2">
        <v>0</v>
      </c>
      <c r="G1293" s="2">
        <v>2</v>
      </c>
      <c r="H1293" s="2">
        <v>1</v>
      </c>
      <c r="I1293" s="3">
        <v>16</v>
      </c>
      <c r="J1293" s="2">
        <v>4</v>
      </c>
      <c r="K1293" s="2">
        <v>0</v>
      </c>
      <c r="L1293" s="2">
        <v>1</v>
      </c>
      <c r="M1293" s="2">
        <v>1</v>
      </c>
      <c r="N1293" s="2">
        <v>2</v>
      </c>
      <c r="O1293" s="2">
        <v>0</v>
      </c>
      <c r="P1293" s="3">
        <v>3</v>
      </c>
      <c r="Q1293" s="2">
        <v>0</v>
      </c>
      <c r="R1293" s="2">
        <v>0</v>
      </c>
      <c r="S1293" s="2">
        <v>0</v>
      </c>
      <c r="T1293" s="2">
        <v>0</v>
      </c>
      <c r="U1293" s="2">
        <v>0</v>
      </c>
      <c r="V1293" s="2">
        <f t="shared" si="641"/>
        <v>0</v>
      </c>
      <c r="W1293" s="2">
        <v>0</v>
      </c>
      <c r="X1293" s="2">
        <v>6</v>
      </c>
      <c r="Y1293" s="2">
        <v>0</v>
      </c>
      <c r="Z1293" s="2">
        <f t="shared" si="638"/>
        <v>6</v>
      </c>
      <c r="AA1293" s="2">
        <f t="shared" si="635"/>
        <v>28</v>
      </c>
      <c r="AB1293" s="2">
        <v>1262</v>
      </c>
      <c r="AC1293" s="20">
        <f t="shared" si="636"/>
        <v>2.21870047543582</v>
      </c>
      <c r="AD1293" s="2" t="s">
        <v>58</v>
      </c>
      <c r="AE1293" s="2">
        <v>250</v>
      </c>
      <c r="AF1293" s="21">
        <f t="shared" si="642"/>
        <v>1.66846275752773</v>
      </c>
      <c r="AG1293" s="4">
        <f t="shared" si="639"/>
        <v>0</v>
      </c>
      <c r="AH1293" s="4">
        <f t="shared" si="640"/>
        <v>0.475435816164818</v>
      </c>
      <c r="AI1293" s="2">
        <v>3199</v>
      </c>
      <c r="AJ1293" s="2">
        <v>126</v>
      </c>
      <c r="AK1293" s="2">
        <v>19</v>
      </c>
      <c r="AL1293" s="2">
        <v>36</v>
      </c>
      <c r="AM1293" s="2">
        <v>29</v>
      </c>
      <c r="AN1293" s="2">
        <v>1</v>
      </c>
      <c r="AO1293" s="2">
        <v>0</v>
      </c>
      <c r="AP1293" s="2">
        <f t="shared" si="632"/>
        <v>3362</v>
      </c>
      <c r="AQ1293" s="2">
        <f t="shared" si="633"/>
        <v>133.731105807478</v>
      </c>
      <c r="AR1293" s="5">
        <f t="shared" si="634"/>
        <v>251.414478918059</v>
      </c>
    </row>
    <row r="1294" spans="1:44">
      <c r="A1294" s="2">
        <v>20260418</v>
      </c>
      <c r="B1294" s="2" t="s">
        <v>2632</v>
      </c>
      <c r="C1294" s="2" t="s">
        <v>2633</v>
      </c>
      <c r="D1294" s="2">
        <v>1</v>
      </c>
      <c r="E1294" s="2">
        <v>26</v>
      </c>
      <c r="F1294" s="2">
        <v>1</v>
      </c>
      <c r="G1294" s="2">
        <v>3</v>
      </c>
      <c r="H1294" s="2">
        <v>3</v>
      </c>
      <c r="I1294" s="3">
        <v>37</v>
      </c>
      <c r="J1294" s="2">
        <v>10</v>
      </c>
      <c r="K1294" s="2">
        <v>2</v>
      </c>
      <c r="L1294" s="2">
        <v>1</v>
      </c>
      <c r="M1294" s="2">
        <v>16</v>
      </c>
      <c r="N1294" s="2">
        <v>2</v>
      </c>
      <c r="O1294" s="2">
        <v>12</v>
      </c>
      <c r="P1294" s="3">
        <v>7</v>
      </c>
      <c r="Q1294" s="2">
        <v>2</v>
      </c>
      <c r="R1294" s="2">
        <v>7</v>
      </c>
      <c r="S1294" s="2">
        <v>2</v>
      </c>
      <c r="T1294" s="2">
        <v>4</v>
      </c>
      <c r="U1294" s="2">
        <v>0</v>
      </c>
      <c r="V1294" s="2">
        <f t="shared" ref="V1294:V1309" si="643">U1294+T1294+S1294+Q1294</f>
        <v>8</v>
      </c>
      <c r="W1294" s="2">
        <v>1</v>
      </c>
      <c r="X1294" s="2">
        <v>7</v>
      </c>
      <c r="Y1294" s="2">
        <v>0</v>
      </c>
      <c r="Z1294" s="2">
        <f t="shared" ref="Z1294:Z1309" si="644">Y1294+X1294+W1294+U1294</f>
        <v>8</v>
      </c>
      <c r="AA1294" s="2">
        <f t="shared" ref="AA1294:AA1309" si="645">G1294+H1294+I1294+J1294+K1294+L1294+M1294+P1294+T1294+U1294</f>
        <v>83</v>
      </c>
      <c r="AB1294" s="2">
        <v>2513</v>
      </c>
      <c r="AC1294" s="20">
        <f t="shared" ref="AC1294:AC1309" si="646">AA1294/AB1294*100</f>
        <v>3.30282530839634</v>
      </c>
      <c r="AD1294" s="2" t="s">
        <v>58</v>
      </c>
      <c r="AE1294" s="2">
        <v>250</v>
      </c>
      <c r="AF1294" s="21">
        <f t="shared" ref="AF1294:AF1309" si="647">188/AE1294*AC1294</f>
        <v>2.48372463191405</v>
      </c>
      <c r="AG1294" s="4">
        <f t="shared" ref="AG1294:AG1309" si="648">V1294/AB1294*100</f>
        <v>0.318344608038201</v>
      </c>
      <c r="AH1294" s="4">
        <f t="shared" ref="AH1294:AH1309" si="649">Z1294/AB1294*100</f>
        <v>0.318344608038201</v>
      </c>
      <c r="AI1294" s="2">
        <v>6037</v>
      </c>
      <c r="AJ1294" s="2">
        <v>293</v>
      </c>
      <c r="AK1294" s="2">
        <v>49</v>
      </c>
      <c r="AL1294" s="2">
        <v>320</v>
      </c>
      <c r="AM1294" s="2">
        <v>103</v>
      </c>
      <c r="AN1294" s="2">
        <v>3</v>
      </c>
      <c r="AO1294" s="2">
        <v>0</v>
      </c>
      <c r="AP1294" s="2">
        <f t="shared" si="632"/>
        <v>6653</v>
      </c>
      <c r="AQ1294" s="2">
        <f t="shared" si="633"/>
        <v>527.179080824089</v>
      </c>
      <c r="AR1294" s="5">
        <f t="shared" si="634"/>
        <v>991.096671949287</v>
      </c>
    </row>
    <row r="1295" spans="1:44">
      <c r="A1295" s="2">
        <v>20260418</v>
      </c>
      <c r="B1295" s="2" t="s">
        <v>2634</v>
      </c>
      <c r="C1295" s="2" t="s">
        <v>2635</v>
      </c>
      <c r="D1295" s="2">
        <v>4</v>
      </c>
      <c r="E1295" s="2">
        <v>28</v>
      </c>
      <c r="F1295" s="2">
        <v>0</v>
      </c>
      <c r="G1295" s="2">
        <v>2</v>
      </c>
      <c r="H1295" s="2">
        <v>6</v>
      </c>
      <c r="I1295" s="3">
        <v>56</v>
      </c>
      <c r="J1295" s="2">
        <v>16</v>
      </c>
      <c r="K1295" s="2">
        <v>2</v>
      </c>
      <c r="L1295" s="2">
        <v>2</v>
      </c>
      <c r="M1295" s="2">
        <v>5</v>
      </c>
      <c r="N1295" s="2">
        <v>3</v>
      </c>
      <c r="O1295" s="2">
        <v>15</v>
      </c>
      <c r="P1295" s="3">
        <v>2</v>
      </c>
      <c r="Q1295" s="2">
        <v>1</v>
      </c>
      <c r="R1295" s="2">
        <v>10</v>
      </c>
      <c r="S1295" s="2">
        <v>1</v>
      </c>
      <c r="T1295" s="2">
        <v>1</v>
      </c>
      <c r="U1295" s="2">
        <v>3</v>
      </c>
      <c r="V1295" s="2">
        <f t="shared" si="643"/>
        <v>6</v>
      </c>
      <c r="W1295" s="2">
        <v>2</v>
      </c>
      <c r="X1295" s="2">
        <v>13</v>
      </c>
      <c r="Y1295" s="2">
        <v>0</v>
      </c>
      <c r="Z1295" s="2">
        <f t="shared" si="644"/>
        <v>18</v>
      </c>
      <c r="AA1295" s="2">
        <f t="shared" si="645"/>
        <v>95</v>
      </c>
      <c r="AB1295" s="2">
        <v>2513</v>
      </c>
      <c r="AC1295" s="20">
        <f t="shared" si="646"/>
        <v>3.78034222045364</v>
      </c>
      <c r="AD1295" s="2" t="s">
        <v>58</v>
      </c>
      <c r="AE1295" s="2">
        <v>250</v>
      </c>
      <c r="AF1295" s="21">
        <f t="shared" si="647"/>
        <v>2.84281734978114</v>
      </c>
      <c r="AG1295" s="4">
        <f t="shared" si="648"/>
        <v>0.238758456028651</v>
      </c>
      <c r="AH1295" s="4">
        <f t="shared" si="649"/>
        <v>0.716275368085953</v>
      </c>
      <c r="AI1295" s="2">
        <v>4816</v>
      </c>
      <c r="AJ1295" s="2">
        <v>201</v>
      </c>
      <c r="AK1295" s="2">
        <v>62</v>
      </c>
      <c r="AL1295" s="2">
        <v>147</v>
      </c>
      <c r="AM1295" s="2">
        <v>81</v>
      </c>
      <c r="AN1295" s="2">
        <v>2</v>
      </c>
      <c r="AO1295" s="2">
        <v>0</v>
      </c>
      <c r="AP1295" s="2">
        <f t="shared" ref="AP1295:AP1307" si="650">AI1295+AJ1295+AL1295+AN1295</f>
        <v>5166</v>
      </c>
      <c r="AQ1295" s="2">
        <f t="shared" ref="AQ1295:AQ1307" si="651">AP1295/AB1294*100</f>
        <v>205.571030640669</v>
      </c>
      <c r="AR1295" s="5">
        <f t="shared" ref="AR1295:AR1307" si="652">AQ1295*1.88</f>
        <v>386.473537604457</v>
      </c>
    </row>
    <row r="1296" spans="1:44">
      <c r="A1296" s="2">
        <v>20260418</v>
      </c>
      <c r="B1296" s="2" t="s">
        <v>2636</v>
      </c>
      <c r="C1296" s="2" t="s">
        <v>2637</v>
      </c>
      <c r="D1296" s="2">
        <v>2</v>
      </c>
      <c r="E1296" s="2">
        <v>10</v>
      </c>
      <c r="F1296" s="2">
        <v>0</v>
      </c>
      <c r="G1296" s="2">
        <v>0</v>
      </c>
      <c r="H1296" s="2">
        <v>1</v>
      </c>
      <c r="I1296" s="3">
        <v>14</v>
      </c>
      <c r="J1296" s="2">
        <v>5</v>
      </c>
      <c r="K1296" s="2">
        <v>0</v>
      </c>
      <c r="L1296" s="2">
        <v>0</v>
      </c>
      <c r="M1296" s="2">
        <v>3</v>
      </c>
      <c r="N1296" s="2">
        <v>1</v>
      </c>
      <c r="O1296" s="2">
        <v>1</v>
      </c>
      <c r="P1296" s="3">
        <v>2</v>
      </c>
      <c r="Q1296" s="2">
        <v>0</v>
      </c>
      <c r="R1296" s="2">
        <v>3</v>
      </c>
      <c r="S1296" s="2">
        <v>2</v>
      </c>
      <c r="T1296" s="2">
        <v>0</v>
      </c>
      <c r="U1296" s="2">
        <v>1</v>
      </c>
      <c r="V1296" s="2">
        <f t="shared" si="643"/>
        <v>3</v>
      </c>
      <c r="W1296" s="2">
        <v>0</v>
      </c>
      <c r="X1296" s="2">
        <v>6</v>
      </c>
      <c r="Y1296" s="2">
        <v>1</v>
      </c>
      <c r="Z1296" s="2">
        <f t="shared" si="644"/>
        <v>8</v>
      </c>
      <c r="AA1296" s="2">
        <f t="shared" si="645"/>
        <v>26</v>
      </c>
      <c r="AB1296" s="2">
        <v>1265</v>
      </c>
      <c r="AC1296" s="20">
        <f t="shared" si="646"/>
        <v>2.05533596837945</v>
      </c>
      <c r="AD1296" s="2" t="s">
        <v>58</v>
      </c>
      <c r="AE1296" s="2">
        <v>250</v>
      </c>
      <c r="AF1296" s="21">
        <f t="shared" si="647"/>
        <v>1.54561264822134</v>
      </c>
      <c r="AG1296" s="4">
        <f t="shared" si="648"/>
        <v>0.237154150197628</v>
      </c>
      <c r="AH1296" s="4">
        <f t="shared" si="649"/>
        <v>0.632411067193676</v>
      </c>
      <c r="AI1296" s="2">
        <v>2116</v>
      </c>
      <c r="AJ1296" s="2">
        <v>116</v>
      </c>
      <c r="AK1296" s="2">
        <v>23</v>
      </c>
      <c r="AL1296" s="2">
        <v>87</v>
      </c>
      <c r="AM1296" s="2">
        <v>28</v>
      </c>
      <c r="AN1296" s="2">
        <v>3</v>
      </c>
      <c r="AO1296" s="2">
        <v>0</v>
      </c>
      <c r="AP1296" s="2">
        <f t="shared" si="650"/>
        <v>2322</v>
      </c>
      <c r="AQ1296" s="2">
        <f t="shared" si="651"/>
        <v>92.3995224830879</v>
      </c>
      <c r="AR1296" s="5">
        <f t="shared" si="652"/>
        <v>173.711102268205</v>
      </c>
    </row>
    <row r="1297" spans="1:44">
      <c r="A1297" s="2">
        <v>20260418</v>
      </c>
      <c r="B1297" s="2" t="s">
        <v>2638</v>
      </c>
      <c r="C1297" s="2" t="s">
        <v>2639</v>
      </c>
      <c r="D1297" s="2">
        <v>0</v>
      </c>
      <c r="E1297" s="2">
        <v>23</v>
      </c>
      <c r="F1297" s="2">
        <v>3</v>
      </c>
      <c r="G1297" s="2">
        <v>2</v>
      </c>
      <c r="H1297" s="2">
        <v>4</v>
      </c>
      <c r="I1297" s="3">
        <v>88</v>
      </c>
      <c r="J1297" s="2">
        <v>15</v>
      </c>
      <c r="K1297" s="2">
        <v>1</v>
      </c>
      <c r="L1297" s="2">
        <v>2</v>
      </c>
      <c r="M1297" s="2">
        <v>5</v>
      </c>
      <c r="N1297" s="2">
        <v>1</v>
      </c>
      <c r="O1297" s="2">
        <v>2</v>
      </c>
      <c r="P1297" s="3">
        <v>1</v>
      </c>
      <c r="Q1297" s="2">
        <v>1</v>
      </c>
      <c r="R1297" s="2">
        <v>6</v>
      </c>
      <c r="S1297" s="2">
        <v>0</v>
      </c>
      <c r="T1297" s="2">
        <v>3</v>
      </c>
      <c r="U1297" s="2">
        <v>0</v>
      </c>
      <c r="V1297" s="2">
        <f t="shared" si="643"/>
        <v>4</v>
      </c>
      <c r="W1297" s="2">
        <v>12</v>
      </c>
      <c r="X1297" s="2">
        <v>83</v>
      </c>
      <c r="Y1297" s="2">
        <v>0</v>
      </c>
      <c r="Z1297" s="2">
        <f t="shared" si="644"/>
        <v>95</v>
      </c>
      <c r="AA1297" s="2">
        <f t="shared" si="645"/>
        <v>121</v>
      </c>
      <c r="AB1297" s="2">
        <v>2503</v>
      </c>
      <c r="AC1297" s="20">
        <f t="shared" si="646"/>
        <v>4.8341989612465</v>
      </c>
      <c r="AD1297" s="2" t="s">
        <v>229</v>
      </c>
      <c r="AE1297" s="2">
        <v>250</v>
      </c>
      <c r="AF1297" s="21">
        <f t="shared" si="647"/>
        <v>3.63531761885737</v>
      </c>
      <c r="AG1297" s="4">
        <f t="shared" si="648"/>
        <v>0.159808230123851</v>
      </c>
      <c r="AH1297" s="4">
        <f t="shared" si="649"/>
        <v>3.79544546544147</v>
      </c>
      <c r="AI1297" s="2">
        <v>5143</v>
      </c>
      <c r="AJ1297" s="2">
        <v>339</v>
      </c>
      <c r="AK1297" s="2">
        <v>65</v>
      </c>
      <c r="AL1297" s="2">
        <v>18</v>
      </c>
      <c r="AM1297" s="2">
        <v>132</v>
      </c>
      <c r="AN1297" s="2">
        <v>5</v>
      </c>
      <c r="AO1297" s="2">
        <v>0</v>
      </c>
      <c r="AP1297" s="2">
        <f t="shared" si="650"/>
        <v>5505</v>
      </c>
      <c r="AQ1297" s="2">
        <f t="shared" si="651"/>
        <v>435.177865612648</v>
      </c>
      <c r="AR1297" s="5">
        <f t="shared" si="652"/>
        <v>818.134387351779</v>
      </c>
    </row>
    <row r="1298" spans="1:44">
      <c r="A1298" s="2">
        <v>20260418</v>
      </c>
      <c r="B1298" s="2" t="s">
        <v>2640</v>
      </c>
      <c r="C1298" s="2" t="s">
        <v>2641</v>
      </c>
      <c r="D1298" s="2">
        <v>0</v>
      </c>
      <c r="E1298" s="2">
        <v>26</v>
      </c>
      <c r="F1298" s="2">
        <v>3</v>
      </c>
      <c r="G1298" s="2">
        <v>3</v>
      </c>
      <c r="H1298" s="2">
        <v>7</v>
      </c>
      <c r="I1298" s="3">
        <v>108</v>
      </c>
      <c r="J1298" s="2">
        <v>17</v>
      </c>
      <c r="K1298" s="2">
        <v>2</v>
      </c>
      <c r="L1298" s="2">
        <v>0</v>
      </c>
      <c r="M1298" s="2">
        <v>4</v>
      </c>
      <c r="N1298" s="2">
        <v>2</v>
      </c>
      <c r="O1298" s="2">
        <v>4</v>
      </c>
      <c r="P1298" s="3">
        <v>4</v>
      </c>
      <c r="Q1298" s="2">
        <v>1</v>
      </c>
      <c r="R1298" s="2">
        <v>10</v>
      </c>
      <c r="S1298" s="2">
        <v>1</v>
      </c>
      <c r="T1298" s="2">
        <v>1</v>
      </c>
      <c r="U1298" s="2">
        <v>0</v>
      </c>
      <c r="V1298" s="2">
        <f t="shared" si="643"/>
        <v>3</v>
      </c>
      <c r="W1298" s="2">
        <v>17</v>
      </c>
      <c r="X1298" s="2">
        <v>88</v>
      </c>
      <c r="Y1298" s="2">
        <v>0</v>
      </c>
      <c r="Z1298" s="2">
        <f t="shared" si="644"/>
        <v>105</v>
      </c>
      <c r="AA1298" s="2">
        <f t="shared" si="645"/>
        <v>146</v>
      </c>
      <c r="AB1298" s="2">
        <v>2834</v>
      </c>
      <c r="AC1298" s="20">
        <f t="shared" si="646"/>
        <v>5.15172900494001</v>
      </c>
      <c r="AD1298" s="2" t="s">
        <v>229</v>
      </c>
      <c r="AE1298" s="2">
        <v>250</v>
      </c>
      <c r="AF1298" s="21">
        <f t="shared" si="647"/>
        <v>3.87410021171489</v>
      </c>
      <c r="AG1298" s="4">
        <f t="shared" si="648"/>
        <v>0.105857445306987</v>
      </c>
      <c r="AH1298" s="4">
        <f t="shared" si="649"/>
        <v>3.70501058574453</v>
      </c>
      <c r="AI1298" s="2">
        <v>5744</v>
      </c>
      <c r="AJ1298" s="2">
        <v>317</v>
      </c>
      <c r="AK1298" s="2">
        <v>112</v>
      </c>
      <c r="AL1298" s="2">
        <v>253</v>
      </c>
      <c r="AM1298" s="2">
        <v>108</v>
      </c>
      <c r="AN1298" s="2">
        <v>6</v>
      </c>
      <c r="AO1298" s="2">
        <v>0</v>
      </c>
      <c r="AP1298" s="2">
        <f t="shared" si="650"/>
        <v>6320</v>
      </c>
      <c r="AQ1298" s="2">
        <f t="shared" si="651"/>
        <v>252.497003595685</v>
      </c>
      <c r="AR1298" s="5">
        <f t="shared" si="652"/>
        <v>474.694366759888</v>
      </c>
    </row>
    <row r="1299" spans="1:44">
      <c r="A1299" s="2">
        <v>20260418</v>
      </c>
      <c r="B1299" s="2" t="s">
        <v>2642</v>
      </c>
      <c r="C1299" s="2" t="s">
        <v>2643</v>
      </c>
      <c r="D1299" s="2">
        <v>14</v>
      </c>
      <c r="E1299" s="2">
        <v>43</v>
      </c>
      <c r="F1299" s="2">
        <v>21</v>
      </c>
      <c r="G1299" s="2">
        <v>7</v>
      </c>
      <c r="H1299" s="2">
        <v>37</v>
      </c>
      <c r="I1299" s="3">
        <v>185</v>
      </c>
      <c r="J1299" s="2">
        <v>27</v>
      </c>
      <c r="K1299" s="2">
        <v>25</v>
      </c>
      <c r="L1299" s="2">
        <v>1</v>
      </c>
      <c r="M1299" s="2">
        <v>12</v>
      </c>
      <c r="N1299" s="2">
        <v>16</v>
      </c>
      <c r="O1299" s="2">
        <v>55</v>
      </c>
      <c r="P1299" s="3">
        <v>17</v>
      </c>
      <c r="Q1299" s="2">
        <v>8</v>
      </c>
      <c r="R1299" s="2">
        <v>6</v>
      </c>
      <c r="S1299" s="2">
        <v>5</v>
      </c>
      <c r="T1299" s="2">
        <v>18</v>
      </c>
      <c r="U1299" s="2">
        <v>1</v>
      </c>
      <c r="V1299" s="2">
        <f t="shared" si="643"/>
        <v>32</v>
      </c>
      <c r="W1299" s="2">
        <v>23</v>
      </c>
      <c r="X1299" s="2">
        <v>62</v>
      </c>
      <c r="Y1299" s="2">
        <v>0</v>
      </c>
      <c r="Z1299" s="2">
        <f t="shared" si="644"/>
        <v>86</v>
      </c>
      <c r="AA1299" s="2">
        <f t="shared" si="645"/>
        <v>330</v>
      </c>
      <c r="AB1299" s="2">
        <v>2754</v>
      </c>
      <c r="AC1299" s="20">
        <f t="shared" si="646"/>
        <v>11.9825708061002</v>
      </c>
      <c r="AD1299" s="2" t="s">
        <v>229</v>
      </c>
      <c r="AE1299" s="2">
        <v>250</v>
      </c>
      <c r="AF1299" s="21">
        <f t="shared" si="647"/>
        <v>9.01089324618736</v>
      </c>
      <c r="AG1299" s="4">
        <f t="shared" si="648"/>
        <v>1.16194625998548</v>
      </c>
      <c r="AH1299" s="4">
        <f t="shared" si="649"/>
        <v>3.12273057371097</v>
      </c>
      <c r="AI1299" s="2">
        <v>5372</v>
      </c>
      <c r="AJ1299" s="2">
        <v>517</v>
      </c>
      <c r="AK1299" s="2">
        <v>59</v>
      </c>
      <c r="AL1299" s="2">
        <v>375</v>
      </c>
      <c r="AM1299" s="2">
        <v>212</v>
      </c>
      <c r="AN1299" s="2">
        <v>9</v>
      </c>
      <c r="AO1299" s="2">
        <v>0</v>
      </c>
      <c r="AP1299" s="2">
        <f t="shared" si="650"/>
        <v>6273</v>
      </c>
      <c r="AQ1299" s="2">
        <f t="shared" si="651"/>
        <v>221.347918136909</v>
      </c>
      <c r="AR1299" s="5">
        <f t="shared" si="652"/>
        <v>416.134086097389</v>
      </c>
    </row>
    <row r="1300" spans="1:44">
      <c r="A1300" s="2">
        <v>20260419</v>
      </c>
      <c r="B1300" s="2" t="s">
        <v>2644</v>
      </c>
      <c r="C1300" s="2" t="s">
        <v>2645</v>
      </c>
      <c r="D1300" s="2">
        <v>0</v>
      </c>
      <c r="E1300" s="2">
        <v>16</v>
      </c>
      <c r="F1300" s="2">
        <v>0</v>
      </c>
      <c r="G1300" s="2">
        <v>1</v>
      </c>
      <c r="H1300" s="2">
        <v>1</v>
      </c>
      <c r="I1300" s="3">
        <v>34</v>
      </c>
      <c r="J1300" s="2">
        <v>9</v>
      </c>
      <c r="K1300" s="2">
        <v>0</v>
      </c>
      <c r="L1300" s="2">
        <v>3</v>
      </c>
      <c r="M1300" s="2">
        <v>3</v>
      </c>
      <c r="N1300" s="2">
        <v>0</v>
      </c>
      <c r="O1300" s="2">
        <v>0</v>
      </c>
      <c r="P1300" s="3">
        <v>1</v>
      </c>
      <c r="Q1300" s="2">
        <v>1</v>
      </c>
      <c r="R1300" s="2">
        <v>10</v>
      </c>
      <c r="S1300" s="2">
        <v>2</v>
      </c>
      <c r="T1300" s="2">
        <v>0</v>
      </c>
      <c r="U1300" s="2">
        <v>0</v>
      </c>
      <c r="V1300" s="2">
        <f t="shared" si="643"/>
        <v>3</v>
      </c>
      <c r="W1300" s="2">
        <v>11</v>
      </c>
      <c r="X1300" s="2">
        <v>23</v>
      </c>
      <c r="Y1300" s="2">
        <v>0</v>
      </c>
      <c r="Z1300" s="2">
        <f t="shared" si="644"/>
        <v>34</v>
      </c>
      <c r="AA1300" s="2">
        <f t="shared" si="645"/>
        <v>52</v>
      </c>
      <c r="AB1300" s="2">
        <v>1264</v>
      </c>
      <c r="AC1300" s="20">
        <f t="shared" si="646"/>
        <v>4.11392405063291</v>
      </c>
      <c r="AD1300" s="2" t="s">
        <v>229</v>
      </c>
      <c r="AE1300" s="2">
        <v>250</v>
      </c>
      <c r="AF1300" s="21">
        <f t="shared" si="647"/>
        <v>3.09367088607595</v>
      </c>
      <c r="AG1300" s="4">
        <f t="shared" si="648"/>
        <v>0.237341772151899</v>
      </c>
      <c r="AH1300" s="4">
        <f t="shared" si="649"/>
        <v>2.68987341772152</v>
      </c>
      <c r="AI1300" s="2">
        <v>2199</v>
      </c>
      <c r="AJ1300" s="2">
        <v>135</v>
      </c>
      <c r="AK1300" s="2">
        <v>29</v>
      </c>
      <c r="AL1300" s="2">
        <v>47</v>
      </c>
      <c r="AM1300" s="2">
        <v>46</v>
      </c>
      <c r="AN1300" s="2">
        <v>5</v>
      </c>
      <c r="AO1300" s="2">
        <v>0</v>
      </c>
      <c r="AP1300" s="2">
        <f t="shared" si="650"/>
        <v>2386</v>
      </c>
      <c r="AQ1300" s="2">
        <f t="shared" si="651"/>
        <v>86.637618010167</v>
      </c>
      <c r="AR1300" s="5">
        <f t="shared" si="652"/>
        <v>162.878721859114</v>
      </c>
    </row>
    <row r="1301" spans="1:44">
      <c r="A1301" s="2">
        <v>20260419</v>
      </c>
      <c r="B1301" s="2" t="s">
        <v>2646</v>
      </c>
      <c r="C1301" s="2" t="s">
        <v>2647</v>
      </c>
      <c r="D1301" s="2">
        <v>2</v>
      </c>
      <c r="E1301" s="2">
        <v>22</v>
      </c>
      <c r="F1301" s="2">
        <v>2</v>
      </c>
      <c r="G1301" s="2">
        <v>1</v>
      </c>
      <c r="H1301" s="2">
        <v>7</v>
      </c>
      <c r="I1301" s="3">
        <v>69</v>
      </c>
      <c r="J1301" s="2">
        <v>2</v>
      </c>
      <c r="K1301" s="2">
        <v>0</v>
      </c>
      <c r="L1301" s="2">
        <v>1</v>
      </c>
      <c r="M1301" s="2">
        <v>2</v>
      </c>
      <c r="N1301" s="2">
        <v>0</v>
      </c>
      <c r="O1301" s="2">
        <v>8</v>
      </c>
      <c r="P1301" s="3">
        <v>2</v>
      </c>
      <c r="Q1301" s="2">
        <v>0</v>
      </c>
      <c r="R1301" s="2">
        <v>24</v>
      </c>
      <c r="S1301" s="2">
        <v>1</v>
      </c>
      <c r="T1301" s="2">
        <v>1</v>
      </c>
      <c r="U1301" s="2">
        <v>1</v>
      </c>
      <c r="V1301" s="2">
        <f t="shared" si="643"/>
        <v>3</v>
      </c>
      <c r="W1301" s="2">
        <v>1</v>
      </c>
      <c r="X1301" s="2">
        <v>62</v>
      </c>
      <c r="Y1301" s="2">
        <v>2</v>
      </c>
      <c r="Z1301" s="2">
        <f t="shared" si="644"/>
        <v>66</v>
      </c>
      <c r="AA1301" s="2">
        <f t="shared" si="645"/>
        <v>86</v>
      </c>
      <c r="AB1301" s="2">
        <v>2534</v>
      </c>
      <c r="AC1301" s="20">
        <f t="shared" si="646"/>
        <v>3.39384372533544</v>
      </c>
      <c r="AD1301" s="2" t="s">
        <v>229</v>
      </c>
      <c r="AE1301" s="2">
        <v>250</v>
      </c>
      <c r="AF1301" s="21">
        <f t="shared" si="647"/>
        <v>2.55217048145225</v>
      </c>
      <c r="AG1301" s="4">
        <f t="shared" si="648"/>
        <v>0.118389897395422</v>
      </c>
      <c r="AH1301" s="4">
        <f t="shared" si="649"/>
        <v>2.60457774269929</v>
      </c>
      <c r="AI1301" s="2">
        <v>8183</v>
      </c>
      <c r="AJ1301" s="2">
        <v>391</v>
      </c>
      <c r="AK1301" s="2">
        <v>60</v>
      </c>
      <c r="AL1301" s="2">
        <v>131</v>
      </c>
      <c r="AM1301" s="2">
        <v>66</v>
      </c>
      <c r="AN1301" s="2">
        <v>4</v>
      </c>
      <c r="AO1301" s="2">
        <v>0</v>
      </c>
      <c r="AP1301" s="2">
        <f t="shared" si="650"/>
        <v>8709</v>
      </c>
      <c r="AQ1301" s="2">
        <f t="shared" si="651"/>
        <v>689.003164556962</v>
      </c>
      <c r="AR1301" s="5">
        <f t="shared" si="652"/>
        <v>1295.32594936709</v>
      </c>
    </row>
    <row r="1302" spans="1:44">
      <c r="A1302" s="2">
        <v>20260419</v>
      </c>
      <c r="B1302" s="2" t="s">
        <v>2648</v>
      </c>
      <c r="C1302" s="2" t="s">
        <v>2649</v>
      </c>
      <c r="D1302" s="2">
        <v>0</v>
      </c>
      <c r="E1302" s="2">
        <v>45</v>
      </c>
      <c r="F1302" s="2">
        <v>1</v>
      </c>
      <c r="G1302" s="2">
        <v>4</v>
      </c>
      <c r="H1302" s="2">
        <v>1</v>
      </c>
      <c r="I1302" s="3">
        <v>56</v>
      </c>
      <c r="J1302" s="2">
        <v>3</v>
      </c>
      <c r="K1302" s="2">
        <v>1</v>
      </c>
      <c r="L1302" s="2">
        <v>0</v>
      </c>
      <c r="M1302" s="2">
        <v>2</v>
      </c>
      <c r="N1302" s="2">
        <v>3</v>
      </c>
      <c r="O1302" s="2">
        <v>3</v>
      </c>
      <c r="P1302" s="3">
        <v>2</v>
      </c>
      <c r="Q1302" s="2">
        <v>1</v>
      </c>
      <c r="R1302" s="2">
        <v>8</v>
      </c>
      <c r="S1302" s="2">
        <v>1</v>
      </c>
      <c r="T1302" s="2">
        <v>0</v>
      </c>
      <c r="U1302" s="2">
        <v>0</v>
      </c>
      <c r="V1302" s="2">
        <f t="shared" si="643"/>
        <v>2</v>
      </c>
      <c r="W1302" s="2">
        <v>2</v>
      </c>
      <c r="X1302" s="2">
        <v>52</v>
      </c>
      <c r="Y1302" s="2">
        <v>0</v>
      </c>
      <c r="Z1302" s="2">
        <f t="shared" si="644"/>
        <v>54</v>
      </c>
      <c r="AA1302" s="2">
        <f t="shared" si="645"/>
        <v>69</v>
      </c>
      <c r="AB1302" s="2">
        <v>2504</v>
      </c>
      <c r="AC1302" s="20">
        <f t="shared" si="646"/>
        <v>2.7555910543131</v>
      </c>
      <c r="AD1302" s="2" t="s">
        <v>229</v>
      </c>
      <c r="AE1302" s="2">
        <v>250</v>
      </c>
      <c r="AF1302" s="21">
        <f t="shared" si="647"/>
        <v>2.07220447284345</v>
      </c>
      <c r="AG1302" s="4">
        <f t="shared" si="648"/>
        <v>0.0798722044728434</v>
      </c>
      <c r="AH1302" s="4">
        <f t="shared" si="649"/>
        <v>2.15654952076677</v>
      </c>
      <c r="AI1302" s="2">
        <v>6888</v>
      </c>
      <c r="AJ1302" s="2">
        <v>307</v>
      </c>
      <c r="AK1302" s="2">
        <v>118</v>
      </c>
      <c r="AL1302" s="2">
        <v>127</v>
      </c>
      <c r="AM1302" s="2">
        <v>39</v>
      </c>
      <c r="AN1302" s="2">
        <v>0</v>
      </c>
      <c r="AO1302" s="2">
        <v>0</v>
      </c>
      <c r="AP1302" s="2">
        <f t="shared" si="650"/>
        <v>7322</v>
      </c>
      <c r="AQ1302" s="2">
        <f t="shared" si="651"/>
        <v>288.950276243094</v>
      </c>
      <c r="AR1302" s="5">
        <f t="shared" si="652"/>
        <v>543.226519337016</v>
      </c>
    </row>
    <row r="1303" spans="1:44">
      <c r="A1303" s="2">
        <v>20260419</v>
      </c>
      <c r="B1303" s="2" t="s">
        <v>2650</v>
      </c>
      <c r="C1303" s="2" t="s">
        <v>2651</v>
      </c>
      <c r="D1303" s="2">
        <v>0</v>
      </c>
      <c r="E1303" s="2">
        <v>18</v>
      </c>
      <c r="F1303" s="2">
        <v>9</v>
      </c>
      <c r="G1303" s="2">
        <v>0</v>
      </c>
      <c r="H1303" s="2">
        <v>3</v>
      </c>
      <c r="I1303" s="3">
        <v>37</v>
      </c>
      <c r="J1303" s="2">
        <v>3</v>
      </c>
      <c r="K1303" s="2">
        <v>1</v>
      </c>
      <c r="L1303" s="2">
        <v>0</v>
      </c>
      <c r="M1303" s="2">
        <v>6</v>
      </c>
      <c r="N1303" s="2">
        <v>7</v>
      </c>
      <c r="O1303" s="2">
        <v>7</v>
      </c>
      <c r="P1303" s="3">
        <v>3</v>
      </c>
      <c r="Q1303" s="2">
        <v>3</v>
      </c>
      <c r="R1303" s="2">
        <v>9</v>
      </c>
      <c r="S1303" s="2">
        <v>6</v>
      </c>
      <c r="T1303" s="2">
        <v>0</v>
      </c>
      <c r="U1303" s="2">
        <v>0</v>
      </c>
      <c r="V1303" s="2">
        <f t="shared" si="643"/>
        <v>9</v>
      </c>
      <c r="W1303" s="2">
        <v>5</v>
      </c>
      <c r="X1303" s="2">
        <v>28</v>
      </c>
      <c r="Y1303" s="2">
        <v>0</v>
      </c>
      <c r="Z1303" s="2">
        <f t="shared" si="644"/>
        <v>33</v>
      </c>
      <c r="AA1303" s="2">
        <f t="shared" si="645"/>
        <v>53</v>
      </c>
      <c r="AB1303" s="2">
        <v>1272</v>
      </c>
      <c r="AC1303" s="20">
        <f t="shared" si="646"/>
        <v>4.16666666666667</v>
      </c>
      <c r="AD1303" s="2" t="s">
        <v>229</v>
      </c>
      <c r="AE1303" s="2">
        <v>250</v>
      </c>
      <c r="AF1303" s="21">
        <f t="shared" si="647"/>
        <v>3.13333333333333</v>
      </c>
      <c r="AG1303" s="4">
        <f t="shared" si="648"/>
        <v>0.707547169811321</v>
      </c>
      <c r="AH1303" s="4">
        <f t="shared" si="649"/>
        <v>2.59433962264151</v>
      </c>
      <c r="AI1303" s="2">
        <v>3350</v>
      </c>
      <c r="AJ1303" s="2">
        <v>178</v>
      </c>
      <c r="AK1303" s="2">
        <v>29</v>
      </c>
      <c r="AL1303" s="2">
        <v>167</v>
      </c>
      <c r="AM1303" s="2">
        <v>50</v>
      </c>
      <c r="AN1303" s="2">
        <v>3</v>
      </c>
      <c r="AO1303" s="2">
        <v>0</v>
      </c>
      <c r="AP1303" s="2">
        <f t="shared" si="650"/>
        <v>3698</v>
      </c>
      <c r="AQ1303" s="2">
        <f t="shared" si="651"/>
        <v>147.683706070288</v>
      </c>
      <c r="AR1303" s="5">
        <f t="shared" si="652"/>
        <v>277.645367412141</v>
      </c>
    </row>
    <row r="1304" spans="1:44">
      <c r="A1304" s="2">
        <v>20260419</v>
      </c>
      <c r="B1304" s="2" t="s">
        <v>2652</v>
      </c>
      <c r="C1304" s="2" t="s">
        <v>2653</v>
      </c>
      <c r="D1304" s="2">
        <v>2</v>
      </c>
      <c r="E1304" s="2">
        <v>13</v>
      </c>
      <c r="F1304" s="2">
        <v>6</v>
      </c>
      <c r="G1304" s="2">
        <v>0</v>
      </c>
      <c r="H1304" s="2">
        <v>1</v>
      </c>
      <c r="I1304" s="3">
        <v>24</v>
      </c>
      <c r="J1304" s="2">
        <v>5</v>
      </c>
      <c r="K1304" s="2">
        <v>5</v>
      </c>
      <c r="L1304" s="2">
        <v>0</v>
      </c>
      <c r="M1304" s="2">
        <v>5</v>
      </c>
      <c r="N1304" s="2">
        <v>1</v>
      </c>
      <c r="O1304" s="2">
        <v>3</v>
      </c>
      <c r="P1304" s="3">
        <v>1</v>
      </c>
      <c r="Q1304" s="2">
        <v>0</v>
      </c>
      <c r="R1304" s="2">
        <v>8</v>
      </c>
      <c r="S1304" s="2">
        <v>1</v>
      </c>
      <c r="T1304" s="2">
        <v>1</v>
      </c>
      <c r="U1304" s="2">
        <v>0</v>
      </c>
      <c r="V1304" s="2">
        <f t="shared" si="643"/>
        <v>2</v>
      </c>
      <c r="W1304" s="2">
        <v>4</v>
      </c>
      <c r="X1304" s="2">
        <v>24</v>
      </c>
      <c r="Y1304" s="2">
        <v>0</v>
      </c>
      <c r="Z1304" s="2">
        <f t="shared" si="644"/>
        <v>28</v>
      </c>
      <c r="AA1304" s="2">
        <f t="shared" si="645"/>
        <v>42</v>
      </c>
      <c r="AB1304" s="2">
        <v>1216</v>
      </c>
      <c r="AC1304" s="20">
        <f t="shared" si="646"/>
        <v>3.45394736842105</v>
      </c>
      <c r="AD1304" s="2" t="s">
        <v>229</v>
      </c>
      <c r="AE1304" s="2">
        <v>250</v>
      </c>
      <c r="AF1304" s="21">
        <f t="shared" si="647"/>
        <v>2.59736842105263</v>
      </c>
      <c r="AG1304" s="4">
        <f t="shared" si="648"/>
        <v>0.164473684210526</v>
      </c>
      <c r="AH1304" s="4">
        <f t="shared" si="649"/>
        <v>2.30263157894737</v>
      </c>
      <c r="AI1304" s="2">
        <v>2967</v>
      </c>
      <c r="AJ1304" s="2">
        <v>139</v>
      </c>
      <c r="AK1304" s="2">
        <v>30</v>
      </c>
      <c r="AL1304" s="2">
        <v>25</v>
      </c>
      <c r="AM1304" s="2">
        <v>20</v>
      </c>
      <c r="AN1304" s="2">
        <v>2</v>
      </c>
      <c r="AO1304" s="2">
        <v>0</v>
      </c>
      <c r="AP1304" s="2">
        <f t="shared" si="650"/>
        <v>3133</v>
      </c>
      <c r="AQ1304" s="2">
        <f t="shared" si="651"/>
        <v>246.305031446541</v>
      </c>
      <c r="AR1304" s="5">
        <f t="shared" si="652"/>
        <v>463.053459119497</v>
      </c>
    </row>
    <row r="1305" spans="1:44">
      <c r="A1305" s="2">
        <v>20260419</v>
      </c>
      <c r="B1305" s="2" t="s">
        <v>2654</v>
      </c>
      <c r="C1305" s="2" t="s">
        <v>2655</v>
      </c>
      <c r="D1305" s="2">
        <v>0</v>
      </c>
      <c r="E1305" s="2">
        <v>15</v>
      </c>
      <c r="F1305" s="2">
        <v>1</v>
      </c>
      <c r="G1305" s="2">
        <v>2</v>
      </c>
      <c r="H1305" s="2">
        <v>37</v>
      </c>
      <c r="I1305" s="3">
        <v>2</v>
      </c>
      <c r="J1305" s="2">
        <v>1</v>
      </c>
      <c r="K1305" s="2">
        <v>3</v>
      </c>
      <c r="L1305" s="2">
        <v>5</v>
      </c>
      <c r="M1305" s="2">
        <v>0</v>
      </c>
      <c r="N1305" s="2">
        <v>2</v>
      </c>
      <c r="O1305" s="2">
        <v>3</v>
      </c>
      <c r="P1305" s="3">
        <v>0</v>
      </c>
      <c r="Q1305" s="2">
        <v>11</v>
      </c>
      <c r="R1305" s="2">
        <v>1</v>
      </c>
      <c r="S1305" s="2">
        <v>1</v>
      </c>
      <c r="T1305" s="2">
        <v>1</v>
      </c>
      <c r="U1305" s="2">
        <v>0</v>
      </c>
      <c r="V1305" s="2">
        <f t="shared" si="643"/>
        <v>13</v>
      </c>
      <c r="W1305" s="2">
        <v>6</v>
      </c>
      <c r="X1305" s="2">
        <v>34</v>
      </c>
      <c r="Y1305" s="2">
        <v>0</v>
      </c>
      <c r="Z1305" s="2">
        <f t="shared" si="644"/>
        <v>40</v>
      </c>
      <c r="AA1305" s="2">
        <f t="shared" si="645"/>
        <v>51</v>
      </c>
      <c r="AB1305" s="2">
        <v>1282</v>
      </c>
      <c r="AC1305" s="20">
        <f t="shared" si="646"/>
        <v>3.97815912636505</v>
      </c>
      <c r="AD1305" s="2" t="s">
        <v>229</v>
      </c>
      <c r="AE1305" s="2">
        <v>250</v>
      </c>
      <c r="AF1305" s="21">
        <f t="shared" si="647"/>
        <v>2.99157566302652</v>
      </c>
      <c r="AG1305" s="4">
        <f t="shared" si="648"/>
        <v>1.01404056162247</v>
      </c>
      <c r="AH1305" s="4">
        <f t="shared" si="649"/>
        <v>3.1201248049922</v>
      </c>
      <c r="AI1305" s="2">
        <v>4006</v>
      </c>
      <c r="AJ1305" s="2">
        <v>162</v>
      </c>
      <c r="AK1305" s="2">
        <v>57</v>
      </c>
      <c r="AL1305" s="2">
        <v>69</v>
      </c>
      <c r="AM1305" s="2">
        <v>43</v>
      </c>
      <c r="AN1305" s="2">
        <v>4</v>
      </c>
      <c r="AO1305" s="2">
        <v>0</v>
      </c>
      <c r="AP1305" s="2">
        <f t="shared" si="650"/>
        <v>4241</v>
      </c>
      <c r="AQ1305" s="2">
        <f t="shared" si="651"/>
        <v>348.766447368421</v>
      </c>
      <c r="AR1305" s="5">
        <f t="shared" si="652"/>
        <v>655.680921052632</v>
      </c>
    </row>
    <row r="1306" spans="1:44">
      <c r="A1306" s="2">
        <v>20260419</v>
      </c>
      <c r="B1306" s="2" t="s">
        <v>2656</v>
      </c>
      <c r="C1306" s="2" t="s">
        <v>2657</v>
      </c>
      <c r="D1306" s="2">
        <v>2</v>
      </c>
      <c r="E1306" s="2">
        <v>333</v>
      </c>
      <c r="F1306" s="2">
        <v>8</v>
      </c>
      <c r="G1306" s="2">
        <v>1</v>
      </c>
      <c r="H1306" s="2">
        <v>10</v>
      </c>
      <c r="I1306" s="3">
        <v>12</v>
      </c>
      <c r="J1306" s="2">
        <v>13</v>
      </c>
      <c r="K1306" s="2">
        <v>6</v>
      </c>
      <c r="L1306" s="2">
        <v>1</v>
      </c>
      <c r="M1306" s="2">
        <v>14</v>
      </c>
      <c r="N1306" s="2">
        <v>0</v>
      </c>
      <c r="O1306" s="2">
        <v>7</v>
      </c>
      <c r="P1306" s="3">
        <v>52</v>
      </c>
      <c r="Q1306" s="2">
        <v>9</v>
      </c>
      <c r="R1306" s="2">
        <v>243</v>
      </c>
      <c r="S1306" s="2">
        <v>5</v>
      </c>
      <c r="T1306" s="2">
        <v>5</v>
      </c>
      <c r="U1306" s="2">
        <v>0</v>
      </c>
      <c r="V1306" s="2">
        <f t="shared" si="643"/>
        <v>19</v>
      </c>
      <c r="W1306" s="2">
        <v>2</v>
      </c>
      <c r="X1306" s="2">
        <v>9</v>
      </c>
      <c r="Y1306" s="2">
        <v>0</v>
      </c>
      <c r="Z1306" s="2">
        <f t="shared" si="644"/>
        <v>11</v>
      </c>
      <c r="AA1306" s="2">
        <f t="shared" si="645"/>
        <v>114</v>
      </c>
      <c r="AB1306" s="2">
        <v>2175</v>
      </c>
      <c r="AC1306" s="20">
        <f t="shared" si="646"/>
        <v>5.24137931034483</v>
      </c>
      <c r="AD1306" s="2" t="s">
        <v>229</v>
      </c>
      <c r="AE1306" s="2">
        <v>188</v>
      </c>
      <c r="AF1306" s="21">
        <f t="shared" si="647"/>
        <v>5.24137931034483</v>
      </c>
      <c r="AG1306" s="4">
        <f t="shared" si="648"/>
        <v>0.873563218390805</v>
      </c>
      <c r="AH1306" s="4">
        <f t="shared" si="649"/>
        <v>0.505747126436782</v>
      </c>
      <c r="AI1306" s="2">
        <v>2256</v>
      </c>
      <c r="AJ1306" s="2">
        <v>202</v>
      </c>
      <c r="AK1306" s="2">
        <v>77</v>
      </c>
      <c r="AL1306" s="2">
        <v>47</v>
      </c>
      <c r="AM1306" s="2">
        <v>41</v>
      </c>
      <c r="AN1306" s="2">
        <v>3</v>
      </c>
      <c r="AO1306" s="2">
        <v>0</v>
      </c>
      <c r="AP1306" s="2">
        <f t="shared" si="650"/>
        <v>2508</v>
      </c>
      <c r="AQ1306" s="2">
        <f t="shared" si="651"/>
        <v>195.631825273011</v>
      </c>
      <c r="AR1306" s="5">
        <f t="shared" si="652"/>
        <v>367.787831513261</v>
      </c>
    </row>
    <row r="1307" spans="1:44">
      <c r="A1307" s="2">
        <v>20260419</v>
      </c>
      <c r="B1307" s="2" t="s">
        <v>2658</v>
      </c>
      <c r="C1307" s="2" t="s">
        <v>2659</v>
      </c>
      <c r="D1307" s="2">
        <v>8</v>
      </c>
      <c r="E1307" s="2">
        <v>6</v>
      </c>
      <c r="F1307" s="2">
        <v>19</v>
      </c>
      <c r="G1307" s="2">
        <v>9</v>
      </c>
      <c r="H1307" s="2">
        <v>6</v>
      </c>
      <c r="I1307" s="3">
        <v>39</v>
      </c>
      <c r="J1307" s="2">
        <v>29</v>
      </c>
      <c r="K1307" s="2">
        <v>8</v>
      </c>
      <c r="L1307" s="2">
        <v>3</v>
      </c>
      <c r="M1307" s="2">
        <v>15</v>
      </c>
      <c r="N1307" s="2">
        <v>31</v>
      </c>
      <c r="O1307" s="2">
        <v>16</v>
      </c>
      <c r="P1307" s="3">
        <v>38</v>
      </c>
      <c r="Q1307" s="2">
        <v>6</v>
      </c>
      <c r="R1307" s="2">
        <v>5</v>
      </c>
      <c r="S1307" s="2">
        <v>4</v>
      </c>
      <c r="T1307" s="2">
        <v>11</v>
      </c>
      <c r="U1307" s="2">
        <v>0</v>
      </c>
      <c r="V1307" s="2">
        <f t="shared" si="643"/>
        <v>21</v>
      </c>
      <c r="W1307" s="2">
        <v>3</v>
      </c>
      <c r="X1307" s="2">
        <v>19</v>
      </c>
      <c r="Y1307" s="2">
        <v>1</v>
      </c>
      <c r="Z1307" s="2">
        <f t="shared" si="644"/>
        <v>23</v>
      </c>
      <c r="AA1307" s="2">
        <f t="shared" si="645"/>
        <v>158</v>
      </c>
      <c r="AB1307" s="2">
        <v>2435</v>
      </c>
      <c r="AC1307" s="20">
        <f t="shared" si="646"/>
        <v>6.48870636550308</v>
      </c>
      <c r="AD1307" s="2" t="s">
        <v>229</v>
      </c>
      <c r="AE1307" s="2">
        <v>188</v>
      </c>
      <c r="AF1307" s="21">
        <f t="shared" si="647"/>
        <v>6.48870636550308</v>
      </c>
      <c r="AG1307" s="4">
        <f t="shared" si="648"/>
        <v>0.862422997946612</v>
      </c>
      <c r="AH1307" s="4">
        <f t="shared" si="649"/>
        <v>0.944558521560575</v>
      </c>
      <c r="AI1307" s="2">
        <v>2726</v>
      </c>
      <c r="AJ1307" s="2">
        <v>218</v>
      </c>
      <c r="AK1307" s="2">
        <v>174</v>
      </c>
      <c r="AL1307" s="2">
        <v>57</v>
      </c>
      <c r="AM1307" s="2">
        <v>49</v>
      </c>
      <c r="AN1307" s="2">
        <v>5</v>
      </c>
      <c r="AO1307" s="2">
        <v>0</v>
      </c>
      <c r="AP1307" s="2">
        <f t="shared" ref="AP1307:AP1317" si="653">AI1307+AJ1307+AL1307+AN1307</f>
        <v>3006</v>
      </c>
      <c r="AQ1307" s="2">
        <f t="shared" ref="AQ1307:AQ1317" si="654">AP1307/AB1306*100</f>
        <v>138.206896551724</v>
      </c>
      <c r="AR1307" s="5">
        <f t="shared" ref="AR1307:AR1317" si="655">AQ1307*1.88</f>
        <v>259.828965517241</v>
      </c>
    </row>
    <row r="1308" spans="1:44">
      <c r="A1308" s="2">
        <v>20260419</v>
      </c>
      <c r="B1308" s="2" t="s">
        <v>2660</v>
      </c>
      <c r="C1308" s="2" t="s">
        <v>2661</v>
      </c>
      <c r="D1308" s="2">
        <v>1</v>
      </c>
      <c r="E1308" s="2">
        <v>17</v>
      </c>
      <c r="F1308" s="2">
        <v>1</v>
      </c>
      <c r="G1308" s="2">
        <v>3</v>
      </c>
      <c r="H1308" s="2">
        <v>4</v>
      </c>
      <c r="I1308" s="3">
        <v>8</v>
      </c>
      <c r="J1308" s="2">
        <v>1342</v>
      </c>
      <c r="K1308" s="2">
        <v>4</v>
      </c>
      <c r="L1308" s="2">
        <v>0</v>
      </c>
      <c r="M1308" s="2">
        <v>12</v>
      </c>
      <c r="N1308" s="2">
        <v>5413</v>
      </c>
      <c r="O1308" s="2">
        <v>3</v>
      </c>
      <c r="P1308" s="3">
        <v>32</v>
      </c>
      <c r="Q1308" s="2">
        <v>120</v>
      </c>
      <c r="R1308" s="2">
        <v>7</v>
      </c>
      <c r="S1308" s="2">
        <v>3</v>
      </c>
      <c r="T1308" s="2">
        <v>54</v>
      </c>
      <c r="U1308" s="2">
        <v>0</v>
      </c>
      <c r="V1308" s="2">
        <f t="shared" si="643"/>
        <v>177</v>
      </c>
      <c r="W1308" s="2">
        <v>0</v>
      </c>
      <c r="X1308" s="2">
        <v>4</v>
      </c>
      <c r="Y1308" s="2">
        <v>0</v>
      </c>
      <c r="Z1308" s="2">
        <f t="shared" si="644"/>
        <v>4</v>
      </c>
      <c r="AA1308" s="2">
        <f t="shared" si="645"/>
        <v>1459</v>
      </c>
      <c r="AB1308" s="2">
        <v>2525</v>
      </c>
      <c r="AC1308" s="20">
        <f t="shared" si="646"/>
        <v>57.7821782178218</v>
      </c>
      <c r="AD1308" s="2" t="s">
        <v>229</v>
      </c>
      <c r="AE1308" s="2">
        <v>188</v>
      </c>
      <c r="AF1308" s="21">
        <f t="shared" si="647"/>
        <v>57.7821782178218</v>
      </c>
      <c r="AG1308" s="4">
        <f t="shared" si="648"/>
        <v>7.00990099009901</v>
      </c>
      <c r="AH1308" s="4">
        <f t="shared" si="649"/>
        <v>0.158415841584158</v>
      </c>
      <c r="AI1308" s="2">
        <v>2966</v>
      </c>
      <c r="AJ1308" s="2">
        <v>217</v>
      </c>
      <c r="AK1308" s="2">
        <v>155</v>
      </c>
      <c r="AL1308" s="2">
        <v>142</v>
      </c>
      <c r="AM1308" s="2">
        <v>75</v>
      </c>
      <c r="AN1308" s="2">
        <v>6</v>
      </c>
      <c r="AO1308" s="2">
        <v>0</v>
      </c>
      <c r="AP1308" s="2">
        <f t="shared" si="653"/>
        <v>3331</v>
      </c>
      <c r="AQ1308" s="2">
        <f t="shared" si="654"/>
        <v>136.796714579055</v>
      </c>
      <c r="AR1308" s="5">
        <f t="shared" si="655"/>
        <v>257.177823408624</v>
      </c>
    </row>
    <row r="1309" spans="1:44">
      <c r="A1309" s="2">
        <v>20260419</v>
      </c>
      <c r="B1309" s="2" t="s">
        <v>2662</v>
      </c>
      <c r="C1309" s="2" t="s">
        <v>2663</v>
      </c>
      <c r="D1309" s="2">
        <v>2</v>
      </c>
      <c r="E1309" s="2">
        <v>2</v>
      </c>
      <c r="F1309" s="2">
        <v>8</v>
      </c>
      <c r="G1309" s="2">
        <v>9</v>
      </c>
      <c r="H1309" s="2">
        <v>6</v>
      </c>
      <c r="I1309" s="3">
        <v>12</v>
      </c>
      <c r="J1309" s="2">
        <v>4</v>
      </c>
      <c r="K1309" s="2">
        <v>4</v>
      </c>
      <c r="L1309" s="2">
        <v>2</v>
      </c>
      <c r="M1309" s="2">
        <v>5</v>
      </c>
      <c r="N1309" s="2">
        <v>3</v>
      </c>
      <c r="O1309" s="2">
        <v>11</v>
      </c>
      <c r="P1309" s="3">
        <v>23</v>
      </c>
      <c r="Q1309" s="2">
        <v>5</v>
      </c>
      <c r="R1309" s="2">
        <v>3</v>
      </c>
      <c r="S1309" s="2">
        <v>4</v>
      </c>
      <c r="T1309" s="2">
        <v>5</v>
      </c>
      <c r="U1309" s="2">
        <v>0</v>
      </c>
      <c r="V1309" s="2">
        <f t="shared" si="643"/>
        <v>14</v>
      </c>
      <c r="W1309" s="2">
        <v>2</v>
      </c>
      <c r="X1309" s="2">
        <v>5</v>
      </c>
      <c r="Y1309" s="2">
        <v>0</v>
      </c>
      <c r="Z1309" s="2">
        <f t="shared" si="644"/>
        <v>7</v>
      </c>
      <c r="AA1309" s="2">
        <f t="shared" si="645"/>
        <v>70</v>
      </c>
      <c r="AB1309" s="2">
        <v>2425</v>
      </c>
      <c r="AC1309" s="20">
        <f t="shared" ref="AC1309:AC1317" si="656">AA1309/AB1309*100</f>
        <v>2.88659793814433</v>
      </c>
      <c r="AD1309" s="2" t="s">
        <v>229</v>
      </c>
      <c r="AE1309" s="2">
        <v>188</v>
      </c>
      <c r="AF1309" s="21">
        <f t="shared" si="647"/>
        <v>2.88659793814433</v>
      </c>
      <c r="AG1309" s="4">
        <f t="shared" si="648"/>
        <v>0.577319587628866</v>
      </c>
      <c r="AH1309" s="4">
        <f t="shared" si="649"/>
        <v>0.288659793814433</v>
      </c>
      <c r="AI1309" s="2">
        <v>2414</v>
      </c>
      <c r="AJ1309" s="2">
        <v>214</v>
      </c>
      <c r="AK1309" s="2">
        <v>206</v>
      </c>
      <c r="AL1309" s="2">
        <v>25</v>
      </c>
      <c r="AM1309" s="2">
        <v>43</v>
      </c>
      <c r="AN1309" s="2">
        <v>2</v>
      </c>
      <c r="AO1309" s="2">
        <v>0</v>
      </c>
      <c r="AP1309" s="2">
        <f t="shared" si="653"/>
        <v>2655</v>
      </c>
      <c r="AQ1309" s="2">
        <f t="shared" si="654"/>
        <v>105.148514851485</v>
      </c>
      <c r="AR1309" s="5">
        <f t="shared" si="655"/>
        <v>197.679207920792</v>
      </c>
    </row>
    <row r="1310" spans="1:44">
      <c r="A1310" s="2">
        <v>20260419</v>
      </c>
      <c r="B1310" s="2" t="s">
        <v>2664</v>
      </c>
      <c r="C1310" s="2" t="s">
        <v>2665</v>
      </c>
      <c r="D1310" s="2">
        <v>2</v>
      </c>
      <c r="E1310" s="2">
        <v>8</v>
      </c>
      <c r="F1310" s="2">
        <v>5</v>
      </c>
      <c r="G1310" s="2">
        <v>3</v>
      </c>
      <c r="H1310" s="2">
        <v>4</v>
      </c>
      <c r="I1310" s="3">
        <v>12</v>
      </c>
      <c r="J1310" s="2">
        <v>4</v>
      </c>
      <c r="K1310" s="2">
        <v>1</v>
      </c>
      <c r="L1310" s="2">
        <v>0</v>
      </c>
      <c r="M1310" s="2">
        <v>6</v>
      </c>
      <c r="N1310" s="2">
        <v>11</v>
      </c>
      <c r="O1310" s="2">
        <v>21</v>
      </c>
      <c r="P1310" s="3">
        <v>9</v>
      </c>
      <c r="Q1310" s="2">
        <v>14</v>
      </c>
      <c r="R1310" s="2">
        <v>1</v>
      </c>
      <c r="S1310" s="2">
        <v>2</v>
      </c>
      <c r="T1310" s="2">
        <v>2</v>
      </c>
      <c r="U1310" s="2">
        <v>0</v>
      </c>
      <c r="V1310" s="2">
        <f t="shared" ref="V1310:V1318" si="657">U1310+T1310+S1310+Q1310</f>
        <v>18</v>
      </c>
      <c r="W1310" s="2">
        <v>0</v>
      </c>
      <c r="X1310" s="2">
        <v>4</v>
      </c>
      <c r="Y1310" s="2">
        <v>0</v>
      </c>
      <c r="Z1310" s="2">
        <f t="shared" ref="Z1310:Z1320" si="658">Y1310+X1310+W1310+U1310</f>
        <v>4</v>
      </c>
      <c r="AA1310" s="2">
        <f t="shared" ref="AA1310:AA1320" si="659">G1310+H1310+I1310+J1310+K1310+L1310+M1310+P1310+T1310+U1310</f>
        <v>41</v>
      </c>
      <c r="AB1310" s="2">
        <v>2555</v>
      </c>
      <c r="AC1310" s="20">
        <f t="shared" si="656"/>
        <v>1.60469667318982</v>
      </c>
      <c r="AD1310" s="2" t="s">
        <v>229</v>
      </c>
      <c r="AE1310" s="2">
        <v>188</v>
      </c>
      <c r="AF1310" s="21">
        <f t="shared" ref="AF1310:AF1322" si="660">188/AE1310*AC1310</f>
        <v>1.60469667318982</v>
      </c>
      <c r="AG1310" s="4">
        <f t="shared" ref="AG1310:AG1322" si="661">V1310/AB1310*100</f>
        <v>0.704500978473581</v>
      </c>
      <c r="AH1310" s="4">
        <f t="shared" ref="AH1310:AH1322" si="662">Z1310/AB1310*100</f>
        <v>0.156555772994129</v>
      </c>
      <c r="AI1310" s="2">
        <v>2653</v>
      </c>
      <c r="AJ1310" s="2">
        <v>172</v>
      </c>
      <c r="AK1310" s="2">
        <v>203</v>
      </c>
      <c r="AL1310" s="2">
        <v>51</v>
      </c>
      <c r="AM1310" s="2">
        <v>33</v>
      </c>
      <c r="AN1310" s="2">
        <v>3</v>
      </c>
      <c r="AO1310" s="2">
        <v>0</v>
      </c>
      <c r="AP1310" s="2">
        <f t="shared" si="653"/>
        <v>2879</v>
      </c>
      <c r="AQ1310" s="2">
        <f t="shared" si="654"/>
        <v>118.721649484536</v>
      </c>
      <c r="AR1310" s="5">
        <f t="shared" si="655"/>
        <v>223.196701030928</v>
      </c>
    </row>
    <row r="1311" spans="1:44">
      <c r="A1311" s="2">
        <v>20260419</v>
      </c>
      <c r="B1311" s="2" t="s">
        <v>2666</v>
      </c>
      <c r="C1311" s="2" t="s">
        <v>2667</v>
      </c>
      <c r="D1311" s="2">
        <v>0</v>
      </c>
      <c r="E1311" s="2">
        <v>2</v>
      </c>
      <c r="F1311" s="2">
        <v>2</v>
      </c>
      <c r="G1311" s="2">
        <v>4</v>
      </c>
      <c r="H1311" s="2">
        <v>4</v>
      </c>
      <c r="I1311" s="3">
        <v>5</v>
      </c>
      <c r="J1311" s="2">
        <v>9</v>
      </c>
      <c r="K1311" s="2">
        <v>1</v>
      </c>
      <c r="L1311" s="2">
        <v>0</v>
      </c>
      <c r="M1311" s="2">
        <v>4</v>
      </c>
      <c r="N1311" s="2">
        <v>8</v>
      </c>
      <c r="O1311" s="2">
        <v>3</v>
      </c>
      <c r="P1311" s="3">
        <v>11</v>
      </c>
      <c r="Q1311" s="2">
        <v>3</v>
      </c>
      <c r="R1311" s="2">
        <v>5</v>
      </c>
      <c r="S1311" s="2">
        <v>0</v>
      </c>
      <c r="T1311" s="2">
        <v>0</v>
      </c>
      <c r="U1311" s="2">
        <v>1</v>
      </c>
      <c r="V1311" s="2">
        <f t="shared" si="657"/>
        <v>4</v>
      </c>
      <c r="W1311" s="2">
        <v>2</v>
      </c>
      <c r="X1311" s="2">
        <v>2</v>
      </c>
      <c r="Y1311" s="2">
        <v>0</v>
      </c>
      <c r="Z1311" s="2">
        <f t="shared" si="658"/>
        <v>5</v>
      </c>
      <c r="AA1311" s="2">
        <f t="shared" si="659"/>
        <v>39</v>
      </c>
      <c r="AB1311" s="2">
        <v>2325</v>
      </c>
      <c r="AC1311" s="20">
        <f t="shared" si="656"/>
        <v>1.67741935483871</v>
      </c>
      <c r="AD1311" s="2" t="s">
        <v>49</v>
      </c>
      <c r="AE1311" s="2">
        <v>188</v>
      </c>
      <c r="AF1311" s="21">
        <f t="shared" si="660"/>
        <v>1.67741935483871</v>
      </c>
      <c r="AG1311" s="4">
        <f t="shared" si="661"/>
        <v>0.172043010752688</v>
      </c>
      <c r="AH1311" s="4">
        <f t="shared" si="662"/>
        <v>0.21505376344086</v>
      </c>
      <c r="AI1311" s="2">
        <v>4215</v>
      </c>
      <c r="AJ1311" s="2">
        <v>296</v>
      </c>
      <c r="AK1311" s="2">
        <v>211</v>
      </c>
      <c r="AL1311" s="2">
        <v>158</v>
      </c>
      <c r="AM1311" s="2">
        <v>67</v>
      </c>
      <c r="AN1311" s="2">
        <v>0</v>
      </c>
      <c r="AO1311" s="2">
        <v>0</v>
      </c>
      <c r="AP1311" s="2">
        <f t="shared" si="653"/>
        <v>4669</v>
      </c>
      <c r="AQ1311" s="2">
        <f t="shared" si="654"/>
        <v>182.739726027397</v>
      </c>
      <c r="AR1311" s="5">
        <f t="shared" si="655"/>
        <v>343.550684931507</v>
      </c>
    </row>
    <row r="1312" spans="1:44">
      <c r="A1312" s="2">
        <v>20260419</v>
      </c>
      <c r="B1312" s="2" t="s">
        <v>2668</v>
      </c>
      <c r="C1312" s="2" t="s">
        <v>2669</v>
      </c>
      <c r="D1312" s="2">
        <v>2</v>
      </c>
      <c r="E1312" s="2">
        <v>0</v>
      </c>
      <c r="F1312" s="2">
        <v>7</v>
      </c>
      <c r="G1312" s="2">
        <v>2</v>
      </c>
      <c r="H1312" s="2">
        <v>1</v>
      </c>
      <c r="I1312" s="3">
        <v>13</v>
      </c>
      <c r="J1312" s="2">
        <v>4</v>
      </c>
      <c r="K1312" s="2">
        <v>1</v>
      </c>
      <c r="L1312" s="2">
        <v>0</v>
      </c>
      <c r="M1312" s="2">
        <v>1</v>
      </c>
      <c r="N1312" s="2">
        <v>7</v>
      </c>
      <c r="O1312" s="2">
        <v>10</v>
      </c>
      <c r="P1312" s="3">
        <v>5</v>
      </c>
      <c r="Q1312" s="2">
        <v>0</v>
      </c>
      <c r="R1312" s="2">
        <v>6</v>
      </c>
      <c r="S1312" s="2">
        <v>1</v>
      </c>
      <c r="T1312" s="2">
        <v>7</v>
      </c>
      <c r="U1312" s="2">
        <v>0</v>
      </c>
      <c r="V1312" s="2">
        <f t="shared" si="657"/>
        <v>8</v>
      </c>
      <c r="W1312" s="2">
        <v>0</v>
      </c>
      <c r="X1312" s="2">
        <v>0</v>
      </c>
      <c r="Y1312" s="2">
        <v>3</v>
      </c>
      <c r="Z1312" s="2">
        <f t="shared" si="658"/>
        <v>3</v>
      </c>
      <c r="AA1312" s="2">
        <f t="shared" si="659"/>
        <v>34</v>
      </c>
      <c r="AB1312" s="2">
        <v>2175</v>
      </c>
      <c r="AC1312" s="20">
        <f t="shared" si="656"/>
        <v>1.5632183908046</v>
      </c>
      <c r="AD1312" s="2" t="s">
        <v>49</v>
      </c>
      <c r="AE1312" s="2">
        <v>188</v>
      </c>
      <c r="AF1312" s="21">
        <f t="shared" si="660"/>
        <v>1.5632183908046</v>
      </c>
      <c r="AG1312" s="4">
        <f t="shared" si="661"/>
        <v>0.367816091954023</v>
      </c>
      <c r="AH1312" s="4">
        <f t="shared" si="662"/>
        <v>0.137931034482759</v>
      </c>
      <c r="AI1312" s="2">
        <v>1880</v>
      </c>
      <c r="AJ1312" s="2">
        <v>109</v>
      </c>
      <c r="AK1312" s="2">
        <v>222</v>
      </c>
      <c r="AL1312" s="2">
        <v>20</v>
      </c>
      <c r="AM1312" s="2">
        <v>54</v>
      </c>
      <c r="AN1312" s="2">
        <v>1</v>
      </c>
      <c r="AO1312" s="2">
        <v>0</v>
      </c>
      <c r="AP1312" s="2">
        <f t="shared" si="653"/>
        <v>2010</v>
      </c>
      <c r="AQ1312" s="2">
        <f t="shared" si="654"/>
        <v>86.4516129032258</v>
      </c>
      <c r="AR1312" s="5">
        <f t="shared" si="655"/>
        <v>162.529032258065</v>
      </c>
    </row>
    <row r="1313" spans="1:44">
      <c r="A1313" s="2">
        <v>20260419</v>
      </c>
      <c r="B1313" s="2" t="s">
        <v>2670</v>
      </c>
      <c r="C1313" s="2" t="s">
        <v>2671</v>
      </c>
      <c r="D1313" s="2">
        <v>0</v>
      </c>
      <c r="E1313" s="2">
        <v>2</v>
      </c>
      <c r="F1313" s="2">
        <v>4</v>
      </c>
      <c r="G1313" s="2">
        <v>2</v>
      </c>
      <c r="H1313" s="2">
        <v>0</v>
      </c>
      <c r="I1313" s="3">
        <v>28</v>
      </c>
      <c r="J1313" s="2">
        <v>6</v>
      </c>
      <c r="K1313" s="2">
        <v>1</v>
      </c>
      <c r="L1313" s="2">
        <v>0</v>
      </c>
      <c r="M1313" s="2">
        <v>4</v>
      </c>
      <c r="N1313" s="2">
        <v>3</v>
      </c>
      <c r="O1313" s="2">
        <v>1</v>
      </c>
      <c r="P1313" s="3">
        <v>0</v>
      </c>
      <c r="Q1313" s="2">
        <v>4</v>
      </c>
      <c r="R1313" s="2">
        <v>6</v>
      </c>
      <c r="S1313" s="2">
        <v>0</v>
      </c>
      <c r="T1313" s="2">
        <v>2</v>
      </c>
      <c r="U1313" s="2">
        <v>0</v>
      </c>
      <c r="V1313" s="2">
        <f t="shared" si="657"/>
        <v>6</v>
      </c>
      <c r="W1313" s="2">
        <v>0</v>
      </c>
      <c r="X1313" s="2">
        <v>13</v>
      </c>
      <c r="Y1313" s="2">
        <v>0</v>
      </c>
      <c r="Z1313" s="2">
        <f t="shared" si="658"/>
        <v>13</v>
      </c>
      <c r="AA1313" s="2">
        <f t="shared" si="659"/>
        <v>43</v>
      </c>
      <c r="AB1313" s="2">
        <v>2107</v>
      </c>
      <c r="AC1313" s="20">
        <f t="shared" si="656"/>
        <v>2.04081632653061</v>
      </c>
      <c r="AD1313" s="2" t="s">
        <v>44</v>
      </c>
      <c r="AE1313" s="2">
        <v>125</v>
      </c>
      <c r="AF1313" s="21">
        <f t="shared" si="660"/>
        <v>3.06938775510204</v>
      </c>
      <c r="AG1313" s="4">
        <f t="shared" si="661"/>
        <v>0.284765068818225</v>
      </c>
      <c r="AH1313" s="4">
        <f t="shared" si="662"/>
        <v>0.616990982439487</v>
      </c>
      <c r="AI1313" s="2">
        <v>10844</v>
      </c>
      <c r="AJ1313" s="2">
        <v>265</v>
      </c>
      <c r="AK1313" s="2">
        <v>550</v>
      </c>
      <c r="AL1313" s="2">
        <v>116</v>
      </c>
      <c r="AM1313" s="2">
        <v>103</v>
      </c>
      <c r="AN1313" s="2">
        <v>6</v>
      </c>
      <c r="AO1313" s="2">
        <v>0</v>
      </c>
      <c r="AP1313" s="2">
        <f t="shared" si="653"/>
        <v>11231</v>
      </c>
      <c r="AQ1313" s="2">
        <f t="shared" si="654"/>
        <v>516.367816091954</v>
      </c>
      <c r="AR1313" s="5">
        <f t="shared" si="655"/>
        <v>970.771494252873</v>
      </c>
    </row>
    <row r="1314" spans="1:44">
      <c r="A1314" s="2">
        <v>20260419</v>
      </c>
      <c r="B1314" s="2" t="s">
        <v>2672</v>
      </c>
      <c r="C1314" s="2" t="s">
        <v>2673</v>
      </c>
      <c r="D1314" s="2">
        <v>0</v>
      </c>
      <c r="E1314" s="2">
        <v>2</v>
      </c>
      <c r="F1314" s="2">
        <v>1</v>
      </c>
      <c r="G1314" s="2">
        <v>6</v>
      </c>
      <c r="H1314" s="2">
        <v>4</v>
      </c>
      <c r="I1314" s="3">
        <v>37</v>
      </c>
      <c r="J1314" s="2">
        <v>5</v>
      </c>
      <c r="K1314" s="2">
        <v>0</v>
      </c>
      <c r="L1314" s="2">
        <v>0</v>
      </c>
      <c r="M1314" s="2">
        <v>3</v>
      </c>
      <c r="N1314" s="2">
        <v>2</v>
      </c>
      <c r="O1314" s="2">
        <v>0</v>
      </c>
      <c r="P1314" s="3">
        <v>6</v>
      </c>
      <c r="Q1314" s="2">
        <v>7</v>
      </c>
      <c r="R1314" s="2">
        <v>20</v>
      </c>
      <c r="S1314" s="2">
        <v>2</v>
      </c>
      <c r="T1314" s="2">
        <v>6</v>
      </c>
      <c r="U1314" s="2">
        <v>1</v>
      </c>
      <c r="V1314" s="2">
        <f t="shared" si="657"/>
        <v>16</v>
      </c>
      <c r="W1314" s="2">
        <v>0</v>
      </c>
      <c r="X1314" s="2">
        <v>0</v>
      </c>
      <c r="Y1314" s="2">
        <v>1</v>
      </c>
      <c r="Z1314" s="2">
        <f t="shared" si="658"/>
        <v>2</v>
      </c>
      <c r="AA1314" s="2">
        <f t="shared" si="659"/>
        <v>68</v>
      </c>
      <c r="AB1314" s="2">
        <v>4128</v>
      </c>
      <c r="AC1314" s="20">
        <f t="shared" si="656"/>
        <v>1.64728682170543</v>
      </c>
      <c r="AD1314" s="2" t="s">
        <v>44</v>
      </c>
      <c r="AE1314" s="2">
        <v>125</v>
      </c>
      <c r="AF1314" s="21">
        <f t="shared" si="660"/>
        <v>2.47751937984496</v>
      </c>
      <c r="AG1314" s="4">
        <f t="shared" si="661"/>
        <v>0.387596899224806</v>
      </c>
      <c r="AH1314" s="4">
        <f t="shared" si="662"/>
        <v>0.0484496124031008</v>
      </c>
      <c r="AI1314" s="2">
        <v>17374</v>
      </c>
      <c r="AJ1314" s="2">
        <v>398</v>
      </c>
      <c r="AK1314" s="2">
        <v>1121</v>
      </c>
      <c r="AL1314" s="2">
        <v>188</v>
      </c>
      <c r="AM1314" s="2">
        <v>136</v>
      </c>
      <c r="AN1314" s="2">
        <v>4</v>
      </c>
      <c r="AO1314" s="2">
        <v>0</v>
      </c>
      <c r="AP1314" s="2">
        <f t="shared" si="653"/>
        <v>17964</v>
      </c>
      <c r="AQ1314" s="2">
        <f t="shared" si="654"/>
        <v>852.586616041766</v>
      </c>
      <c r="AR1314" s="5">
        <f t="shared" si="655"/>
        <v>1602.86283815852</v>
      </c>
    </row>
    <row r="1315" spans="1:44">
      <c r="A1315" s="2">
        <v>20260419</v>
      </c>
      <c r="B1315" s="2" t="s">
        <v>2674</v>
      </c>
      <c r="C1315" s="2" t="s">
        <v>2675</v>
      </c>
      <c r="D1315" s="2">
        <v>0</v>
      </c>
      <c r="E1315" s="2">
        <v>19</v>
      </c>
      <c r="F1315" s="2">
        <v>1</v>
      </c>
      <c r="G1315" s="2">
        <v>0</v>
      </c>
      <c r="H1315" s="2">
        <v>6</v>
      </c>
      <c r="I1315" s="3">
        <v>27</v>
      </c>
      <c r="J1315" s="2">
        <v>7</v>
      </c>
      <c r="K1315" s="2">
        <v>0</v>
      </c>
      <c r="L1315" s="2">
        <v>0</v>
      </c>
      <c r="M1315" s="2">
        <v>6</v>
      </c>
      <c r="N1315" s="2">
        <v>9</v>
      </c>
      <c r="O1315" s="2">
        <v>0</v>
      </c>
      <c r="P1315" s="3">
        <v>3</v>
      </c>
      <c r="Q1315" s="2">
        <v>2</v>
      </c>
      <c r="R1315" s="2">
        <v>45</v>
      </c>
      <c r="S1315" s="2">
        <v>0</v>
      </c>
      <c r="T1315" s="2">
        <v>5</v>
      </c>
      <c r="U1315" s="2">
        <v>0</v>
      </c>
      <c r="V1315" s="2">
        <f t="shared" si="657"/>
        <v>7</v>
      </c>
      <c r="W1315" s="2">
        <v>0</v>
      </c>
      <c r="X1315" s="2">
        <v>14</v>
      </c>
      <c r="Y1315" s="2">
        <v>0</v>
      </c>
      <c r="Z1315" s="2">
        <f t="shared" si="658"/>
        <v>14</v>
      </c>
      <c r="AA1315" s="2">
        <f t="shared" si="659"/>
        <v>54</v>
      </c>
      <c r="AB1315" s="2">
        <v>2347</v>
      </c>
      <c r="AC1315" s="20">
        <f t="shared" si="656"/>
        <v>2.30080954409885</v>
      </c>
      <c r="AD1315" s="2" t="s">
        <v>44</v>
      </c>
      <c r="AE1315" s="2">
        <v>125</v>
      </c>
      <c r="AF1315" s="21">
        <f t="shared" si="660"/>
        <v>3.46041755432467</v>
      </c>
      <c r="AG1315" s="4">
        <f t="shared" si="661"/>
        <v>0.298253089049851</v>
      </c>
      <c r="AH1315" s="4">
        <f t="shared" si="662"/>
        <v>0.596506178099702</v>
      </c>
      <c r="AI1315" s="2">
        <v>9095</v>
      </c>
      <c r="AJ1315" s="2">
        <v>356</v>
      </c>
      <c r="AK1315" s="2">
        <v>681</v>
      </c>
      <c r="AL1315" s="2">
        <v>146</v>
      </c>
      <c r="AM1315" s="2">
        <v>59</v>
      </c>
      <c r="AN1315" s="2">
        <v>6</v>
      </c>
      <c r="AO1315" s="2">
        <v>0</v>
      </c>
      <c r="AP1315" s="2">
        <f t="shared" si="653"/>
        <v>9603</v>
      </c>
      <c r="AQ1315" s="2">
        <f t="shared" si="654"/>
        <v>232.630813953488</v>
      </c>
      <c r="AR1315" s="5">
        <f t="shared" si="655"/>
        <v>437.345930232558</v>
      </c>
    </row>
    <row r="1316" spans="1:44">
      <c r="A1316" s="2">
        <v>20260420</v>
      </c>
      <c r="B1316" s="2" t="s">
        <v>2676</v>
      </c>
      <c r="C1316" s="2" t="s">
        <v>2677</v>
      </c>
      <c r="D1316" s="2">
        <v>0</v>
      </c>
      <c r="E1316" s="2">
        <v>0</v>
      </c>
      <c r="F1316" s="2">
        <v>0</v>
      </c>
      <c r="G1316" s="2">
        <v>2</v>
      </c>
      <c r="H1316" s="2">
        <v>4</v>
      </c>
      <c r="I1316" s="3">
        <v>9</v>
      </c>
      <c r="J1316" s="2">
        <v>4</v>
      </c>
      <c r="K1316" s="2">
        <v>0</v>
      </c>
      <c r="L1316" s="2">
        <v>0</v>
      </c>
      <c r="M1316" s="2">
        <v>1</v>
      </c>
      <c r="N1316" s="2">
        <v>2</v>
      </c>
      <c r="O1316" s="2">
        <v>0</v>
      </c>
      <c r="P1316" s="3">
        <v>5</v>
      </c>
      <c r="Q1316" s="2">
        <v>0</v>
      </c>
      <c r="R1316" s="2">
        <v>6</v>
      </c>
      <c r="S1316" s="2">
        <v>1</v>
      </c>
      <c r="T1316" s="2">
        <v>2</v>
      </c>
      <c r="U1316" s="2">
        <v>0</v>
      </c>
      <c r="V1316" s="2">
        <f t="shared" si="657"/>
        <v>3</v>
      </c>
      <c r="W1316" s="2">
        <v>0</v>
      </c>
      <c r="X1316" s="2">
        <v>2</v>
      </c>
      <c r="Y1316" s="2">
        <v>0</v>
      </c>
      <c r="Z1316" s="2">
        <f t="shared" si="658"/>
        <v>2</v>
      </c>
      <c r="AA1316" s="2">
        <f t="shared" si="659"/>
        <v>27</v>
      </c>
      <c r="AB1316" s="2">
        <v>2097</v>
      </c>
      <c r="AC1316" s="20">
        <f t="shared" si="656"/>
        <v>1.28755364806867</v>
      </c>
      <c r="AD1316" s="2" t="s">
        <v>44</v>
      </c>
      <c r="AE1316" s="2">
        <v>125</v>
      </c>
      <c r="AF1316" s="21">
        <f t="shared" si="660"/>
        <v>1.93648068669528</v>
      </c>
      <c r="AG1316" s="4">
        <f t="shared" si="661"/>
        <v>0.143061516452074</v>
      </c>
      <c r="AH1316" s="4">
        <f t="shared" si="662"/>
        <v>0.0953743443013829</v>
      </c>
      <c r="AI1316" s="2">
        <v>6989</v>
      </c>
      <c r="AJ1316" s="2">
        <v>184</v>
      </c>
      <c r="AK1316" s="2">
        <v>576</v>
      </c>
      <c r="AL1316" s="2">
        <v>86</v>
      </c>
      <c r="AM1316" s="2">
        <v>50</v>
      </c>
      <c r="AN1316" s="2">
        <v>4</v>
      </c>
      <c r="AO1316" s="2">
        <v>0</v>
      </c>
      <c r="AP1316" s="2">
        <f t="shared" ref="AP1316:AP1330" si="663">AI1316+AJ1316+AL1316+AN1316</f>
        <v>7263</v>
      </c>
      <c r="AQ1316" s="2">
        <f t="shared" ref="AQ1316:AQ1330" si="664">AP1316/AB1315*100</f>
        <v>309.458883681295</v>
      </c>
      <c r="AR1316" s="5">
        <f t="shared" ref="AR1316:AR1330" si="665">AQ1316*1.88</f>
        <v>581.782701320835</v>
      </c>
    </row>
    <row r="1317" spans="1:44">
      <c r="A1317" s="2">
        <v>20260420</v>
      </c>
      <c r="B1317" s="2" t="s">
        <v>2678</v>
      </c>
      <c r="C1317" s="2" t="s">
        <v>2679</v>
      </c>
      <c r="D1317" s="2">
        <v>0</v>
      </c>
      <c r="E1317" s="2">
        <v>3</v>
      </c>
      <c r="F1317" s="2">
        <v>5</v>
      </c>
      <c r="G1317" s="2">
        <v>4</v>
      </c>
      <c r="H1317" s="2">
        <v>2</v>
      </c>
      <c r="I1317" s="3">
        <v>35</v>
      </c>
      <c r="J1317" s="2">
        <v>9</v>
      </c>
      <c r="K1317" s="2">
        <v>1</v>
      </c>
      <c r="L1317" s="2">
        <v>1</v>
      </c>
      <c r="M1317" s="2">
        <v>1</v>
      </c>
      <c r="N1317" s="2">
        <v>6</v>
      </c>
      <c r="O1317" s="2">
        <v>4</v>
      </c>
      <c r="P1317" s="3">
        <v>5</v>
      </c>
      <c r="Q1317" s="2">
        <v>7</v>
      </c>
      <c r="R1317" s="2">
        <v>13</v>
      </c>
      <c r="S1317" s="2">
        <v>0</v>
      </c>
      <c r="T1317" s="2">
        <v>10</v>
      </c>
      <c r="U1317" s="2">
        <v>1</v>
      </c>
      <c r="V1317" s="2">
        <f t="shared" si="657"/>
        <v>18</v>
      </c>
      <c r="W1317" s="2">
        <v>0</v>
      </c>
      <c r="X1317" s="2">
        <v>10</v>
      </c>
      <c r="Y1317" s="2">
        <v>0</v>
      </c>
      <c r="Z1317" s="2">
        <f t="shared" si="658"/>
        <v>11</v>
      </c>
      <c r="AA1317" s="2">
        <f t="shared" si="659"/>
        <v>69</v>
      </c>
      <c r="AB1317" s="2">
        <v>3513</v>
      </c>
      <c r="AC1317" s="20">
        <f t="shared" ref="AC1317:AC1334" si="666">AA1317/AB1317*100</f>
        <v>1.96413321947054</v>
      </c>
      <c r="AD1317" s="2" t="s">
        <v>44</v>
      </c>
      <c r="AE1317" s="2">
        <v>125</v>
      </c>
      <c r="AF1317" s="21">
        <f t="shared" ref="AF1317:AF1334" si="667">188/AE1317*AC1317</f>
        <v>2.95405636208369</v>
      </c>
      <c r="AG1317" s="4">
        <f t="shared" ref="AG1317:AG1334" si="668">V1317/AB1317*100</f>
        <v>0.512382578992314</v>
      </c>
      <c r="AH1317" s="4">
        <f t="shared" ref="AH1317:AH1334" si="669">Z1317/AB1317*100</f>
        <v>0.31312268716197</v>
      </c>
      <c r="AI1317" s="2">
        <v>11383</v>
      </c>
      <c r="AJ1317" s="2">
        <v>361</v>
      </c>
      <c r="AK1317" s="2">
        <v>890</v>
      </c>
      <c r="AL1317" s="2">
        <v>72</v>
      </c>
      <c r="AM1317" s="2">
        <v>78</v>
      </c>
      <c r="AN1317" s="2">
        <v>5</v>
      </c>
      <c r="AO1317" s="2">
        <v>0</v>
      </c>
      <c r="AP1317" s="2">
        <f t="shared" si="663"/>
        <v>11821</v>
      </c>
      <c r="AQ1317" s="2">
        <f t="shared" si="664"/>
        <v>563.710061993324</v>
      </c>
      <c r="AR1317" s="5">
        <f t="shared" si="665"/>
        <v>1059.77491654745</v>
      </c>
    </row>
    <row r="1318" spans="1:44">
      <c r="A1318" s="2">
        <v>20260420</v>
      </c>
      <c r="B1318" s="2" t="s">
        <v>2680</v>
      </c>
      <c r="C1318" s="2" t="s">
        <v>2681</v>
      </c>
      <c r="D1318" s="2">
        <v>0</v>
      </c>
      <c r="E1318" s="2">
        <v>4</v>
      </c>
      <c r="F1318" s="2">
        <v>5</v>
      </c>
      <c r="G1318" s="2">
        <v>4</v>
      </c>
      <c r="H1318" s="2">
        <v>2</v>
      </c>
      <c r="I1318" s="3">
        <v>24</v>
      </c>
      <c r="J1318" s="2">
        <v>9</v>
      </c>
      <c r="K1318" s="2">
        <v>1</v>
      </c>
      <c r="L1318" s="2">
        <v>0</v>
      </c>
      <c r="M1318" s="2">
        <v>3</v>
      </c>
      <c r="N1318" s="2">
        <v>3</v>
      </c>
      <c r="O1318" s="2">
        <v>3</v>
      </c>
      <c r="P1318" s="3">
        <v>13</v>
      </c>
      <c r="Q1318" s="2">
        <v>6</v>
      </c>
      <c r="R1318" s="2">
        <v>7</v>
      </c>
      <c r="S1318" s="2">
        <v>0</v>
      </c>
      <c r="T1318" s="2">
        <v>7</v>
      </c>
      <c r="U1318" s="2">
        <v>0</v>
      </c>
      <c r="V1318" s="2">
        <f t="shared" si="657"/>
        <v>13</v>
      </c>
      <c r="W1318" s="2">
        <v>0</v>
      </c>
      <c r="X1318" s="2">
        <v>15</v>
      </c>
      <c r="Y1318" s="2">
        <v>0</v>
      </c>
      <c r="Z1318" s="2">
        <f t="shared" si="658"/>
        <v>15</v>
      </c>
      <c r="AA1318" s="2">
        <f t="shared" si="659"/>
        <v>63</v>
      </c>
      <c r="AB1318" s="2">
        <v>3582</v>
      </c>
      <c r="AC1318" s="20">
        <f t="shared" si="666"/>
        <v>1.75879396984925</v>
      </c>
      <c r="AD1318" s="2" t="s">
        <v>44</v>
      </c>
      <c r="AE1318" s="2">
        <v>125</v>
      </c>
      <c r="AF1318" s="21">
        <f t="shared" si="667"/>
        <v>2.64522613065327</v>
      </c>
      <c r="AG1318" s="4">
        <f t="shared" si="668"/>
        <v>0.362925739810162</v>
      </c>
      <c r="AH1318" s="4">
        <f t="shared" si="669"/>
        <v>0.418760469011725</v>
      </c>
      <c r="AI1318" s="2">
        <v>11513</v>
      </c>
      <c r="AJ1318" s="2">
        <v>338</v>
      </c>
      <c r="AK1318" s="2">
        <v>985</v>
      </c>
      <c r="AL1318" s="2">
        <v>311</v>
      </c>
      <c r="AM1318" s="2">
        <v>90</v>
      </c>
      <c r="AN1318" s="2">
        <v>4</v>
      </c>
      <c r="AO1318" s="2">
        <v>0</v>
      </c>
      <c r="AP1318" s="2">
        <f t="shared" si="663"/>
        <v>12166</v>
      </c>
      <c r="AQ1318" s="2">
        <f t="shared" si="664"/>
        <v>346.313692001139</v>
      </c>
      <c r="AR1318" s="5">
        <f t="shared" si="665"/>
        <v>651.069740962141</v>
      </c>
    </row>
    <row r="1319" spans="1:44">
      <c r="A1319" s="2">
        <v>20260420</v>
      </c>
      <c r="B1319" s="8" t="s">
        <v>2682</v>
      </c>
      <c r="C1319" s="2" t="s">
        <v>2683</v>
      </c>
      <c r="D1319" s="2">
        <v>2</v>
      </c>
      <c r="E1319" s="2">
        <v>4</v>
      </c>
      <c r="F1319" s="2">
        <v>7</v>
      </c>
      <c r="G1319" s="2">
        <v>4</v>
      </c>
      <c r="H1319" s="2">
        <v>7</v>
      </c>
      <c r="I1319" s="3">
        <v>27</v>
      </c>
      <c r="J1319" s="2">
        <v>17</v>
      </c>
      <c r="K1319" s="2">
        <v>1</v>
      </c>
      <c r="L1319" s="2">
        <v>0</v>
      </c>
      <c r="M1319" s="2">
        <v>6</v>
      </c>
      <c r="N1319" s="2">
        <v>7</v>
      </c>
      <c r="O1319" s="2">
        <v>7</v>
      </c>
      <c r="P1319" s="3">
        <v>7</v>
      </c>
      <c r="Q1319" s="2">
        <v>5</v>
      </c>
      <c r="R1319" s="2">
        <v>5</v>
      </c>
      <c r="S1319" s="2">
        <v>3</v>
      </c>
      <c r="T1319" s="2">
        <v>5</v>
      </c>
      <c r="U1319" s="2">
        <v>0</v>
      </c>
      <c r="V1319" s="2">
        <f t="shared" ref="V1319:V1330" si="670">U1319+T1319+S1319+Q1319</f>
        <v>13</v>
      </c>
      <c r="W1319" s="2">
        <v>0</v>
      </c>
      <c r="X1319" s="2">
        <v>22</v>
      </c>
      <c r="Y1319" s="2">
        <v>0</v>
      </c>
      <c r="Z1319" s="2">
        <f t="shared" ref="Z1319:Z1329" si="671">Y1319+X1319+W1319+U1319</f>
        <v>22</v>
      </c>
      <c r="AA1319" s="2">
        <f t="shared" ref="AA1319:AA1329" si="672">G1319+H1319+I1319+J1319+K1319+L1319+M1319+P1319+T1319+U1319</f>
        <v>74</v>
      </c>
      <c r="AB1319" s="2">
        <v>3284</v>
      </c>
      <c r="AC1319" s="20">
        <f t="shared" si="666"/>
        <v>2.25334957369062</v>
      </c>
      <c r="AD1319" s="2" t="s">
        <v>44</v>
      </c>
      <c r="AE1319" s="2">
        <v>125</v>
      </c>
      <c r="AF1319" s="21">
        <f t="shared" si="667"/>
        <v>3.38903775883069</v>
      </c>
      <c r="AG1319" s="4">
        <f t="shared" si="668"/>
        <v>0.395858708891596</v>
      </c>
      <c r="AH1319" s="4">
        <f t="shared" si="669"/>
        <v>0.669914738124239</v>
      </c>
      <c r="AI1319" s="2">
        <v>2236</v>
      </c>
      <c r="AJ1319" s="2">
        <v>72</v>
      </c>
      <c r="AK1319" s="2">
        <v>203</v>
      </c>
      <c r="AL1319" s="2">
        <v>9</v>
      </c>
      <c r="AM1319" s="2">
        <v>13</v>
      </c>
      <c r="AN1319" s="2">
        <v>0</v>
      </c>
      <c r="AO1319" s="2">
        <v>0</v>
      </c>
      <c r="AP1319" s="2">
        <f t="shared" si="663"/>
        <v>2317</v>
      </c>
      <c r="AQ1319" s="2">
        <f t="shared" si="664"/>
        <v>64.6845337800112</v>
      </c>
      <c r="AR1319" s="5">
        <f t="shared" si="665"/>
        <v>121.606923506421</v>
      </c>
    </row>
    <row r="1320" spans="1:44">
      <c r="A1320" s="2">
        <v>20260420</v>
      </c>
      <c r="B1320" s="8" t="s">
        <v>2684</v>
      </c>
      <c r="C1320" s="2" t="s">
        <v>2685</v>
      </c>
      <c r="D1320" s="2">
        <v>0</v>
      </c>
      <c r="E1320" s="2">
        <v>3</v>
      </c>
      <c r="F1320" s="2">
        <v>0</v>
      </c>
      <c r="G1320" s="2">
        <v>2</v>
      </c>
      <c r="H1320" s="2">
        <v>4</v>
      </c>
      <c r="I1320" s="3">
        <v>15</v>
      </c>
      <c r="J1320" s="2">
        <v>5</v>
      </c>
      <c r="K1320" s="2">
        <v>0</v>
      </c>
      <c r="L1320" s="2">
        <v>0</v>
      </c>
      <c r="M1320" s="2">
        <v>0</v>
      </c>
      <c r="N1320" s="2">
        <v>10</v>
      </c>
      <c r="O1320" s="2">
        <v>4</v>
      </c>
      <c r="P1320" s="3">
        <v>0</v>
      </c>
      <c r="Q1320" s="2">
        <v>1</v>
      </c>
      <c r="R1320" s="2">
        <v>3</v>
      </c>
      <c r="S1320" s="2">
        <v>0</v>
      </c>
      <c r="T1320" s="2">
        <v>0</v>
      </c>
      <c r="U1320" s="2">
        <v>0</v>
      </c>
      <c r="V1320" s="2">
        <f t="shared" si="670"/>
        <v>1</v>
      </c>
      <c r="W1320" s="2">
        <v>0</v>
      </c>
      <c r="X1320" s="2">
        <v>14</v>
      </c>
      <c r="Y1320" s="2">
        <v>0</v>
      </c>
      <c r="Z1320" s="2">
        <f t="shared" si="671"/>
        <v>14</v>
      </c>
      <c r="AA1320" s="2">
        <f t="shared" si="672"/>
        <v>26</v>
      </c>
      <c r="AB1320" s="2">
        <v>3184</v>
      </c>
      <c r="AC1320" s="20">
        <f t="shared" si="666"/>
        <v>0.816582914572864</v>
      </c>
      <c r="AD1320" s="2" t="s">
        <v>44</v>
      </c>
      <c r="AE1320" s="2">
        <v>125</v>
      </c>
      <c r="AF1320" s="21">
        <f t="shared" si="667"/>
        <v>1.22814070351759</v>
      </c>
      <c r="AG1320" s="4">
        <f t="shared" si="668"/>
        <v>0.0314070351758794</v>
      </c>
      <c r="AH1320" s="4">
        <f t="shared" si="669"/>
        <v>0.439698492462312</v>
      </c>
      <c r="AI1320" s="2">
        <v>2619</v>
      </c>
      <c r="AJ1320" s="2">
        <v>74</v>
      </c>
      <c r="AK1320" s="2">
        <v>161</v>
      </c>
      <c r="AL1320" s="2">
        <v>54</v>
      </c>
      <c r="AM1320" s="2">
        <v>143</v>
      </c>
      <c r="AN1320" s="2">
        <v>0</v>
      </c>
      <c r="AO1320" s="2">
        <v>0</v>
      </c>
      <c r="AP1320" s="2">
        <f t="shared" si="663"/>
        <v>2747</v>
      </c>
      <c r="AQ1320" s="2">
        <f t="shared" si="664"/>
        <v>83.6479902557856</v>
      </c>
      <c r="AR1320" s="5">
        <f t="shared" si="665"/>
        <v>157.258221680877</v>
      </c>
    </row>
    <row r="1321" spans="1:44">
      <c r="A1321" s="2">
        <v>20260420</v>
      </c>
      <c r="B1321" s="8" t="s">
        <v>2686</v>
      </c>
      <c r="C1321" s="2" t="s">
        <v>2687</v>
      </c>
      <c r="D1321" s="2">
        <v>12</v>
      </c>
      <c r="E1321" s="2">
        <v>2</v>
      </c>
      <c r="F1321" s="2">
        <v>21</v>
      </c>
      <c r="G1321" s="2">
        <v>4</v>
      </c>
      <c r="H1321" s="2">
        <v>20</v>
      </c>
      <c r="I1321" s="3">
        <v>27</v>
      </c>
      <c r="J1321" s="2">
        <v>36</v>
      </c>
      <c r="K1321" s="2">
        <v>11</v>
      </c>
      <c r="L1321" s="2">
        <v>0</v>
      </c>
      <c r="M1321" s="2">
        <v>3</v>
      </c>
      <c r="N1321" s="2">
        <v>26</v>
      </c>
      <c r="O1321" s="2">
        <v>41</v>
      </c>
      <c r="P1321" s="3">
        <v>17</v>
      </c>
      <c r="Q1321" s="2">
        <v>12</v>
      </c>
      <c r="R1321" s="2">
        <v>13</v>
      </c>
      <c r="S1321" s="2">
        <v>4</v>
      </c>
      <c r="T1321" s="2">
        <v>1</v>
      </c>
      <c r="U1321" s="2">
        <v>10</v>
      </c>
      <c r="V1321" s="2">
        <v>1</v>
      </c>
      <c r="W1321" s="2">
        <v>4</v>
      </c>
      <c r="X1321" s="2">
        <v>12</v>
      </c>
      <c r="Y1321" s="2">
        <v>1</v>
      </c>
      <c r="Z1321" s="2">
        <f t="shared" si="671"/>
        <v>27</v>
      </c>
      <c r="AA1321" s="2">
        <f t="shared" si="672"/>
        <v>129</v>
      </c>
      <c r="AB1321" s="2">
        <v>3414</v>
      </c>
      <c r="AC1321" s="20">
        <f t="shared" si="666"/>
        <v>3.77855887521968</v>
      </c>
      <c r="AD1321" s="2" t="s">
        <v>44</v>
      </c>
      <c r="AE1321" s="2">
        <v>125</v>
      </c>
      <c r="AF1321" s="21">
        <f t="shared" si="667"/>
        <v>5.6829525483304</v>
      </c>
      <c r="AG1321" s="4">
        <f t="shared" si="668"/>
        <v>0.0292911540714704</v>
      </c>
      <c r="AH1321" s="4">
        <f t="shared" si="669"/>
        <v>0.790861159929701</v>
      </c>
      <c r="AI1321" s="2">
        <v>423</v>
      </c>
      <c r="AJ1321" s="2">
        <v>15</v>
      </c>
      <c r="AK1321" s="2">
        <v>41</v>
      </c>
      <c r="AL1321" s="2">
        <v>1</v>
      </c>
      <c r="AM1321" s="2">
        <v>3</v>
      </c>
      <c r="AN1321" s="2">
        <v>0</v>
      </c>
      <c r="AO1321" s="2">
        <v>0</v>
      </c>
      <c r="AP1321" s="2">
        <f t="shared" si="663"/>
        <v>439</v>
      </c>
      <c r="AQ1321" s="2">
        <f t="shared" si="664"/>
        <v>13.7876884422111</v>
      </c>
      <c r="AR1321" s="5">
        <f t="shared" si="665"/>
        <v>25.9208542713568</v>
      </c>
    </row>
    <row r="1322" spans="1:44">
      <c r="A1322" s="2">
        <v>20260420</v>
      </c>
      <c r="B1322" s="2" t="s">
        <v>2688</v>
      </c>
      <c r="C1322" s="2" t="s">
        <v>2689</v>
      </c>
      <c r="D1322" s="2">
        <v>0</v>
      </c>
      <c r="E1322" s="2">
        <v>1</v>
      </c>
      <c r="F1322" s="2">
        <v>0</v>
      </c>
      <c r="G1322" s="2">
        <v>4</v>
      </c>
      <c r="H1322" s="2">
        <v>3</v>
      </c>
      <c r="I1322" s="3">
        <v>21</v>
      </c>
      <c r="J1322" s="2">
        <v>7</v>
      </c>
      <c r="K1322" s="2">
        <v>2</v>
      </c>
      <c r="L1322" s="2">
        <v>0</v>
      </c>
      <c r="M1322" s="2">
        <v>1</v>
      </c>
      <c r="N1322" s="2">
        <v>6</v>
      </c>
      <c r="O1322" s="2">
        <v>0</v>
      </c>
      <c r="P1322" s="3">
        <v>5</v>
      </c>
      <c r="Q1322" s="2">
        <v>3</v>
      </c>
      <c r="R1322" s="2">
        <v>4</v>
      </c>
      <c r="S1322" s="2">
        <v>1</v>
      </c>
      <c r="T1322" s="2">
        <v>7</v>
      </c>
      <c r="U1322" s="2">
        <v>1</v>
      </c>
      <c r="V1322" s="2">
        <f t="shared" si="670"/>
        <v>12</v>
      </c>
      <c r="W1322" s="2">
        <v>1</v>
      </c>
      <c r="X1322" s="2">
        <v>13</v>
      </c>
      <c r="Y1322" s="2">
        <v>0</v>
      </c>
      <c r="Z1322" s="2">
        <f t="shared" si="671"/>
        <v>15</v>
      </c>
      <c r="AA1322" s="2">
        <f t="shared" si="672"/>
        <v>51</v>
      </c>
      <c r="AB1322" s="2">
        <v>3184</v>
      </c>
      <c r="AC1322" s="20">
        <f t="shared" si="666"/>
        <v>1.60175879396985</v>
      </c>
      <c r="AD1322" s="2" t="s">
        <v>44</v>
      </c>
      <c r="AE1322" s="2">
        <v>125</v>
      </c>
      <c r="AF1322" s="21">
        <f t="shared" si="667"/>
        <v>2.40904522613065</v>
      </c>
      <c r="AG1322" s="4">
        <f t="shared" si="668"/>
        <v>0.376884422110553</v>
      </c>
      <c r="AH1322" s="4">
        <f t="shared" si="669"/>
        <v>0.471105527638191</v>
      </c>
      <c r="AI1322" s="2">
        <v>1936</v>
      </c>
      <c r="AJ1322" s="2">
        <v>78</v>
      </c>
      <c r="AK1322" s="2">
        <v>75</v>
      </c>
      <c r="AL1322" s="2">
        <v>253</v>
      </c>
      <c r="AM1322" s="2">
        <v>53</v>
      </c>
      <c r="AN1322" s="2">
        <v>1</v>
      </c>
      <c r="AO1322" s="2">
        <v>0</v>
      </c>
      <c r="AP1322" s="2">
        <f t="shared" si="663"/>
        <v>2268</v>
      </c>
      <c r="AQ1322" s="2">
        <f t="shared" si="664"/>
        <v>66.4323374340949</v>
      </c>
      <c r="AR1322" s="5">
        <f t="shared" si="665"/>
        <v>124.892794376098</v>
      </c>
    </row>
    <row r="1323" spans="1:44">
      <c r="A1323" s="2">
        <v>20260420</v>
      </c>
      <c r="B1323" s="2" t="s">
        <v>2690</v>
      </c>
      <c r="C1323" s="2" t="s">
        <v>2691</v>
      </c>
      <c r="D1323" s="2">
        <v>0</v>
      </c>
      <c r="E1323" s="2">
        <v>179</v>
      </c>
      <c r="F1323" s="2">
        <v>10</v>
      </c>
      <c r="G1323" s="2">
        <v>4</v>
      </c>
      <c r="H1323" s="2">
        <v>9</v>
      </c>
      <c r="I1323" s="3">
        <v>15</v>
      </c>
      <c r="J1323" s="2">
        <v>9</v>
      </c>
      <c r="K1323" s="2">
        <v>2</v>
      </c>
      <c r="L1323" s="2">
        <v>3</v>
      </c>
      <c r="M1323" s="2">
        <v>2</v>
      </c>
      <c r="N1323" s="2">
        <v>4</v>
      </c>
      <c r="O1323" s="2">
        <v>40</v>
      </c>
      <c r="P1323" s="3">
        <v>7</v>
      </c>
      <c r="Q1323" s="2">
        <v>7</v>
      </c>
      <c r="R1323" s="2">
        <v>8</v>
      </c>
      <c r="S1323" s="2">
        <v>1</v>
      </c>
      <c r="T1323" s="2">
        <v>9</v>
      </c>
      <c r="U1323" s="2">
        <v>0</v>
      </c>
      <c r="V1323" s="2">
        <f t="shared" si="670"/>
        <v>17</v>
      </c>
      <c r="W1323" s="2">
        <v>0</v>
      </c>
      <c r="X1323" s="2">
        <v>5</v>
      </c>
      <c r="Y1323" s="2">
        <v>0</v>
      </c>
      <c r="Z1323" s="2">
        <f t="shared" si="671"/>
        <v>5</v>
      </c>
      <c r="AA1323" s="2">
        <f t="shared" si="672"/>
        <v>60</v>
      </c>
      <c r="AB1323" s="2">
        <v>3544</v>
      </c>
      <c r="AC1323" s="20">
        <f t="shared" si="666"/>
        <v>1.69300225733634</v>
      </c>
      <c r="AD1323" s="2" t="s">
        <v>44</v>
      </c>
      <c r="AE1323" s="2">
        <v>125</v>
      </c>
      <c r="AF1323" s="21">
        <f t="shared" si="667"/>
        <v>2.54627539503386</v>
      </c>
      <c r="AG1323" s="4">
        <f t="shared" si="668"/>
        <v>0.479683972911964</v>
      </c>
      <c r="AH1323" s="4">
        <f t="shared" si="669"/>
        <v>0.141083521444695</v>
      </c>
      <c r="AI1323" s="2">
        <v>291</v>
      </c>
      <c r="AJ1323" s="2">
        <v>10</v>
      </c>
      <c r="AK1323" s="2">
        <v>24</v>
      </c>
      <c r="AL1323" s="2">
        <v>9</v>
      </c>
      <c r="AM1323" s="2">
        <v>10</v>
      </c>
      <c r="AN1323" s="2">
        <v>0</v>
      </c>
      <c r="AO1323" s="2">
        <v>0</v>
      </c>
      <c r="AP1323" s="2">
        <f t="shared" si="663"/>
        <v>310</v>
      </c>
      <c r="AQ1323" s="2">
        <f t="shared" si="664"/>
        <v>9.73618090452261</v>
      </c>
      <c r="AR1323" s="5">
        <f t="shared" si="665"/>
        <v>18.3040201005025</v>
      </c>
    </row>
    <row r="1324" spans="1:44">
      <c r="A1324" s="2">
        <v>20260420</v>
      </c>
      <c r="B1324" s="2" t="s">
        <v>2692</v>
      </c>
      <c r="C1324" s="2" t="s">
        <v>2693</v>
      </c>
      <c r="D1324" s="2">
        <v>0</v>
      </c>
      <c r="E1324" s="2">
        <v>1</v>
      </c>
      <c r="F1324" s="2">
        <v>6</v>
      </c>
      <c r="G1324" s="2">
        <v>3</v>
      </c>
      <c r="H1324" s="2">
        <v>19</v>
      </c>
      <c r="I1324" s="3">
        <v>3</v>
      </c>
      <c r="J1324" s="2">
        <v>0</v>
      </c>
      <c r="K1324" s="2">
        <v>0</v>
      </c>
      <c r="L1324" s="2">
        <v>2</v>
      </c>
      <c r="M1324" s="2">
        <v>4</v>
      </c>
      <c r="N1324" s="2">
        <v>0</v>
      </c>
      <c r="O1324" s="2">
        <v>6</v>
      </c>
      <c r="P1324" s="3">
        <v>0</v>
      </c>
      <c r="Q1324" s="2">
        <v>11</v>
      </c>
      <c r="R1324" s="2">
        <v>2</v>
      </c>
      <c r="S1324" s="2">
        <v>5</v>
      </c>
      <c r="T1324" s="2">
        <v>0</v>
      </c>
      <c r="U1324" s="2">
        <v>0</v>
      </c>
      <c r="V1324" s="2">
        <f t="shared" si="670"/>
        <v>16</v>
      </c>
      <c r="W1324" s="2">
        <v>1</v>
      </c>
      <c r="X1324" s="2">
        <v>10</v>
      </c>
      <c r="Y1324" s="2">
        <v>0</v>
      </c>
      <c r="Z1324" s="2">
        <f t="shared" si="671"/>
        <v>11</v>
      </c>
      <c r="AA1324" s="2">
        <f t="shared" si="672"/>
        <v>31</v>
      </c>
      <c r="AB1324" s="2">
        <v>3204</v>
      </c>
      <c r="AC1324" s="20">
        <f t="shared" si="666"/>
        <v>0.967540574282147</v>
      </c>
      <c r="AD1324" s="2" t="s">
        <v>44</v>
      </c>
      <c r="AE1324" s="2">
        <v>125</v>
      </c>
      <c r="AF1324" s="21">
        <f t="shared" si="667"/>
        <v>1.45518102372035</v>
      </c>
      <c r="AG1324" s="4">
        <f t="shared" si="668"/>
        <v>0.499375780274657</v>
      </c>
      <c r="AH1324" s="4">
        <f t="shared" si="669"/>
        <v>0.343320848938826</v>
      </c>
      <c r="AI1324" s="2">
        <v>6550</v>
      </c>
      <c r="AJ1324" s="2">
        <v>240</v>
      </c>
      <c r="AK1324" s="2">
        <v>856</v>
      </c>
      <c r="AL1324" s="2">
        <v>45</v>
      </c>
      <c r="AM1324" s="2">
        <v>81</v>
      </c>
      <c r="AN1324" s="2">
        <v>5</v>
      </c>
      <c r="AO1324" s="2">
        <v>0</v>
      </c>
      <c r="AP1324" s="2">
        <f t="shared" si="663"/>
        <v>6840</v>
      </c>
      <c r="AQ1324" s="2">
        <f t="shared" si="664"/>
        <v>193.002257336343</v>
      </c>
      <c r="AR1324" s="5">
        <f t="shared" si="665"/>
        <v>362.844243792325</v>
      </c>
    </row>
    <row r="1325" spans="1:44">
      <c r="A1325" s="2">
        <v>20260420</v>
      </c>
      <c r="B1325" s="2" t="s">
        <v>2694</v>
      </c>
      <c r="C1325" s="2" t="s">
        <v>2695</v>
      </c>
      <c r="D1325" s="2">
        <v>1</v>
      </c>
      <c r="E1325" s="2">
        <v>1</v>
      </c>
      <c r="F1325" s="2">
        <v>1</v>
      </c>
      <c r="G1325" s="2">
        <v>8</v>
      </c>
      <c r="H1325" s="2">
        <v>8</v>
      </c>
      <c r="I1325" s="3">
        <v>8</v>
      </c>
      <c r="J1325" s="2">
        <v>8</v>
      </c>
      <c r="K1325" s="2">
        <v>1</v>
      </c>
      <c r="L1325" s="2">
        <v>1</v>
      </c>
      <c r="M1325" s="2">
        <v>6</v>
      </c>
      <c r="N1325" s="2">
        <v>3</v>
      </c>
      <c r="O1325" s="2">
        <v>0</v>
      </c>
      <c r="P1325" s="3">
        <v>2</v>
      </c>
      <c r="Q1325" s="2">
        <v>2</v>
      </c>
      <c r="R1325" s="2">
        <v>6</v>
      </c>
      <c r="S1325" s="2">
        <v>0</v>
      </c>
      <c r="T1325" s="2">
        <v>3</v>
      </c>
      <c r="U1325" s="2">
        <v>1</v>
      </c>
      <c r="V1325" s="2">
        <f t="shared" si="670"/>
        <v>6</v>
      </c>
      <c r="W1325" s="2">
        <v>2</v>
      </c>
      <c r="X1325" s="2">
        <v>7</v>
      </c>
      <c r="Y1325" s="2">
        <v>0</v>
      </c>
      <c r="Z1325" s="2">
        <f t="shared" si="671"/>
        <v>10</v>
      </c>
      <c r="AA1325" s="2">
        <f t="shared" si="672"/>
        <v>46</v>
      </c>
      <c r="AB1325" s="2">
        <v>2107</v>
      </c>
      <c r="AC1325" s="20">
        <f t="shared" si="666"/>
        <v>2.18319886093972</v>
      </c>
      <c r="AD1325" s="2" t="s">
        <v>83</v>
      </c>
      <c r="AE1325" s="2">
        <v>125</v>
      </c>
      <c r="AF1325" s="21">
        <f t="shared" si="667"/>
        <v>3.28353108685335</v>
      </c>
      <c r="AG1325" s="4">
        <f t="shared" si="668"/>
        <v>0.284765068818225</v>
      </c>
      <c r="AH1325" s="4">
        <f t="shared" si="669"/>
        <v>0.474608448030375</v>
      </c>
      <c r="AI1325" s="2">
        <v>2965</v>
      </c>
      <c r="AJ1325" s="2">
        <v>145</v>
      </c>
      <c r="AK1325" s="2">
        <v>573</v>
      </c>
      <c r="AL1325" s="2">
        <v>78</v>
      </c>
      <c r="AM1325" s="2">
        <v>53</v>
      </c>
      <c r="AN1325" s="2">
        <v>3</v>
      </c>
      <c r="AO1325" s="2">
        <v>0</v>
      </c>
      <c r="AP1325" s="2">
        <f t="shared" si="663"/>
        <v>3191</v>
      </c>
      <c r="AQ1325" s="2">
        <f t="shared" si="664"/>
        <v>99.5942571785268</v>
      </c>
      <c r="AR1325" s="5">
        <f t="shared" si="665"/>
        <v>187.23720349563</v>
      </c>
    </row>
    <row r="1326" spans="1:44">
      <c r="A1326" s="2">
        <v>20260420</v>
      </c>
      <c r="B1326" s="2" t="s">
        <v>2696</v>
      </c>
      <c r="C1326" s="2" t="s">
        <v>2697</v>
      </c>
      <c r="D1326" s="2">
        <v>0</v>
      </c>
      <c r="E1326" s="2">
        <v>2</v>
      </c>
      <c r="F1326" s="2">
        <v>0</v>
      </c>
      <c r="G1326" s="2">
        <v>3</v>
      </c>
      <c r="H1326" s="2">
        <v>1</v>
      </c>
      <c r="I1326" s="3">
        <v>11</v>
      </c>
      <c r="J1326" s="2">
        <v>7</v>
      </c>
      <c r="K1326" s="2">
        <v>2</v>
      </c>
      <c r="L1326" s="2">
        <v>0</v>
      </c>
      <c r="M1326" s="2">
        <v>1</v>
      </c>
      <c r="N1326" s="2">
        <v>14</v>
      </c>
      <c r="O1326" s="2">
        <v>0</v>
      </c>
      <c r="P1326" s="3">
        <v>2</v>
      </c>
      <c r="Q1326" s="2">
        <v>1</v>
      </c>
      <c r="R1326" s="2">
        <v>6</v>
      </c>
      <c r="S1326" s="2">
        <v>0</v>
      </c>
      <c r="T1326" s="2">
        <v>0</v>
      </c>
      <c r="U1326" s="2">
        <v>0</v>
      </c>
      <c r="V1326" s="2">
        <f t="shared" si="670"/>
        <v>1</v>
      </c>
      <c r="W1326" s="2">
        <v>1</v>
      </c>
      <c r="X1326" s="2">
        <v>4</v>
      </c>
      <c r="Y1326" s="2">
        <v>0</v>
      </c>
      <c r="Z1326" s="2">
        <f t="shared" si="671"/>
        <v>5</v>
      </c>
      <c r="AA1326" s="2">
        <f t="shared" si="672"/>
        <v>27</v>
      </c>
      <c r="AB1326" s="2">
        <v>2107</v>
      </c>
      <c r="AC1326" s="20">
        <f t="shared" si="666"/>
        <v>1.28144280968201</v>
      </c>
      <c r="AD1326" s="2" t="s">
        <v>83</v>
      </c>
      <c r="AE1326" s="2">
        <v>125</v>
      </c>
      <c r="AF1326" s="21">
        <f t="shared" si="667"/>
        <v>1.92728998576175</v>
      </c>
      <c r="AG1326" s="4">
        <f t="shared" si="668"/>
        <v>0.0474608448030375</v>
      </c>
      <c r="AH1326" s="4">
        <f t="shared" si="669"/>
        <v>0.237304224015187</v>
      </c>
      <c r="AI1326" s="2">
        <v>10024</v>
      </c>
      <c r="AJ1326" s="2">
        <v>141</v>
      </c>
      <c r="AK1326" s="2">
        <v>520</v>
      </c>
      <c r="AL1326" s="2">
        <v>24</v>
      </c>
      <c r="AM1326" s="2">
        <v>41</v>
      </c>
      <c r="AN1326" s="2">
        <v>2</v>
      </c>
      <c r="AO1326" s="2">
        <v>0</v>
      </c>
      <c r="AP1326" s="2">
        <f t="shared" ref="AP1326:AP1339" si="673">AI1326+AJ1326+AL1326+AN1326</f>
        <v>10191</v>
      </c>
      <c r="AQ1326" s="2">
        <f t="shared" si="664"/>
        <v>483.673469387755</v>
      </c>
      <c r="AR1326" s="5">
        <f t="shared" si="665"/>
        <v>909.30612244898</v>
      </c>
    </row>
    <row r="1327" spans="1:44">
      <c r="A1327" s="2">
        <v>20260420</v>
      </c>
      <c r="B1327" s="2" t="s">
        <v>2698</v>
      </c>
      <c r="C1327" s="2" t="s">
        <v>2699</v>
      </c>
      <c r="D1327" s="2">
        <v>5</v>
      </c>
      <c r="E1327" s="2">
        <v>6</v>
      </c>
      <c r="F1327" s="2">
        <v>1</v>
      </c>
      <c r="G1327" s="2">
        <v>4</v>
      </c>
      <c r="H1327" s="2">
        <v>7</v>
      </c>
      <c r="I1327" s="3">
        <v>29</v>
      </c>
      <c r="J1327" s="2">
        <v>15</v>
      </c>
      <c r="K1327" s="2">
        <v>1</v>
      </c>
      <c r="L1327" s="2">
        <v>0</v>
      </c>
      <c r="M1327" s="2">
        <v>5</v>
      </c>
      <c r="N1327" s="2">
        <v>3</v>
      </c>
      <c r="O1327" s="2">
        <v>0</v>
      </c>
      <c r="P1327" s="3">
        <v>4</v>
      </c>
      <c r="Q1327" s="2">
        <v>6</v>
      </c>
      <c r="R1327" s="2">
        <v>14</v>
      </c>
      <c r="S1327" s="2">
        <v>2</v>
      </c>
      <c r="T1327" s="2">
        <v>9</v>
      </c>
      <c r="U1327" s="2">
        <v>0</v>
      </c>
      <c r="V1327" s="2">
        <f t="shared" si="670"/>
        <v>17</v>
      </c>
      <c r="W1327" s="2">
        <v>2</v>
      </c>
      <c r="X1327" s="2">
        <v>13</v>
      </c>
      <c r="Y1327" s="2">
        <v>4</v>
      </c>
      <c r="Z1327" s="2">
        <f t="shared" si="671"/>
        <v>19</v>
      </c>
      <c r="AA1327" s="2">
        <f t="shared" si="672"/>
        <v>74</v>
      </c>
      <c r="AB1327" s="2">
        <v>4402</v>
      </c>
      <c r="AC1327" s="20">
        <f t="shared" si="666"/>
        <v>1.68105406633348</v>
      </c>
      <c r="AD1327" s="2" t="s">
        <v>83</v>
      </c>
      <c r="AE1327" s="2">
        <v>125</v>
      </c>
      <c r="AF1327" s="21">
        <f t="shared" si="667"/>
        <v>2.52830531576556</v>
      </c>
      <c r="AG1327" s="4">
        <f t="shared" si="668"/>
        <v>0.386188096319855</v>
      </c>
      <c r="AH1327" s="4">
        <f t="shared" si="669"/>
        <v>0.431621990004543</v>
      </c>
      <c r="AI1327" s="2">
        <v>20730</v>
      </c>
      <c r="AJ1327" s="2">
        <v>346</v>
      </c>
      <c r="AK1327" s="2">
        <v>1151</v>
      </c>
      <c r="AL1327" s="2">
        <v>106</v>
      </c>
      <c r="AM1327" s="2">
        <v>76</v>
      </c>
      <c r="AN1327" s="2">
        <v>8</v>
      </c>
      <c r="AO1327" s="2">
        <v>0</v>
      </c>
      <c r="AP1327" s="2">
        <f t="shared" si="673"/>
        <v>21190</v>
      </c>
      <c r="AQ1327" s="2">
        <f t="shared" si="664"/>
        <v>1005.69530137636</v>
      </c>
      <c r="AR1327" s="5">
        <f t="shared" si="665"/>
        <v>1890.70716658757</v>
      </c>
    </row>
    <row r="1328" spans="1:44">
      <c r="A1328" s="2">
        <v>20260420</v>
      </c>
      <c r="B1328" s="2" t="s">
        <v>2700</v>
      </c>
      <c r="C1328" s="2" t="s">
        <v>2701</v>
      </c>
      <c r="D1328" s="2">
        <v>1</v>
      </c>
      <c r="E1328" s="2">
        <v>21</v>
      </c>
      <c r="F1328" s="2">
        <v>5</v>
      </c>
      <c r="G1328" s="2">
        <v>4</v>
      </c>
      <c r="H1328" s="2">
        <v>15</v>
      </c>
      <c r="I1328" s="3">
        <v>66</v>
      </c>
      <c r="J1328" s="2">
        <v>19</v>
      </c>
      <c r="K1328" s="2">
        <v>3</v>
      </c>
      <c r="L1328" s="2">
        <v>2</v>
      </c>
      <c r="M1328" s="2">
        <v>2</v>
      </c>
      <c r="N1328" s="2">
        <v>17</v>
      </c>
      <c r="O1328" s="2">
        <v>30</v>
      </c>
      <c r="P1328" s="3">
        <v>12</v>
      </c>
      <c r="Q1328" s="2">
        <v>17</v>
      </c>
      <c r="R1328" s="2">
        <v>31</v>
      </c>
      <c r="S1328" s="2">
        <v>0</v>
      </c>
      <c r="T1328" s="2">
        <v>9</v>
      </c>
      <c r="U1328" s="2">
        <v>1</v>
      </c>
      <c r="V1328" s="2">
        <f t="shared" si="670"/>
        <v>27</v>
      </c>
      <c r="W1328" s="2">
        <v>5</v>
      </c>
      <c r="X1328" s="2">
        <v>18</v>
      </c>
      <c r="Y1328" s="2">
        <v>1</v>
      </c>
      <c r="Z1328" s="2">
        <f t="shared" si="671"/>
        <v>25</v>
      </c>
      <c r="AA1328" s="2">
        <f t="shared" si="672"/>
        <v>133</v>
      </c>
      <c r="AB1328" s="2">
        <v>5024</v>
      </c>
      <c r="AC1328" s="20">
        <f t="shared" si="666"/>
        <v>2.64729299363057</v>
      </c>
      <c r="AD1328" s="2" t="s">
        <v>83</v>
      </c>
      <c r="AE1328" s="2">
        <v>125</v>
      </c>
      <c r="AF1328" s="21">
        <f t="shared" si="667"/>
        <v>3.98152866242038</v>
      </c>
      <c r="AG1328" s="4">
        <f t="shared" si="668"/>
        <v>0.537420382165605</v>
      </c>
      <c r="AH1328" s="4">
        <f t="shared" si="669"/>
        <v>0.497611464968153</v>
      </c>
      <c r="AI1328" s="2">
        <v>14143</v>
      </c>
      <c r="AJ1328" s="2">
        <v>629</v>
      </c>
      <c r="AK1328" s="2">
        <v>1598</v>
      </c>
      <c r="AL1328" s="2">
        <v>557</v>
      </c>
      <c r="AM1328" s="2">
        <v>214</v>
      </c>
      <c r="AN1328" s="2">
        <v>70</v>
      </c>
      <c r="AO1328" s="2">
        <v>0</v>
      </c>
      <c r="AP1328" s="2">
        <f t="shared" si="673"/>
        <v>15399</v>
      </c>
      <c r="AQ1328" s="2">
        <f t="shared" si="664"/>
        <v>349.818264425261</v>
      </c>
      <c r="AR1328" s="5">
        <f t="shared" si="665"/>
        <v>657.658337119491</v>
      </c>
    </row>
    <row r="1329" spans="1:44">
      <c r="A1329" s="2">
        <v>20260420</v>
      </c>
      <c r="B1329" s="2" t="s">
        <v>2702</v>
      </c>
      <c r="C1329" s="2" t="s">
        <v>2703</v>
      </c>
      <c r="D1329" s="2">
        <v>0</v>
      </c>
      <c r="E1329" s="2">
        <v>7</v>
      </c>
      <c r="F1329" s="2">
        <v>7</v>
      </c>
      <c r="G1329" s="2">
        <v>3</v>
      </c>
      <c r="H1329" s="2">
        <v>6</v>
      </c>
      <c r="I1329" s="3">
        <v>18</v>
      </c>
      <c r="J1329" s="2">
        <v>7</v>
      </c>
      <c r="K1329" s="2">
        <v>2</v>
      </c>
      <c r="L1329" s="2">
        <v>0</v>
      </c>
      <c r="M1329" s="2">
        <v>5</v>
      </c>
      <c r="N1329" s="2">
        <v>21</v>
      </c>
      <c r="O1329" s="2">
        <v>1</v>
      </c>
      <c r="P1329" s="3">
        <v>2</v>
      </c>
      <c r="Q1329" s="2">
        <v>4</v>
      </c>
      <c r="R1329" s="2">
        <v>18</v>
      </c>
      <c r="S1329" s="2">
        <v>2</v>
      </c>
      <c r="T1329" s="2">
        <v>0</v>
      </c>
      <c r="U1329" s="2">
        <v>0</v>
      </c>
      <c r="V1329" s="2">
        <f t="shared" ref="V1329:V1339" si="674">U1329+T1329+S1329+Q1329</f>
        <v>6</v>
      </c>
      <c r="W1329" s="2">
        <v>1</v>
      </c>
      <c r="X1329" s="2">
        <v>5</v>
      </c>
      <c r="Y1329" s="2">
        <v>0</v>
      </c>
      <c r="Z1329" s="2">
        <f t="shared" si="671"/>
        <v>6</v>
      </c>
      <c r="AA1329" s="2">
        <f t="shared" si="672"/>
        <v>43</v>
      </c>
      <c r="AB1329" s="2">
        <v>4612</v>
      </c>
      <c r="AC1329" s="20">
        <f t="shared" si="666"/>
        <v>0.93235039028621</v>
      </c>
      <c r="AD1329" s="2" t="s">
        <v>83</v>
      </c>
      <c r="AE1329" s="2">
        <v>125</v>
      </c>
      <c r="AF1329" s="21">
        <f t="shared" si="667"/>
        <v>1.40225498699046</v>
      </c>
      <c r="AG1329" s="4">
        <f t="shared" si="668"/>
        <v>0.13009540329575</v>
      </c>
      <c r="AH1329" s="4">
        <f t="shared" si="669"/>
        <v>0.13009540329575</v>
      </c>
      <c r="AI1329" s="2">
        <v>6611</v>
      </c>
      <c r="AJ1329" s="2">
        <v>365</v>
      </c>
      <c r="AK1329" s="2">
        <v>1498</v>
      </c>
      <c r="AL1329" s="2">
        <v>148</v>
      </c>
      <c r="AM1329" s="2">
        <v>123</v>
      </c>
      <c r="AN1329" s="2">
        <v>8</v>
      </c>
      <c r="AO1329" s="2">
        <v>0</v>
      </c>
      <c r="AP1329" s="2">
        <f t="shared" si="673"/>
        <v>7132</v>
      </c>
      <c r="AQ1329" s="2">
        <f t="shared" si="664"/>
        <v>141.958598726115</v>
      </c>
      <c r="AR1329" s="5">
        <f t="shared" si="665"/>
        <v>266.882165605096</v>
      </c>
    </row>
    <row r="1330" spans="1:44">
      <c r="A1330" s="2">
        <v>20260420</v>
      </c>
      <c r="B1330" s="2" t="s">
        <v>2704</v>
      </c>
      <c r="C1330" s="2" t="s">
        <v>2705</v>
      </c>
      <c r="D1330" s="2">
        <v>0</v>
      </c>
      <c r="E1330" s="2">
        <v>3</v>
      </c>
      <c r="F1330" s="2">
        <v>2</v>
      </c>
      <c r="G1330" s="2">
        <v>3</v>
      </c>
      <c r="H1330" s="2">
        <v>6</v>
      </c>
      <c r="I1330" s="3">
        <v>20</v>
      </c>
      <c r="J1330" s="2">
        <v>13</v>
      </c>
      <c r="K1330" s="2">
        <v>0</v>
      </c>
      <c r="L1330" s="2">
        <v>0</v>
      </c>
      <c r="M1330" s="2">
        <v>4</v>
      </c>
      <c r="N1330" s="2">
        <v>4</v>
      </c>
      <c r="O1330" s="2">
        <v>2</v>
      </c>
      <c r="P1330" s="3">
        <v>3</v>
      </c>
      <c r="Q1330" s="2">
        <v>7</v>
      </c>
      <c r="R1330" s="2">
        <v>21</v>
      </c>
      <c r="S1330" s="2">
        <v>0</v>
      </c>
      <c r="T1330" s="2">
        <v>9</v>
      </c>
      <c r="U1330" s="2">
        <v>0</v>
      </c>
      <c r="V1330" s="2">
        <f t="shared" si="674"/>
        <v>16</v>
      </c>
      <c r="W1330" s="2">
        <v>1</v>
      </c>
      <c r="X1330" s="2">
        <v>14</v>
      </c>
      <c r="Y1330" s="2">
        <v>0</v>
      </c>
      <c r="Z1330" s="2">
        <f t="shared" ref="Z1330:Z1340" si="675">Y1330+X1330+W1330+U1330</f>
        <v>15</v>
      </c>
      <c r="AA1330" s="2">
        <f t="shared" ref="AA1330:AA1337" si="676">G1330+H1330+I1330+J1330+K1330+L1330+M1330+P1330+T1330+U1330</f>
        <v>58</v>
      </c>
      <c r="AB1330" s="2">
        <v>4300</v>
      </c>
      <c r="AC1330" s="20">
        <f t="shared" si="666"/>
        <v>1.34883720930233</v>
      </c>
      <c r="AD1330" s="2" t="s">
        <v>83</v>
      </c>
      <c r="AE1330" s="2">
        <v>125</v>
      </c>
      <c r="AF1330" s="21">
        <f t="shared" si="667"/>
        <v>2.0286511627907</v>
      </c>
      <c r="AG1330" s="4">
        <f t="shared" si="668"/>
        <v>0.372093023255814</v>
      </c>
      <c r="AH1330" s="4">
        <f t="shared" si="669"/>
        <v>0.348837209302326</v>
      </c>
      <c r="AI1330" s="2">
        <v>9790</v>
      </c>
      <c r="AJ1330" s="2">
        <v>421</v>
      </c>
      <c r="AK1330" s="2">
        <v>1381</v>
      </c>
      <c r="AL1330" s="2">
        <v>109</v>
      </c>
      <c r="AM1330" s="2">
        <v>44</v>
      </c>
      <c r="AN1330" s="2">
        <v>6</v>
      </c>
      <c r="AO1330" s="2">
        <v>0</v>
      </c>
      <c r="AP1330" s="2">
        <f t="shared" si="673"/>
        <v>10326</v>
      </c>
      <c r="AQ1330" s="2">
        <f t="shared" si="664"/>
        <v>223.894189071986</v>
      </c>
      <c r="AR1330" s="5">
        <f t="shared" si="665"/>
        <v>420.921075455334</v>
      </c>
    </row>
    <row r="1331" spans="1:44">
      <c r="A1331" s="2">
        <v>20260420</v>
      </c>
      <c r="B1331" s="2" t="s">
        <v>2706</v>
      </c>
      <c r="C1331" s="2" t="s">
        <v>2707</v>
      </c>
      <c r="D1331" s="2">
        <v>0</v>
      </c>
      <c r="E1331" s="2">
        <v>14</v>
      </c>
      <c r="F1331" s="2">
        <v>1</v>
      </c>
      <c r="G1331" s="2">
        <v>2</v>
      </c>
      <c r="H1331" s="2">
        <v>5</v>
      </c>
      <c r="I1331" s="3">
        <v>14</v>
      </c>
      <c r="J1331" s="2">
        <v>10</v>
      </c>
      <c r="K1331" s="2">
        <v>0</v>
      </c>
      <c r="L1331" s="2">
        <v>0</v>
      </c>
      <c r="M1331" s="2">
        <v>0</v>
      </c>
      <c r="N1331" s="2">
        <v>3</v>
      </c>
      <c r="O1331" s="2">
        <v>1</v>
      </c>
      <c r="P1331" s="3">
        <v>0</v>
      </c>
      <c r="Q1331" s="2">
        <v>0</v>
      </c>
      <c r="R1331" s="2">
        <v>139</v>
      </c>
      <c r="S1331" s="2">
        <v>0</v>
      </c>
      <c r="T1331" s="2">
        <v>3</v>
      </c>
      <c r="U1331" s="2">
        <v>0</v>
      </c>
      <c r="V1331" s="2">
        <f t="shared" si="674"/>
        <v>3</v>
      </c>
      <c r="W1331" s="2">
        <v>3</v>
      </c>
      <c r="X1331" s="2">
        <v>7</v>
      </c>
      <c r="Y1331" s="2">
        <v>0</v>
      </c>
      <c r="Z1331" s="2">
        <f t="shared" si="675"/>
        <v>10</v>
      </c>
      <c r="AA1331" s="2">
        <f t="shared" si="676"/>
        <v>34</v>
      </c>
      <c r="AB1331" s="2">
        <v>4364</v>
      </c>
      <c r="AC1331" s="20">
        <f t="shared" si="666"/>
        <v>0.77910174152154</v>
      </c>
      <c r="AD1331" s="2" t="s">
        <v>83</v>
      </c>
      <c r="AE1331" s="2">
        <v>125</v>
      </c>
      <c r="AF1331" s="21">
        <f t="shared" si="667"/>
        <v>1.1717690192484</v>
      </c>
      <c r="AG1331" s="4">
        <f t="shared" si="668"/>
        <v>0.0687442713107241</v>
      </c>
      <c r="AH1331" s="4">
        <f t="shared" si="669"/>
        <v>0.229147571035747</v>
      </c>
      <c r="AI1331" s="2">
        <v>4722</v>
      </c>
      <c r="AJ1331" s="2">
        <v>254</v>
      </c>
      <c r="AK1331" s="2">
        <v>1397</v>
      </c>
      <c r="AL1331" s="2">
        <v>60</v>
      </c>
      <c r="AM1331" s="2">
        <v>49</v>
      </c>
      <c r="AN1331" s="2">
        <v>0</v>
      </c>
      <c r="AO1331" s="2">
        <v>0</v>
      </c>
      <c r="AP1331" s="2">
        <f t="shared" si="673"/>
        <v>5036</v>
      </c>
      <c r="AQ1331" s="2">
        <f t="shared" ref="AQ1331:AQ1350" si="677">AP1331/AB1330*100</f>
        <v>117.116279069767</v>
      </c>
      <c r="AR1331" s="5">
        <f t="shared" ref="AR1331:AR1350" si="678">AQ1331*1.88</f>
        <v>220.178604651163</v>
      </c>
    </row>
    <row r="1332" spans="1:44">
      <c r="A1332" s="2">
        <v>20260420</v>
      </c>
      <c r="B1332" s="2" t="s">
        <v>2708</v>
      </c>
      <c r="C1332" s="2" t="s">
        <v>2709</v>
      </c>
      <c r="D1332" s="2">
        <v>7</v>
      </c>
      <c r="E1332" s="2">
        <v>0</v>
      </c>
      <c r="F1332" s="2">
        <v>19</v>
      </c>
      <c r="G1332" s="2">
        <v>9</v>
      </c>
      <c r="H1332" s="2">
        <v>13</v>
      </c>
      <c r="I1332" s="3">
        <v>6</v>
      </c>
      <c r="J1332" s="2">
        <v>1</v>
      </c>
      <c r="K1332" s="2">
        <v>34</v>
      </c>
      <c r="L1332" s="2">
        <v>0</v>
      </c>
      <c r="M1332" s="2">
        <v>0</v>
      </c>
      <c r="N1332" s="2">
        <v>11</v>
      </c>
      <c r="O1332" s="2">
        <v>38</v>
      </c>
      <c r="P1332" s="3">
        <v>17</v>
      </c>
      <c r="Q1332" s="2">
        <v>4</v>
      </c>
      <c r="R1332" s="2">
        <v>11</v>
      </c>
      <c r="S1332" s="2">
        <v>0</v>
      </c>
      <c r="T1332" s="2">
        <v>10</v>
      </c>
      <c r="U1332" s="2">
        <v>4</v>
      </c>
      <c r="V1332" s="2">
        <f t="shared" si="674"/>
        <v>18</v>
      </c>
      <c r="W1332" s="2">
        <v>0</v>
      </c>
      <c r="X1332" s="2">
        <v>3</v>
      </c>
      <c r="Y1332" s="2">
        <v>0</v>
      </c>
      <c r="Z1332" s="2">
        <f t="shared" si="675"/>
        <v>7</v>
      </c>
      <c r="AA1332" s="2">
        <f t="shared" si="676"/>
        <v>94</v>
      </c>
      <c r="AB1332" s="2">
        <v>2257</v>
      </c>
      <c r="AC1332" s="20">
        <f t="shared" si="666"/>
        <v>4.16482055826318</v>
      </c>
      <c r="AD1332" s="2" t="s">
        <v>83</v>
      </c>
      <c r="AE1332" s="2">
        <v>125</v>
      </c>
      <c r="AF1332" s="21">
        <f t="shared" si="667"/>
        <v>6.26389011962782</v>
      </c>
      <c r="AG1332" s="4">
        <f t="shared" si="668"/>
        <v>0.797518830305715</v>
      </c>
      <c r="AH1332" s="4">
        <f t="shared" si="669"/>
        <v>0.310146211785556</v>
      </c>
      <c r="AI1332" s="2">
        <v>2387</v>
      </c>
      <c r="AJ1332" s="2">
        <v>116</v>
      </c>
      <c r="AK1332" s="2">
        <v>819</v>
      </c>
      <c r="AL1332" s="2">
        <v>39</v>
      </c>
      <c r="AM1332" s="2">
        <v>68</v>
      </c>
      <c r="AN1332" s="2">
        <v>2</v>
      </c>
      <c r="AO1332" s="2">
        <v>0</v>
      </c>
      <c r="AP1332" s="2">
        <f t="shared" si="673"/>
        <v>2544</v>
      </c>
      <c r="AQ1332" s="2">
        <f t="shared" si="677"/>
        <v>58.295142071494</v>
      </c>
      <c r="AR1332" s="5">
        <f t="shared" si="678"/>
        <v>109.594867094409</v>
      </c>
    </row>
    <row r="1333" spans="1:44">
      <c r="A1333" s="2">
        <v>20260420</v>
      </c>
      <c r="B1333" s="2" t="s">
        <v>2710</v>
      </c>
      <c r="C1333" s="2" t="s">
        <v>2711</v>
      </c>
      <c r="D1333" s="2">
        <v>0</v>
      </c>
      <c r="E1333" s="2">
        <v>2</v>
      </c>
      <c r="F1333" s="2">
        <v>0</v>
      </c>
      <c r="G1333" s="2">
        <v>2</v>
      </c>
      <c r="H1333" s="2">
        <v>5</v>
      </c>
      <c r="I1333" s="3">
        <v>6</v>
      </c>
      <c r="J1333" s="2">
        <v>3</v>
      </c>
      <c r="K1333" s="2">
        <v>0</v>
      </c>
      <c r="L1333" s="2">
        <v>0</v>
      </c>
      <c r="M1333" s="2">
        <v>0</v>
      </c>
      <c r="N1333" s="2">
        <v>1</v>
      </c>
      <c r="O1333" s="2">
        <v>0</v>
      </c>
      <c r="P1333" s="3">
        <v>1</v>
      </c>
      <c r="Q1333" s="2">
        <v>0</v>
      </c>
      <c r="R1333" s="2">
        <v>50</v>
      </c>
      <c r="S1333" s="2">
        <v>0</v>
      </c>
      <c r="T1333" s="2">
        <v>0</v>
      </c>
      <c r="U1333" s="2">
        <v>0</v>
      </c>
      <c r="V1333" s="2">
        <f t="shared" si="674"/>
        <v>0</v>
      </c>
      <c r="W1333" s="2">
        <v>0</v>
      </c>
      <c r="X1333" s="2">
        <v>5</v>
      </c>
      <c r="Y1333" s="2">
        <v>0</v>
      </c>
      <c r="Z1333" s="2">
        <f t="shared" si="675"/>
        <v>5</v>
      </c>
      <c r="AA1333" s="2">
        <f t="shared" si="676"/>
        <v>17</v>
      </c>
      <c r="AB1333" s="2">
        <v>2097</v>
      </c>
      <c r="AC1333" s="20">
        <f t="shared" si="666"/>
        <v>0.810681926561755</v>
      </c>
      <c r="AD1333" s="2" t="s">
        <v>83</v>
      </c>
      <c r="AE1333" s="2">
        <v>125</v>
      </c>
      <c r="AF1333" s="21">
        <f t="shared" si="667"/>
        <v>1.21926561754888</v>
      </c>
      <c r="AG1333" s="4">
        <f t="shared" si="668"/>
        <v>0</v>
      </c>
      <c r="AH1333" s="4">
        <f t="shared" si="669"/>
        <v>0.238435860753457</v>
      </c>
      <c r="AI1333" s="2">
        <v>2032</v>
      </c>
      <c r="AJ1333" s="2">
        <v>96</v>
      </c>
      <c r="AK1333" s="2">
        <v>590</v>
      </c>
      <c r="AL1333" s="2">
        <v>22</v>
      </c>
      <c r="AM1333" s="2">
        <v>12</v>
      </c>
      <c r="AN1333" s="2">
        <v>2</v>
      </c>
      <c r="AO1333" s="2">
        <v>0</v>
      </c>
      <c r="AP1333" s="2">
        <f t="shared" si="673"/>
        <v>2152</v>
      </c>
      <c r="AQ1333" s="2">
        <f t="shared" si="677"/>
        <v>95.3478068232167</v>
      </c>
      <c r="AR1333" s="5">
        <f t="shared" si="678"/>
        <v>179.253876827647</v>
      </c>
    </row>
    <row r="1334" spans="1:44">
      <c r="A1334" s="2">
        <v>20260420</v>
      </c>
      <c r="B1334" s="2" t="s">
        <v>2712</v>
      </c>
      <c r="C1334" s="2" t="s">
        <v>2713</v>
      </c>
      <c r="D1334" s="2">
        <v>2</v>
      </c>
      <c r="E1334" s="2">
        <v>10</v>
      </c>
      <c r="F1334" s="2">
        <v>3</v>
      </c>
      <c r="G1334" s="2">
        <v>2</v>
      </c>
      <c r="H1334" s="2">
        <v>3</v>
      </c>
      <c r="I1334" s="3">
        <v>12</v>
      </c>
      <c r="J1334" s="2">
        <v>3</v>
      </c>
      <c r="K1334" s="2">
        <v>1</v>
      </c>
      <c r="L1334" s="2">
        <v>0</v>
      </c>
      <c r="M1334" s="2">
        <v>1</v>
      </c>
      <c r="N1334" s="2">
        <v>3</v>
      </c>
      <c r="O1334" s="2">
        <v>15</v>
      </c>
      <c r="P1334" s="3">
        <v>4</v>
      </c>
      <c r="Q1334" s="2">
        <v>2</v>
      </c>
      <c r="R1334" s="2">
        <v>34</v>
      </c>
      <c r="S1334" s="2">
        <v>0</v>
      </c>
      <c r="T1334" s="2">
        <v>3</v>
      </c>
      <c r="U1334" s="2">
        <v>0</v>
      </c>
      <c r="V1334" s="2">
        <f t="shared" si="674"/>
        <v>5</v>
      </c>
      <c r="W1334" s="2">
        <v>3</v>
      </c>
      <c r="X1334" s="2">
        <v>4</v>
      </c>
      <c r="Y1334" s="2">
        <v>0</v>
      </c>
      <c r="Z1334" s="2">
        <f t="shared" si="675"/>
        <v>7</v>
      </c>
      <c r="AA1334" s="2">
        <f t="shared" si="676"/>
        <v>29</v>
      </c>
      <c r="AB1334" s="2">
        <v>2267</v>
      </c>
      <c r="AC1334" s="20">
        <f t="shared" si="666"/>
        <v>1.27922364358183</v>
      </c>
      <c r="AD1334" s="2" t="s">
        <v>83</v>
      </c>
      <c r="AE1334" s="2">
        <v>125</v>
      </c>
      <c r="AF1334" s="21">
        <f t="shared" si="667"/>
        <v>1.92395235994707</v>
      </c>
      <c r="AG1334" s="4">
        <f t="shared" si="668"/>
        <v>0.220555800617556</v>
      </c>
      <c r="AH1334" s="4">
        <f t="shared" si="669"/>
        <v>0.308778120864579</v>
      </c>
      <c r="AI1334" s="2">
        <v>2590</v>
      </c>
      <c r="AJ1334" s="2">
        <v>108</v>
      </c>
      <c r="AK1334" s="2">
        <v>816</v>
      </c>
      <c r="AL1334" s="2">
        <v>12</v>
      </c>
      <c r="AM1334" s="2">
        <v>42</v>
      </c>
      <c r="AN1334" s="2">
        <v>2</v>
      </c>
      <c r="AO1334" s="2">
        <v>0</v>
      </c>
      <c r="AP1334" s="2">
        <f t="shared" si="673"/>
        <v>2712</v>
      </c>
      <c r="AQ1334" s="2">
        <f t="shared" si="677"/>
        <v>129.327610872675</v>
      </c>
      <c r="AR1334" s="5">
        <f t="shared" si="678"/>
        <v>243.135908440629</v>
      </c>
    </row>
    <row r="1335" spans="1:44">
      <c r="A1335" s="2">
        <v>20260420</v>
      </c>
      <c r="B1335" s="2" t="s">
        <v>2714</v>
      </c>
      <c r="C1335" s="2" t="s">
        <v>2715</v>
      </c>
      <c r="D1335" s="2">
        <v>0</v>
      </c>
      <c r="E1335" s="2">
        <v>1</v>
      </c>
      <c r="F1335" s="2">
        <v>0</v>
      </c>
      <c r="G1335" s="2">
        <v>1</v>
      </c>
      <c r="H1335" s="2">
        <v>5</v>
      </c>
      <c r="I1335" s="3">
        <v>26</v>
      </c>
      <c r="J1335" s="2">
        <v>2</v>
      </c>
      <c r="K1335" s="2">
        <v>2</v>
      </c>
      <c r="L1335" s="2">
        <v>1</v>
      </c>
      <c r="M1335" s="2">
        <v>4</v>
      </c>
      <c r="N1335" s="2">
        <v>1</v>
      </c>
      <c r="O1335" s="2">
        <v>1</v>
      </c>
      <c r="P1335" s="3">
        <v>3</v>
      </c>
      <c r="Q1335" s="2">
        <v>0</v>
      </c>
      <c r="R1335" s="2">
        <v>27</v>
      </c>
      <c r="S1335" s="2">
        <v>0</v>
      </c>
      <c r="T1335" s="2">
        <v>6</v>
      </c>
      <c r="U1335" s="2">
        <v>0</v>
      </c>
      <c r="V1335" s="2">
        <f t="shared" ref="V1335:V1368" si="679">U1335+T1335+S1335+Q1335</f>
        <v>6</v>
      </c>
      <c r="W1335" s="2">
        <v>1</v>
      </c>
      <c r="X1335" s="2">
        <v>18</v>
      </c>
      <c r="Y1335" s="2">
        <v>0</v>
      </c>
      <c r="Z1335" s="2">
        <f t="shared" ref="Z1335:Z1374" si="680">Y1335+X1335+W1335+U1335</f>
        <v>19</v>
      </c>
      <c r="AA1335" s="2">
        <f t="shared" ref="AA1335:AA1374" si="681">G1335+H1335+I1335+J1335+K1335+L1335+M1335+P1335+T1335+U1335</f>
        <v>50</v>
      </c>
      <c r="AB1335" s="2">
        <v>4164</v>
      </c>
      <c r="AC1335" s="20">
        <f t="shared" ref="AC1335:AC1374" si="682">AA1335/AB1335*100</f>
        <v>1.20076849183477</v>
      </c>
      <c r="AD1335" s="2" t="s">
        <v>83</v>
      </c>
      <c r="AE1335" s="2">
        <v>125</v>
      </c>
      <c r="AF1335" s="21">
        <f t="shared" ref="AF1335:AF1374" si="683">188/AE1335*AC1335</f>
        <v>1.8059558117195</v>
      </c>
      <c r="AG1335" s="4">
        <f t="shared" ref="AG1335:AG1374" si="684">V1335/AB1335*100</f>
        <v>0.144092219020173</v>
      </c>
      <c r="AH1335" s="4">
        <f t="shared" ref="AH1335:AH1374" si="685">Z1335/AB1335*100</f>
        <v>0.456292026897214</v>
      </c>
      <c r="AI1335" s="2">
        <v>5494</v>
      </c>
      <c r="AJ1335" s="2">
        <v>233</v>
      </c>
      <c r="AK1335" s="2">
        <v>1239</v>
      </c>
      <c r="AL1335" s="2">
        <v>49</v>
      </c>
      <c r="AM1335" s="2">
        <v>72</v>
      </c>
      <c r="AN1335" s="2">
        <v>2</v>
      </c>
      <c r="AO1335" s="2">
        <v>0</v>
      </c>
      <c r="AP1335" s="2">
        <f t="shared" si="673"/>
        <v>5778</v>
      </c>
      <c r="AQ1335" s="2">
        <f t="shared" si="677"/>
        <v>254.874283193648</v>
      </c>
      <c r="AR1335" s="5">
        <f t="shared" si="678"/>
        <v>479.163652404058</v>
      </c>
    </row>
    <row r="1336" spans="1:44">
      <c r="A1336" s="2">
        <v>20260420</v>
      </c>
      <c r="B1336" s="2" t="s">
        <v>213</v>
      </c>
      <c r="C1336" s="2" t="s">
        <v>2716</v>
      </c>
      <c r="D1336" s="2">
        <v>2</v>
      </c>
      <c r="E1336" s="2">
        <v>2</v>
      </c>
      <c r="F1336" s="2">
        <v>0</v>
      </c>
      <c r="G1336" s="2">
        <v>3</v>
      </c>
      <c r="H1336" s="2">
        <v>5</v>
      </c>
      <c r="I1336" s="3">
        <v>37</v>
      </c>
      <c r="J1336" s="2">
        <v>11</v>
      </c>
      <c r="K1336" s="2">
        <v>5</v>
      </c>
      <c r="L1336" s="2">
        <v>0</v>
      </c>
      <c r="M1336" s="2">
        <v>4</v>
      </c>
      <c r="N1336" s="2">
        <v>17</v>
      </c>
      <c r="O1336" s="2">
        <v>0</v>
      </c>
      <c r="P1336" s="3">
        <v>6</v>
      </c>
      <c r="Q1336" s="2">
        <v>8</v>
      </c>
      <c r="R1336" s="2">
        <v>13</v>
      </c>
      <c r="S1336" s="2">
        <v>2</v>
      </c>
      <c r="T1336" s="2">
        <v>4</v>
      </c>
      <c r="U1336" s="2">
        <v>0</v>
      </c>
      <c r="V1336" s="2">
        <f t="shared" si="679"/>
        <v>14</v>
      </c>
      <c r="W1336" s="2">
        <v>1</v>
      </c>
      <c r="X1336" s="2">
        <v>14</v>
      </c>
      <c r="Y1336" s="2">
        <v>0</v>
      </c>
      <c r="Z1336" s="2">
        <f t="shared" si="680"/>
        <v>15</v>
      </c>
      <c r="AA1336" s="2">
        <f t="shared" si="681"/>
        <v>75</v>
      </c>
      <c r="AB1336" s="2">
        <v>4764</v>
      </c>
      <c r="AC1336" s="20">
        <f t="shared" si="682"/>
        <v>1.57430730478589</v>
      </c>
      <c r="AD1336" s="2" t="s">
        <v>83</v>
      </c>
      <c r="AE1336" s="2">
        <v>125</v>
      </c>
      <c r="AF1336" s="21">
        <f t="shared" si="683"/>
        <v>2.36775818639798</v>
      </c>
      <c r="AG1336" s="4">
        <f t="shared" si="684"/>
        <v>0.293870696893367</v>
      </c>
      <c r="AH1336" s="4">
        <f t="shared" si="685"/>
        <v>0.314861460957179</v>
      </c>
      <c r="AI1336" s="2">
        <v>6054</v>
      </c>
      <c r="AJ1336" s="2">
        <v>415</v>
      </c>
      <c r="AK1336" s="2">
        <v>1463</v>
      </c>
      <c r="AL1336" s="2">
        <v>95</v>
      </c>
      <c r="AM1336" s="2">
        <v>105</v>
      </c>
      <c r="AN1336" s="2">
        <v>9</v>
      </c>
      <c r="AO1336" s="2">
        <v>0</v>
      </c>
      <c r="AP1336" s="2">
        <f t="shared" si="673"/>
        <v>6573</v>
      </c>
      <c r="AQ1336" s="2">
        <f t="shared" si="677"/>
        <v>157.853025936599</v>
      </c>
      <c r="AR1336" s="5">
        <f t="shared" si="678"/>
        <v>296.763688760807</v>
      </c>
    </row>
    <row r="1337" spans="1:44">
      <c r="A1337" s="2">
        <v>20260420</v>
      </c>
      <c r="B1337" s="2" t="s">
        <v>2717</v>
      </c>
      <c r="C1337" s="2" t="s">
        <v>2718</v>
      </c>
      <c r="D1337" s="2">
        <v>2</v>
      </c>
      <c r="E1337" s="2">
        <v>4</v>
      </c>
      <c r="F1337" s="2">
        <v>3</v>
      </c>
      <c r="G1337" s="2">
        <v>6</v>
      </c>
      <c r="H1337" s="2">
        <v>14</v>
      </c>
      <c r="I1337" s="3">
        <v>16</v>
      </c>
      <c r="J1337" s="2">
        <v>9</v>
      </c>
      <c r="K1337" s="2">
        <v>0</v>
      </c>
      <c r="L1337" s="2">
        <v>0</v>
      </c>
      <c r="M1337" s="2">
        <v>3</v>
      </c>
      <c r="N1337" s="2">
        <v>1</v>
      </c>
      <c r="O1337" s="2">
        <v>1</v>
      </c>
      <c r="P1337" s="3">
        <v>3</v>
      </c>
      <c r="Q1337" s="2">
        <v>7</v>
      </c>
      <c r="R1337" s="2">
        <v>8</v>
      </c>
      <c r="S1337" s="2">
        <v>1</v>
      </c>
      <c r="T1337" s="2">
        <v>3</v>
      </c>
      <c r="U1337" s="2">
        <v>1</v>
      </c>
      <c r="V1337" s="2">
        <f t="shared" si="679"/>
        <v>12</v>
      </c>
      <c r="W1337" s="2">
        <v>4</v>
      </c>
      <c r="X1337" s="2">
        <v>12</v>
      </c>
      <c r="Y1337" s="2">
        <v>1</v>
      </c>
      <c r="Z1337" s="2">
        <f t="shared" si="680"/>
        <v>18</v>
      </c>
      <c r="AA1337" s="2">
        <f t="shared" si="681"/>
        <v>55</v>
      </c>
      <c r="AB1337" s="2">
        <v>2107</v>
      </c>
      <c r="AC1337" s="20">
        <f t="shared" si="682"/>
        <v>2.61034646416706</v>
      </c>
      <c r="AD1337" s="2" t="s">
        <v>83</v>
      </c>
      <c r="AE1337" s="2">
        <v>125</v>
      </c>
      <c r="AF1337" s="21">
        <f t="shared" si="683"/>
        <v>3.92596108210726</v>
      </c>
      <c r="AG1337" s="4">
        <f t="shared" si="684"/>
        <v>0.56953013763645</v>
      </c>
      <c r="AH1337" s="4">
        <f t="shared" si="685"/>
        <v>0.854295206454675</v>
      </c>
      <c r="AI1337" s="2">
        <v>2341</v>
      </c>
      <c r="AJ1337" s="2">
        <v>153</v>
      </c>
      <c r="AK1337" s="2">
        <v>595</v>
      </c>
      <c r="AL1337" s="2">
        <v>100</v>
      </c>
      <c r="AM1337" s="2">
        <v>28</v>
      </c>
      <c r="AN1337" s="2">
        <v>8</v>
      </c>
      <c r="AO1337" s="2">
        <v>0</v>
      </c>
      <c r="AP1337" s="2">
        <f t="shared" si="673"/>
        <v>2602</v>
      </c>
      <c r="AQ1337" s="2">
        <f t="shared" si="677"/>
        <v>54.6179680940386</v>
      </c>
      <c r="AR1337" s="5">
        <f t="shared" si="678"/>
        <v>102.681780016793</v>
      </c>
    </row>
    <row r="1338" spans="1:44">
      <c r="A1338" s="2">
        <v>20260421</v>
      </c>
      <c r="B1338" s="2" t="s">
        <v>2719</v>
      </c>
      <c r="C1338" s="2" t="s">
        <v>2720</v>
      </c>
      <c r="D1338" s="2">
        <v>0</v>
      </c>
      <c r="E1338" s="2">
        <v>2</v>
      </c>
      <c r="F1338" s="2">
        <v>2</v>
      </c>
      <c r="G1338" s="2">
        <v>2</v>
      </c>
      <c r="H1338" s="2">
        <v>7</v>
      </c>
      <c r="I1338" s="3">
        <v>44</v>
      </c>
      <c r="J1338" s="2">
        <v>13</v>
      </c>
      <c r="K1338" s="2">
        <v>0</v>
      </c>
      <c r="L1338" s="2">
        <v>1</v>
      </c>
      <c r="M1338" s="2">
        <v>5</v>
      </c>
      <c r="N1338" s="2">
        <v>8</v>
      </c>
      <c r="O1338" s="2">
        <v>1</v>
      </c>
      <c r="P1338" s="3">
        <v>4</v>
      </c>
      <c r="Q1338" s="2">
        <v>4</v>
      </c>
      <c r="R1338" s="2">
        <v>50</v>
      </c>
      <c r="S1338" s="2">
        <v>0</v>
      </c>
      <c r="T1338" s="2">
        <v>2</v>
      </c>
      <c r="U1338" s="2">
        <v>0</v>
      </c>
      <c r="V1338" s="2">
        <f t="shared" si="679"/>
        <v>6</v>
      </c>
      <c r="W1338" s="2">
        <v>2</v>
      </c>
      <c r="X1338" s="2">
        <v>7</v>
      </c>
      <c r="Y1338" s="2">
        <v>0</v>
      </c>
      <c r="Z1338" s="2">
        <f t="shared" si="680"/>
        <v>9</v>
      </c>
      <c r="AA1338" s="2">
        <f t="shared" si="681"/>
        <v>78</v>
      </c>
      <c r="AB1338" s="2">
        <v>4484</v>
      </c>
      <c r="AC1338" s="20">
        <f t="shared" si="682"/>
        <v>1.73951828724353</v>
      </c>
      <c r="AD1338" s="2" t="s">
        <v>83</v>
      </c>
      <c r="AE1338" s="2">
        <v>125</v>
      </c>
      <c r="AF1338" s="21">
        <f t="shared" si="683"/>
        <v>2.61623550401427</v>
      </c>
      <c r="AG1338" s="4">
        <f t="shared" si="684"/>
        <v>0.133809099018733</v>
      </c>
      <c r="AH1338" s="4">
        <f t="shared" si="685"/>
        <v>0.2007136485281</v>
      </c>
      <c r="AI1338" s="2">
        <v>5172</v>
      </c>
      <c r="AJ1338" s="2">
        <v>394</v>
      </c>
      <c r="AK1338" s="2">
        <v>1295</v>
      </c>
      <c r="AL1338" s="2">
        <v>47</v>
      </c>
      <c r="AM1338" s="2">
        <v>39</v>
      </c>
      <c r="AN1338" s="2">
        <v>3</v>
      </c>
      <c r="AO1338" s="2">
        <v>0</v>
      </c>
      <c r="AP1338" s="2">
        <f t="shared" si="673"/>
        <v>5616</v>
      </c>
      <c r="AQ1338" s="2">
        <f t="shared" si="677"/>
        <v>266.540104413859</v>
      </c>
      <c r="AR1338" s="5">
        <f t="shared" si="678"/>
        <v>501.095396298054</v>
      </c>
    </row>
    <row r="1339" spans="1:44">
      <c r="A1339" s="2">
        <v>20260421</v>
      </c>
      <c r="B1339" s="2" t="s">
        <v>2721</v>
      </c>
      <c r="C1339" s="2" t="s">
        <v>2722</v>
      </c>
      <c r="D1339" s="2">
        <v>0</v>
      </c>
      <c r="E1339" s="2">
        <v>1</v>
      </c>
      <c r="F1339" s="2">
        <v>1</v>
      </c>
      <c r="G1339" s="2">
        <v>5</v>
      </c>
      <c r="H1339" s="2">
        <v>8</v>
      </c>
      <c r="I1339" s="3">
        <v>33</v>
      </c>
      <c r="J1339" s="2">
        <v>21</v>
      </c>
      <c r="K1339" s="2">
        <v>1</v>
      </c>
      <c r="L1339" s="2">
        <v>0</v>
      </c>
      <c r="M1339" s="2">
        <v>11</v>
      </c>
      <c r="N1339" s="2">
        <v>9</v>
      </c>
      <c r="O1339" s="2">
        <v>2</v>
      </c>
      <c r="P1339" s="3">
        <v>5</v>
      </c>
      <c r="Q1339" s="2">
        <v>1</v>
      </c>
      <c r="R1339" s="2">
        <v>21</v>
      </c>
      <c r="S1339" s="2">
        <v>0</v>
      </c>
      <c r="T1339" s="2">
        <v>7</v>
      </c>
      <c r="U1339" s="2">
        <v>0</v>
      </c>
      <c r="V1339" s="2">
        <f t="shared" si="679"/>
        <v>8</v>
      </c>
      <c r="W1339" s="2">
        <v>8</v>
      </c>
      <c r="X1339" s="2">
        <v>15</v>
      </c>
      <c r="Y1339" s="2">
        <v>0</v>
      </c>
      <c r="Z1339" s="2">
        <f t="shared" si="680"/>
        <v>23</v>
      </c>
      <c r="AA1339" s="2">
        <f t="shared" si="681"/>
        <v>91</v>
      </c>
      <c r="AB1339" s="2">
        <v>4364</v>
      </c>
      <c r="AC1339" s="20">
        <f t="shared" si="682"/>
        <v>2.0852428964253</v>
      </c>
      <c r="AD1339" s="2" t="s">
        <v>83</v>
      </c>
      <c r="AE1339" s="2">
        <v>125</v>
      </c>
      <c r="AF1339" s="21">
        <f t="shared" si="683"/>
        <v>3.13620531622365</v>
      </c>
      <c r="AG1339" s="4">
        <f t="shared" si="684"/>
        <v>0.183318056828598</v>
      </c>
      <c r="AH1339" s="4">
        <f t="shared" si="685"/>
        <v>0.527039413382218</v>
      </c>
      <c r="AI1339" s="2">
        <v>5172</v>
      </c>
      <c r="AJ1339" s="2">
        <v>394</v>
      </c>
      <c r="AK1339" s="2">
        <v>1295</v>
      </c>
      <c r="AL1339" s="2">
        <v>47</v>
      </c>
      <c r="AM1339" s="2">
        <v>39</v>
      </c>
      <c r="AN1339" s="2">
        <v>3</v>
      </c>
      <c r="AO1339" s="2">
        <v>0</v>
      </c>
      <c r="AP1339" s="2">
        <f t="shared" si="673"/>
        <v>5616</v>
      </c>
      <c r="AQ1339" s="2">
        <f t="shared" si="677"/>
        <v>125.245316681534</v>
      </c>
      <c r="AR1339" s="5">
        <f t="shared" si="678"/>
        <v>235.461195361285</v>
      </c>
    </row>
    <row r="1340" spans="1:44">
      <c r="A1340" s="2">
        <v>20260421</v>
      </c>
      <c r="B1340" s="2" t="s">
        <v>2723</v>
      </c>
      <c r="C1340" s="2" t="s">
        <v>2724</v>
      </c>
      <c r="D1340" s="2">
        <v>0</v>
      </c>
      <c r="E1340" s="2">
        <v>2</v>
      </c>
      <c r="F1340" s="2">
        <v>2</v>
      </c>
      <c r="G1340" s="2">
        <v>5</v>
      </c>
      <c r="H1340" s="2">
        <v>0</v>
      </c>
      <c r="I1340" s="3">
        <v>16</v>
      </c>
      <c r="J1340" s="2">
        <v>5</v>
      </c>
      <c r="K1340" s="2">
        <v>2</v>
      </c>
      <c r="L1340" s="2">
        <v>0</v>
      </c>
      <c r="M1340" s="2">
        <v>8</v>
      </c>
      <c r="N1340" s="2">
        <v>4</v>
      </c>
      <c r="O1340" s="2">
        <v>0</v>
      </c>
      <c r="P1340" s="3">
        <v>1</v>
      </c>
      <c r="Q1340" s="2">
        <v>0</v>
      </c>
      <c r="R1340" s="2">
        <v>1</v>
      </c>
      <c r="S1340" s="2">
        <v>32</v>
      </c>
      <c r="T1340" s="2">
        <v>2</v>
      </c>
      <c r="U1340" s="2">
        <v>5</v>
      </c>
      <c r="V1340" s="2">
        <f t="shared" si="679"/>
        <v>39</v>
      </c>
      <c r="W1340" s="2">
        <v>2</v>
      </c>
      <c r="X1340" s="2">
        <v>15</v>
      </c>
      <c r="Y1340" s="2">
        <v>0</v>
      </c>
      <c r="Z1340" s="2">
        <f t="shared" si="680"/>
        <v>22</v>
      </c>
      <c r="AA1340" s="2">
        <f t="shared" si="681"/>
        <v>44</v>
      </c>
      <c r="AB1340" s="2">
        <v>4424</v>
      </c>
      <c r="AC1340" s="20">
        <f t="shared" si="682"/>
        <v>0.994575045207957</v>
      </c>
      <c r="AD1340" s="2" t="s">
        <v>83</v>
      </c>
      <c r="AE1340" s="2">
        <v>125</v>
      </c>
      <c r="AF1340" s="21">
        <f t="shared" si="683"/>
        <v>1.49584086799277</v>
      </c>
      <c r="AG1340" s="4">
        <f t="shared" si="684"/>
        <v>0.881555153707053</v>
      </c>
      <c r="AH1340" s="4">
        <f t="shared" si="685"/>
        <v>0.497287522603978</v>
      </c>
      <c r="AI1340" s="2">
        <v>4364</v>
      </c>
      <c r="AJ1340" s="2">
        <v>231</v>
      </c>
      <c r="AK1340" s="2">
        <v>1241</v>
      </c>
      <c r="AL1340" s="2">
        <v>41</v>
      </c>
      <c r="AM1340" s="2">
        <v>54</v>
      </c>
      <c r="AN1340" s="2">
        <v>2</v>
      </c>
      <c r="AO1340" s="2">
        <v>0</v>
      </c>
      <c r="AP1340" s="2">
        <f t="shared" ref="AP1340:AP1348" si="686">AI1340+AJ1340+AL1340+AN1340</f>
        <v>4638</v>
      </c>
      <c r="AQ1340" s="2">
        <f t="shared" si="677"/>
        <v>106.278643446379</v>
      </c>
      <c r="AR1340" s="5">
        <f t="shared" si="678"/>
        <v>199.803849679193</v>
      </c>
    </row>
    <row r="1341" spans="1:44">
      <c r="A1341" s="2">
        <v>20260421</v>
      </c>
      <c r="B1341" s="2" t="s">
        <v>2725</v>
      </c>
      <c r="C1341" s="2" t="s">
        <v>2726</v>
      </c>
      <c r="D1341" s="2">
        <v>0</v>
      </c>
      <c r="E1341" s="2">
        <v>3</v>
      </c>
      <c r="F1341" s="2">
        <v>0</v>
      </c>
      <c r="G1341" s="2">
        <v>0</v>
      </c>
      <c r="H1341" s="2">
        <v>10</v>
      </c>
      <c r="I1341" s="3">
        <v>37</v>
      </c>
      <c r="J1341" s="2">
        <v>26</v>
      </c>
      <c r="K1341" s="2">
        <v>0</v>
      </c>
      <c r="L1341" s="2">
        <v>0</v>
      </c>
      <c r="M1341" s="2">
        <v>13</v>
      </c>
      <c r="N1341" s="2">
        <v>6</v>
      </c>
      <c r="O1341" s="2">
        <v>0</v>
      </c>
      <c r="P1341" s="3">
        <v>5</v>
      </c>
      <c r="Q1341" s="2">
        <v>13</v>
      </c>
      <c r="R1341" s="2">
        <v>0</v>
      </c>
      <c r="S1341" s="2">
        <v>4</v>
      </c>
      <c r="T1341" s="2">
        <v>0</v>
      </c>
      <c r="U1341" s="2">
        <v>0</v>
      </c>
      <c r="V1341" s="2">
        <f t="shared" si="679"/>
        <v>17</v>
      </c>
      <c r="W1341" s="2">
        <v>2</v>
      </c>
      <c r="X1341" s="2">
        <v>21</v>
      </c>
      <c r="Y1341" s="2">
        <v>0</v>
      </c>
      <c r="Z1341" s="2">
        <f t="shared" si="680"/>
        <v>23</v>
      </c>
      <c r="AA1341" s="2">
        <f t="shared" si="681"/>
        <v>91</v>
      </c>
      <c r="AB1341" s="2">
        <v>4164</v>
      </c>
      <c r="AC1341" s="20">
        <f t="shared" si="682"/>
        <v>2.18539865513929</v>
      </c>
      <c r="AD1341" s="2" t="s">
        <v>83</v>
      </c>
      <c r="AE1341" s="2">
        <v>125</v>
      </c>
      <c r="AF1341" s="21">
        <f t="shared" si="683"/>
        <v>3.28683957732949</v>
      </c>
      <c r="AG1341" s="4">
        <f t="shared" si="684"/>
        <v>0.408261287223823</v>
      </c>
      <c r="AH1341" s="4">
        <f t="shared" si="685"/>
        <v>0.552353506243996</v>
      </c>
      <c r="AI1341" s="2">
        <v>4058</v>
      </c>
      <c r="AJ1341" s="2">
        <v>477</v>
      </c>
      <c r="AK1341" s="2">
        <v>1201</v>
      </c>
      <c r="AL1341" s="2">
        <v>51</v>
      </c>
      <c r="AM1341" s="2">
        <v>62</v>
      </c>
      <c r="AN1341" s="2">
        <v>10</v>
      </c>
      <c r="AO1341" s="2">
        <v>0</v>
      </c>
      <c r="AP1341" s="2">
        <f t="shared" si="686"/>
        <v>4596</v>
      </c>
      <c r="AQ1341" s="2">
        <f t="shared" si="677"/>
        <v>103.887884267631</v>
      </c>
      <c r="AR1341" s="5">
        <f t="shared" si="678"/>
        <v>195.309222423146</v>
      </c>
    </row>
    <row r="1342" spans="1:44">
      <c r="A1342" s="2">
        <v>20260421</v>
      </c>
      <c r="B1342" s="2" t="s">
        <v>2727</v>
      </c>
      <c r="C1342" s="2" t="s">
        <v>2728</v>
      </c>
      <c r="D1342" s="2">
        <v>4</v>
      </c>
      <c r="E1342" s="2">
        <v>2</v>
      </c>
      <c r="F1342" s="2">
        <v>1</v>
      </c>
      <c r="G1342" s="2">
        <v>5</v>
      </c>
      <c r="H1342" s="2">
        <v>33</v>
      </c>
      <c r="I1342" s="3">
        <v>45</v>
      </c>
      <c r="J1342" s="2">
        <v>38</v>
      </c>
      <c r="K1342" s="2">
        <v>0</v>
      </c>
      <c r="L1342" s="2">
        <v>3</v>
      </c>
      <c r="M1342" s="2">
        <v>23</v>
      </c>
      <c r="N1342" s="2">
        <v>4</v>
      </c>
      <c r="O1342" s="2">
        <v>2</v>
      </c>
      <c r="P1342" s="3">
        <v>14</v>
      </c>
      <c r="Q1342" s="2">
        <v>2</v>
      </c>
      <c r="R1342" s="2">
        <v>22</v>
      </c>
      <c r="S1342" s="2">
        <v>0</v>
      </c>
      <c r="T1342" s="2">
        <v>11</v>
      </c>
      <c r="U1342" s="2">
        <v>1</v>
      </c>
      <c r="V1342" s="2">
        <f t="shared" si="679"/>
        <v>14</v>
      </c>
      <c r="W1342" s="2">
        <v>2</v>
      </c>
      <c r="X1342" s="2">
        <v>20</v>
      </c>
      <c r="Y1342" s="2">
        <v>0</v>
      </c>
      <c r="Z1342" s="2">
        <f t="shared" si="680"/>
        <v>23</v>
      </c>
      <c r="AA1342" s="2">
        <f t="shared" si="681"/>
        <v>173</v>
      </c>
      <c r="AB1342" s="2">
        <v>4344</v>
      </c>
      <c r="AC1342" s="20">
        <f t="shared" si="682"/>
        <v>3.98250460405157</v>
      </c>
      <c r="AD1342" s="2" t="s">
        <v>83</v>
      </c>
      <c r="AE1342" s="2">
        <v>125</v>
      </c>
      <c r="AF1342" s="21">
        <f t="shared" si="683"/>
        <v>5.98968692449355</v>
      </c>
      <c r="AG1342" s="4">
        <f t="shared" si="684"/>
        <v>0.322283609576427</v>
      </c>
      <c r="AH1342" s="4">
        <f t="shared" si="685"/>
        <v>0.529465930018416</v>
      </c>
      <c r="AI1342" s="2">
        <v>3792</v>
      </c>
      <c r="AJ1342" s="2">
        <v>675</v>
      </c>
      <c r="AK1342" s="2">
        <v>1126</v>
      </c>
      <c r="AL1342" s="2">
        <v>62</v>
      </c>
      <c r="AM1342" s="2">
        <v>49</v>
      </c>
      <c r="AN1342" s="2">
        <v>20</v>
      </c>
      <c r="AO1342" s="2">
        <v>0</v>
      </c>
      <c r="AP1342" s="2">
        <f t="shared" si="686"/>
        <v>4549</v>
      </c>
      <c r="AQ1342" s="2">
        <f t="shared" si="677"/>
        <v>109.245917387128</v>
      </c>
      <c r="AR1342" s="5">
        <f t="shared" si="678"/>
        <v>205.3823246878</v>
      </c>
    </row>
    <row r="1343" spans="1:44">
      <c r="A1343" s="2">
        <v>20260421</v>
      </c>
      <c r="B1343" s="2" t="s">
        <v>2729</v>
      </c>
      <c r="C1343" s="2" t="s">
        <v>2730</v>
      </c>
      <c r="D1343" s="2">
        <v>11</v>
      </c>
      <c r="E1343" s="2">
        <v>13</v>
      </c>
      <c r="F1343" s="2">
        <v>13</v>
      </c>
      <c r="G1343" s="2">
        <v>4</v>
      </c>
      <c r="H1343" s="2">
        <v>11</v>
      </c>
      <c r="I1343" s="3">
        <v>12</v>
      </c>
      <c r="J1343" s="2">
        <v>7</v>
      </c>
      <c r="K1343" s="2">
        <v>21</v>
      </c>
      <c r="L1343" s="2">
        <v>1</v>
      </c>
      <c r="M1343" s="2">
        <v>0</v>
      </c>
      <c r="N1343" s="2">
        <v>11</v>
      </c>
      <c r="O1343" s="2">
        <v>21</v>
      </c>
      <c r="P1343" s="3">
        <v>2</v>
      </c>
      <c r="Q1343" s="2">
        <v>17</v>
      </c>
      <c r="R1343" s="2">
        <v>11</v>
      </c>
      <c r="S1343" s="2">
        <v>55</v>
      </c>
      <c r="T1343" s="2">
        <v>3</v>
      </c>
      <c r="U1343" s="2">
        <v>3</v>
      </c>
      <c r="V1343" s="2">
        <f t="shared" si="679"/>
        <v>78</v>
      </c>
      <c r="W1343" s="2">
        <v>5</v>
      </c>
      <c r="X1343" s="2">
        <v>25</v>
      </c>
      <c r="Y1343" s="2">
        <v>0</v>
      </c>
      <c r="Z1343" s="2">
        <f t="shared" si="680"/>
        <v>33</v>
      </c>
      <c r="AA1343" s="2">
        <f t="shared" si="681"/>
        <v>64</v>
      </c>
      <c r="AB1343" s="2">
        <v>4884</v>
      </c>
      <c r="AC1343" s="20">
        <f t="shared" si="682"/>
        <v>1.31040131040131</v>
      </c>
      <c r="AD1343" s="2" t="s">
        <v>83</v>
      </c>
      <c r="AE1343" s="2">
        <v>125</v>
      </c>
      <c r="AF1343" s="21">
        <f t="shared" si="683"/>
        <v>1.97084357084357</v>
      </c>
      <c r="AG1343" s="4">
        <f t="shared" si="684"/>
        <v>1.5970515970516</v>
      </c>
      <c r="AH1343" s="4">
        <f t="shared" si="685"/>
        <v>0.675675675675676</v>
      </c>
      <c r="AI1343" s="2">
        <v>5569</v>
      </c>
      <c r="AJ1343" s="2">
        <v>626</v>
      </c>
      <c r="AK1343" s="2">
        <v>1428</v>
      </c>
      <c r="AL1343" s="2">
        <v>105</v>
      </c>
      <c r="AM1343" s="2">
        <v>116</v>
      </c>
      <c r="AN1343" s="2">
        <v>15</v>
      </c>
      <c r="AO1343" s="2">
        <v>0</v>
      </c>
      <c r="AP1343" s="2">
        <f t="shared" si="686"/>
        <v>6315</v>
      </c>
      <c r="AQ1343" s="2">
        <f t="shared" si="677"/>
        <v>145.372928176796</v>
      </c>
      <c r="AR1343" s="5">
        <f t="shared" si="678"/>
        <v>273.301104972376</v>
      </c>
    </row>
    <row r="1344" spans="1:44">
      <c r="A1344" s="2">
        <v>20260421</v>
      </c>
      <c r="B1344" s="2" t="s">
        <v>2731</v>
      </c>
      <c r="C1344" s="2" t="s">
        <v>2732</v>
      </c>
      <c r="D1344" s="2">
        <v>20</v>
      </c>
      <c r="E1344" s="2">
        <v>12</v>
      </c>
      <c r="F1344" s="2">
        <v>2</v>
      </c>
      <c r="G1344" s="2">
        <v>66</v>
      </c>
      <c r="H1344" s="2">
        <v>198</v>
      </c>
      <c r="I1344" s="3">
        <v>130</v>
      </c>
      <c r="J1344" s="2">
        <v>175</v>
      </c>
      <c r="K1344" s="2">
        <v>6</v>
      </c>
      <c r="L1344" s="2">
        <v>11</v>
      </c>
      <c r="M1344" s="2">
        <v>105</v>
      </c>
      <c r="N1344" s="2">
        <v>37</v>
      </c>
      <c r="O1344" s="2">
        <v>2</v>
      </c>
      <c r="P1344" s="3">
        <v>70</v>
      </c>
      <c r="Q1344" s="2">
        <v>8</v>
      </c>
      <c r="R1344" s="2">
        <v>33</v>
      </c>
      <c r="S1344" s="2">
        <v>3</v>
      </c>
      <c r="T1344" s="2">
        <v>80</v>
      </c>
      <c r="U1344" s="2">
        <v>10</v>
      </c>
      <c r="V1344" s="2">
        <f t="shared" si="679"/>
        <v>101</v>
      </c>
      <c r="W1344" s="2">
        <v>3</v>
      </c>
      <c r="X1344" s="2">
        <v>0</v>
      </c>
      <c r="Y1344" s="2">
        <v>1</v>
      </c>
      <c r="Z1344" s="2">
        <f t="shared" si="680"/>
        <v>14</v>
      </c>
      <c r="AA1344" s="2">
        <f t="shared" si="681"/>
        <v>851</v>
      </c>
      <c r="AB1344" s="2">
        <v>4554</v>
      </c>
      <c r="AC1344" s="20">
        <f t="shared" si="682"/>
        <v>18.6868686868687</v>
      </c>
      <c r="AD1344" s="2" t="s">
        <v>83</v>
      </c>
      <c r="AE1344" s="2">
        <v>125</v>
      </c>
      <c r="AF1344" s="21">
        <f t="shared" si="683"/>
        <v>28.1050505050505</v>
      </c>
      <c r="AG1344" s="4">
        <f t="shared" si="684"/>
        <v>2.21783047870004</v>
      </c>
      <c r="AH1344" s="4">
        <f t="shared" si="685"/>
        <v>0.307422046552481</v>
      </c>
      <c r="AI1344" s="2">
        <v>5415</v>
      </c>
      <c r="AJ1344" s="2">
        <v>2744</v>
      </c>
      <c r="AK1344" s="2">
        <v>1352</v>
      </c>
      <c r="AL1344" s="2">
        <v>572</v>
      </c>
      <c r="AM1344" s="2">
        <v>345</v>
      </c>
      <c r="AN1344" s="2">
        <v>155</v>
      </c>
      <c r="AO1344" s="2">
        <v>0</v>
      </c>
      <c r="AP1344" s="2">
        <f t="shared" si="686"/>
        <v>8886</v>
      </c>
      <c r="AQ1344" s="2">
        <f t="shared" si="677"/>
        <v>181.941031941032</v>
      </c>
      <c r="AR1344" s="5">
        <f t="shared" si="678"/>
        <v>342.04914004914</v>
      </c>
    </row>
    <row r="1345" spans="1:44">
      <c r="A1345" s="2">
        <v>20260421</v>
      </c>
      <c r="B1345" s="2" t="s">
        <v>2733</v>
      </c>
      <c r="C1345" s="2" t="s">
        <v>2734</v>
      </c>
      <c r="D1345" s="2">
        <v>0</v>
      </c>
      <c r="E1345" s="2">
        <v>0</v>
      </c>
      <c r="F1345" s="2">
        <v>6</v>
      </c>
      <c r="G1345" s="2">
        <v>25</v>
      </c>
      <c r="H1345" s="2">
        <v>6</v>
      </c>
      <c r="I1345" s="3">
        <v>28</v>
      </c>
      <c r="J1345" s="2">
        <v>44</v>
      </c>
      <c r="K1345" s="2">
        <v>5</v>
      </c>
      <c r="L1345" s="2">
        <v>12</v>
      </c>
      <c r="M1345" s="2">
        <v>8</v>
      </c>
      <c r="N1345" s="2">
        <v>16</v>
      </c>
      <c r="O1345" s="2">
        <v>0</v>
      </c>
      <c r="P1345" s="3">
        <v>6</v>
      </c>
      <c r="Q1345" s="2">
        <v>1</v>
      </c>
      <c r="R1345" s="2">
        <v>25</v>
      </c>
      <c r="S1345" s="2">
        <v>5</v>
      </c>
      <c r="T1345" s="2">
        <v>6</v>
      </c>
      <c r="U1345" s="2">
        <v>4</v>
      </c>
      <c r="V1345" s="2">
        <f t="shared" si="679"/>
        <v>16</v>
      </c>
      <c r="W1345" s="2">
        <v>0</v>
      </c>
      <c r="X1345" s="2">
        <v>1</v>
      </c>
      <c r="Y1345" s="2">
        <v>0</v>
      </c>
      <c r="Z1345" s="2">
        <f t="shared" si="680"/>
        <v>5</v>
      </c>
      <c r="AA1345" s="2">
        <f t="shared" si="681"/>
        <v>144</v>
      </c>
      <c r="AB1345" s="2">
        <v>3519</v>
      </c>
      <c r="AC1345" s="20">
        <f t="shared" si="682"/>
        <v>4.0920716112532</v>
      </c>
      <c r="AD1345" s="2" t="s">
        <v>83</v>
      </c>
      <c r="AE1345" s="2">
        <v>100</v>
      </c>
      <c r="AF1345" s="21">
        <f t="shared" si="683"/>
        <v>7.69309462915601</v>
      </c>
      <c r="AG1345" s="4">
        <f t="shared" si="684"/>
        <v>0.454674623472577</v>
      </c>
      <c r="AH1345" s="4">
        <f t="shared" si="685"/>
        <v>0.14208581983518</v>
      </c>
      <c r="AI1345" s="2">
        <v>5966</v>
      </c>
      <c r="AJ1345" s="2">
        <v>263</v>
      </c>
      <c r="AK1345" s="2">
        <v>1196</v>
      </c>
      <c r="AL1345" s="2">
        <v>120</v>
      </c>
      <c r="AM1345" s="2">
        <v>87</v>
      </c>
      <c r="AN1345" s="2">
        <v>2</v>
      </c>
      <c r="AO1345" s="2">
        <v>0</v>
      </c>
      <c r="AP1345" s="2">
        <f t="shared" si="686"/>
        <v>6351</v>
      </c>
      <c r="AQ1345" s="2">
        <f t="shared" si="677"/>
        <v>139.459815546772</v>
      </c>
      <c r="AR1345" s="5">
        <f t="shared" si="678"/>
        <v>262.184453227931</v>
      </c>
    </row>
    <row r="1346" spans="1:44">
      <c r="A1346" s="2">
        <v>20260421</v>
      </c>
      <c r="B1346" s="2" t="s">
        <v>2735</v>
      </c>
      <c r="C1346" s="2" t="s">
        <v>2736</v>
      </c>
      <c r="D1346" s="2">
        <v>21</v>
      </c>
      <c r="E1346" s="2">
        <v>4</v>
      </c>
      <c r="F1346" s="2">
        <v>2</v>
      </c>
      <c r="G1346" s="2">
        <v>25</v>
      </c>
      <c r="H1346" s="2">
        <v>80</v>
      </c>
      <c r="I1346" s="3">
        <v>140</v>
      </c>
      <c r="J1346" s="2">
        <v>81</v>
      </c>
      <c r="K1346" s="2">
        <v>10</v>
      </c>
      <c r="L1346" s="2">
        <v>0</v>
      </c>
      <c r="M1346" s="2">
        <v>37</v>
      </c>
      <c r="N1346" s="2">
        <v>67</v>
      </c>
      <c r="O1346" s="2">
        <v>0</v>
      </c>
      <c r="P1346" s="3">
        <v>29</v>
      </c>
      <c r="Q1346" s="2">
        <v>3</v>
      </c>
      <c r="R1346" s="2">
        <v>54</v>
      </c>
      <c r="S1346" s="2">
        <v>1</v>
      </c>
      <c r="T1346" s="2">
        <v>34</v>
      </c>
      <c r="U1346" s="2">
        <v>1</v>
      </c>
      <c r="V1346" s="2">
        <f t="shared" si="679"/>
        <v>39</v>
      </c>
      <c r="W1346" s="2">
        <v>4</v>
      </c>
      <c r="X1346" s="2">
        <v>0</v>
      </c>
      <c r="Y1346" s="2">
        <v>0</v>
      </c>
      <c r="Z1346" s="2">
        <f t="shared" si="680"/>
        <v>5</v>
      </c>
      <c r="AA1346" s="2">
        <f t="shared" si="681"/>
        <v>437</v>
      </c>
      <c r="AB1346" s="2">
        <v>6166</v>
      </c>
      <c r="AC1346" s="20">
        <f t="shared" si="682"/>
        <v>7.08725267596497</v>
      </c>
      <c r="AD1346" s="2" t="s">
        <v>83</v>
      </c>
      <c r="AE1346" s="2">
        <v>100</v>
      </c>
      <c r="AF1346" s="21">
        <f t="shared" si="683"/>
        <v>13.3240350308141</v>
      </c>
      <c r="AG1346" s="4">
        <f t="shared" si="684"/>
        <v>0.632500810898476</v>
      </c>
      <c r="AH1346" s="4">
        <f t="shared" si="685"/>
        <v>0.0810898475510866</v>
      </c>
      <c r="AI1346" s="2">
        <v>10928</v>
      </c>
      <c r="AJ1346" s="2">
        <v>2573</v>
      </c>
      <c r="AK1346" s="2">
        <v>2210</v>
      </c>
      <c r="AL1346" s="2">
        <v>683</v>
      </c>
      <c r="AM1346" s="2">
        <v>194</v>
      </c>
      <c r="AN1346" s="2">
        <v>16</v>
      </c>
      <c r="AO1346" s="2">
        <v>0</v>
      </c>
      <c r="AP1346" s="2">
        <f t="shared" ref="AP1346:AP1358" si="687">AI1346+AJ1346+AL1346+AN1346</f>
        <v>14200</v>
      </c>
      <c r="AQ1346" s="2">
        <f t="shared" si="677"/>
        <v>403.523728331912</v>
      </c>
      <c r="AR1346" s="5">
        <f t="shared" si="678"/>
        <v>758.624609263995</v>
      </c>
    </row>
    <row r="1347" spans="1:44">
      <c r="A1347" s="2">
        <v>20260421</v>
      </c>
      <c r="B1347" s="2" t="s">
        <v>2737</v>
      </c>
      <c r="C1347" s="2" t="s">
        <v>2738</v>
      </c>
      <c r="D1347" s="2">
        <v>0</v>
      </c>
      <c r="E1347" s="2">
        <v>8</v>
      </c>
      <c r="F1347" s="2">
        <v>6</v>
      </c>
      <c r="G1347" s="2">
        <v>4</v>
      </c>
      <c r="H1347" s="2">
        <v>20</v>
      </c>
      <c r="I1347" s="3">
        <v>28</v>
      </c>
      <c r="J1347" s="2">
        <v>20</v>
      </c>
      <c r="K1347" s="2">
        <v>1</v>
      </c>
      <c r="L1347" s="2">
        <v>1</v>
      </c>
      <c r="M1347" s="2">
        <v>8</v>
      </c>
      <c r="N1347" s="2">
        <v>22</v>
      </c>
      <c r="O1347" s="2">
        <v>0</v>
      </c>
      <c r="P1347" s="3">
        <v>8</v>
      </c>
      <c r="Q1347" s="2">
        <v>3</v>
      </c>
      <c r="R1347" s="2">
        <v>40</v>
      </c>
      <c r="S1347" s="2">
        <v>1</v>
      </c>
      <c r="T1347" s="2">
        <v>9</v>
      </c>
      <c r="U1347" s="2">
        <v>0</v>
      </c>
      <c r="V1347" s="2">
        <f t="shared" si="679"/>
        <v>13</v>
      </c>
      <c r="W1347" s="2">
        <v>4</v>
      </c>
      <c r="X1347" s="2">
        <v>14</v>
      </c>
      <c r="Y1347" s="2">
        <v>1</v>
      </c>
      <c r="Z1347" s="2">
        <f t="shared" si="680"/>
        <v>19</v>
      </c>
      <c r="AA1347" s="2">
        <f t="shared" si="681"/>
        <v>99</v>
      </c>
      <c r="AB1347" s="2">
        <v>6166</v>
      </c>
      <c r="AC1347" s="20">
        <f t="shared" si="682"/>
        <v>1.60557898151151</v>
      </c>
      <c r="AD1347" s="2" t="s">
        <v>83</v>
      </c>
      <c r="AE1347" s="2">
        <v>100</v>
      </c>
      <c r="AF1347" s="21">
        <f t="shared" si="683"/>
        <v>3.01848848524165</v>
      </c>
      <c r="AG1347" s="4">
        <f t="shared" si="684"/>
        <v>0.210833603632825</v>
      </c>
      <c r="AH1347" s="4">
        <f t="shared" si="685"/>
        <v>0.308141420694129</v>
      </c>
      <c r="AI1347" s="2">
        <v>9773</v>
      </c>
      <c r="AJ1347" s="2">
        <v>678</v>
      </c>
      <c r="AK1347" s="2">
        <v>2250</v>
      </c>
      <c r="AL1347" s="2">
        <v>183</v>
      </c>
      <c r="AM1347" s="2">
        <v>116</v>
      </c>
      <c r="AN1347" s="2">
        <v>8</v>
      </c>
      <c r="AO1347" s="2">
        <v>0</v>
      </c>
      <c r="AP1347" s="2">
        <f t="shared" si="687"/>
        <v>10642</v>
      </c>
      <c r="AQ1347" s="2">
        <f t="shared" si="677"/>
        <v>172.591631527733</v>
      </c>
      <c r="AR1347" s="5">
        <f t="shared" si="678"/>
        <v>324.472267272138</v>
      </c>
    </row>
    <row r="1348" spans="1:44">
      <c r="A1348" s="2">
        <v>20260421</v>
      </c>
      <c r="B1348" s="2" t="s">
        <v>2739</v>
      </c>
      <c r="C1348" s="2" t="s">
        <v>2740</v>
      </c>
      <c r="D1348" s="2">
        <v>0</v>
      </c>
      <c r="E1348" s="2">
        <v>0</v>
      </c>
      <c r="F1348" s="2">
        <v>14</v>
      </c>
      <c r="G1348" s="2">
        <v>4</v>
      </c>
      <c r="H1348" s="2">
        <v>3</v>
      </c>
      <c r="I1348" s="3">
        <v>15</v>
      </c>
      <c r="J1348" s="2">
        <v>8</v>
      </c>
      <c r="K1348" s="2">
        <v>8</v>
      </c>
      <c r="L1348" s="2">
        <v>2</v>
      </c>
      <c r="M1348" s="2">
        <v>14</v>
      </c>
      <c r="N1348" s="2">
        <v>5</v>
      </c>
      <c r="O1348" s="2">
        <v>4</v>
      </c>
      <c r="P1348" s="3">
        <v>38</v>
      </c>
      <c r="Q1348" s="2">
        <v>12</v>
      </c>
      <c r="R1348" s="2">
        <v>12</v>
      </c>
      <c r="S1348" s="2">
        <v>7</v>
      </c>
      <c r="T1348" s="2">
        <v>4</v>
      </c>
      <c r="U1348" s="2">
        <v>3</v>
      </c>
      <c r="V1348" s="2">
        <f t="shared" si="679"/>
        <v>26</v>
      </c>
      <c r="W1348" s="2">
        <v>0</v>
      </c>
      <c r="X1348" s="2">
        <v>3</v>
      </c>
      <c r="Y1348" s="2">
        <v>1</v>
      </c>
      <c r="Z1348" s="2">
        <f t="shared" si="680"/>
        <v>7</v>
      </c>
      <c r="AA1348" s="2">
        <f t="shared" si="681"/>
        <v>99</v>
      </c>
      <c r="AB1348" s="2">
        <v>2375</v>
      </c>
      <c r="AC1348" s="20">
        <f t="shared" si="682"/>
        <v>4.16842105263158</v>
      </c>
      <c r="AD1348" s="2" t="s">
        <v>229</v>
      </c>
      <c r="AE1348" s="2">
        <v>188</v>
      </c>
      <c r="AF1348" s="21">
        <f t="shared" si="683"/>
        <v>4.16842105263158</v>
      </c>
      <c r="AG1348" s="4">
        <f t="shared" si="684"/>
        <v>1.09473684210526</v>
      </c>
      <c r="AH1348" s="4">
        <f t="shared" si="685"/>
        <v>0.294736842105263</v>
      </c>
      <c r="AI1348" s="2">
        <v>5409</v>
      </c>
      <c r="AJ1348" s="2">
        <v>195</v>
      </c>
      <c r="AK1348" s="2">
        <v>248</v>
      </c>
      <c r="AL1348" s="2">
        <v>81</v>
      </c>
      <c r="AM1348" s="2">
        <v>51</v>
      </c>
      <c r="AN1348" s="2">
        <v>4</v>
      </c>
      <c r="AO1348" s="2">
        <v>0</v>
      </c>
      <c r="AP1348" s="2">
        <f t="shared" si="687"/>
        <v>5689</v>
      </c>
      <c r="AQ1348" s="2">
        <f t="shared" si="677"/>
        <v>92.2640285436263</v>
      </c>
      <c r="AR1348" s="5">
        <f t="shared" si="678"/>
        <v>173.456373662018</v>
      </c>
    </row>
    <row r="1349" spans="1:44">
      <c r="A1349" s="2">
        <v>20260421</v>
      </c>
      <c r="B1349" s="2" t="s">
        <v>2741</v>
      </c>
      <c r="C1349" s="2" t="s">
        <v>2742</v>
      </c>
      <c r="D1349" s="2">
        <v>0</v>
      </c>
      <c r="E1349" s="2">
        <v>0</v>
      </c>
      <c r="F1349" s="2">
        <v>10</v>
      </c>
      <c r="G1349" s="2">
        <v>5</v>
      </c>
      <c r="H1349" s="2">
        <v>8</v>
      </c>
      <c r="I1349" s="3">
        <v>4</v>
      </c>
      <c r="J1349" s="2">
        <v>6</v>
      </c>
      <c r="K1349" s="2">
        <v>2</v>
      </c>
      <c r="L1349" s="2">
        <v>1</v>
      </c>
      <c r="M1349" s="2">
        <v>7</v>
      </c>
      <c r="N1349" s="2">
        <v>7</v>
      </c>
      <c r="O1349" s="2">
        <v>3</v>
      </c>
      <c r="P1349" s="3">
        <v>25</v>
      </c>
      <c r="Q1349" s="2">
        <v>9</v>
      </c>
      <c r="R1349" s="2">
        <v>26</v>
      </c>
      <c r="S1349" s="2">
        <v>23</v>
      </c>
      <c r="T1349" s="2">
        <v>4</v>
      </c>
      <c r="U1349" s="2">
        <v>0</v>
      </c>
      <c r="V1349" s="2">
        <f t="shared" si="679"/>
        <v>36</v>
      </c>
      <c r="W1349" s="2">
        <v>0</v>
      </c>
      <c r="X1349" s="2">
        <v>2</v>
      </c>
      <c r="Y1349" s="2">
        <v>0</v>
      </c>
      <c r="Z1349" s="2">
        <f t="shared" si="680"/>
        <v>2</v>
      </c>
      <c r="AA1349" s="2">
        <f t="shared" si="681"/>
        <v>62</v>
      </c>
      <c r="AB1349" s="2">
        <v>2186</v>
      </c>
      <c r="AC1349" s="20">
        <f t="shared" si="682"/>
        <v>2.83623055809698</v>
      </c>
      <c r="AD1349" s="2" t="s">
        <v>229</v>
      </c>
      <c r="AE1349" s="2">
        <v>188</v>
      </c>
      <c r="AF1349" s="21">
        <f t="shared" si="683"/>
        <v>2.83623055809698</v>
      </c>
      <c r="AG1349" s="4">
        <f t="shared" si="684"/>
        <v>1.64684354986276</v>
      </c>
      <c r="AH1349" s="4">
        <f t="shared" si="685"/>
        <v>0.0914913083257091</v>
      </c>
      <c r="AI1349" s="2">
        <v>4681</v>
      </c>
      <c r="AJ1349" s="2">
        <v>168</v>
      </c>
      <c r="AK1349" s="2">
        <v>128</v>
      </c>
      <c r="AL1349" s="2">
        <v>41</v>
      </c>
      <c r="AM1349" s="2">
        <v>35</v>
      </c>
      <c r="AN1349" s="2">
        <v>3</v>
      </c>
      <c r="AO1349" s="2">
        <v>0</v>
      </c>
      <c r="AP1349" s="2">
        <f t="shared" ref="AP1349:AP1355" si="688">AI1349+AJ1349+AL1349+AN1349</f>
        <v>4893</v>
      </c>
      <c r="AQ1349" s="2">
        <f t="shared" ref="AQ1349:AQ1355" si="689">AP1349/AB1348*100</f>
        <v>206.021052631579</v>
      </c>
      <c r="AR1349" s="5">
        <f t="shared" si="678"/>
        <v>387.319578947368</v>
      </c>
    </row>
    <row r="1350" spans="1:44">
      <c r="A1350" s="2">
        <v>20260421</v>
      </c>
      <c r="B1350" s="2" t="s">
        <v>2743</v>
      </c>
      <c r="C1350" s="2" t="s">
        <v>2744</v>
      </c>
      <c r="D1350" s="2">
        <v>0</v>
      </c>
      <c r="E1350" s="2">
        <v>2</v>
      </c>
      <c r="F1350" s="2">
        <v>2</v>
      </c>
      <c r="G1350" s="2">
        <v>7</v>
      </c>
      <c r="H1350" s="2">
        <v>2</v>
      </c>
      <c r="I1350" s="3">
        <v>6</v>
      </c>
      <c r="J1350" s="2">
        <v>11</v>
      </c>
      <c r="K1350" s="2">
        <v>3</v>
      </c>
      <c r="L1350" s="2">
        <v>0</v>
      </c>
      <c r="M1350" s="2">
        <v>6</v>
      </c>
      <c r="N1350" s="2">
        <v>0</v>
      </c>
      <c r="O1350" s="2">
        <v>0</v>
      </c>
      <c r="P1350" s="3">
        <v>29</v>
      </c>
      <c r="Q1350" s="2">
        <v>4</v>
      </c>
      <c r="R1350" s="2">
        <v>34</v>
      </c>
      <c r="S1350" s="2">
        <v>1</v>
      </c>
      <c r="T1350" s="2">
        <v>7</v>
      </c>
      <c r="U1350" s="2">
        <v>0</v>
      </c>
      <c r="V1350" s="2">
        <f t="shared" si="679"/>
        <v>12</v>
      </c>
      <c r="W1350" s="2">
        <v>1</v>
      </c>
      <c r="X1350" s="2">
        <v>3</v>
      </c>
      <c r="Y1350" s="2">
        <v>0</v>
      </c>
      <c r="Z1350" s="2">
        <f t="shared" si="680"/>
        <v>4</v>
      </c>
      <c r="AA1350" s="2">
        <f t="shared" si="681"/>
        <v>71</v>
      </c>
      <c r="AB1350" s="2">
        <v>2186</v>
      </c>
      <c r="AC1350" s="20">
        <f t="shared" si="682"/>
        <v>3.24794144556267</v>
      </c>
      <c r="AD1350" s="2" t="s">
        <v>229</v>
      </c>
      <c r="AE1350" s="2">
        <v>188</v>
      </c>
      <c r="AF1350" s="21">
        <f t="shared" si="683"/>
        <v>3.24794144556267</v>
      </c>
      <c r="AG1350" s="4">
        <f t="shared" si="684"/>
        <v>0.548947849954254</v>
      </c>
      <c r="AH1350" s="4">
        <f t="shared" si="685"/>
        <v>0.182982616651418</v>
      </c>
      <c r="AI1350" s="2">
        <v>3226</v>
      </c>
      <c r="AJ1350" s="2">
        <v>141</v>
      </c>
      <c r="AK1350" s="2">
        <v>156</v>
      </c>
      <c r="AL1350" s="2">
        <v>19</v>
      </c>
      <c r="AM1350" s="2">
        <v>23</v>
      </c>
      <c r="AN1350" s="2">
        <v>4</v>
      </c>
      <c r="AO1350" s="2">
        <v>0</v>
      </c>
      <c r="AP1350" s="2">
        <f t="shared" si="688"/>
        <v>3390</v>
      </c>
      <c r="AQ1350" s="2">
        <f t="shared" si="689"/>
        <v>155.077767612077</v>
      </c>
      <c r="AR1350" s="5">
        <f t="shared" si="678"/>
        <v>291.546203110704</v>
      </c>
    </row>
    <row r="1351" spans="1:44">
      <c r="A1351" s="2">
        <v>20260421</v>
      </c>
      <c r="B1351" s="2" t="s">
        <v>2745</v>
      </c>
      <c r="C1351" s="2" t="s">
        <v>2746</v>
      </c>
      <c r="D1351" s="2">
        <v>9</v>
      </c>
      <c r="E1351" s="2">
        <v>9</v>
      </c>
      <c r="F1351" s="2">
        <v>11</v>
      </c>
      <c r="G1351" s="2">
        <v>5</v>
      </c>
      <c r="H1351" s="2">
        <v>14</v>
      </c>
      <c r="I1351" s="3">
        <v>16</v>
      </c>
      <c r="J1351" s="2">
        <v>11</v>
      </c>
      <c r="K1351" s="2">
        <v>19</v>
      </c>
      <c r="L1351" s="2">
        <v>1</v>
      </c>
      <c r="M1351" s="2">
        <v>4</v>
      </c>
      <c r="N1351" s="2">
        <v>22</v>
      </c>
      <c r="O1351" s="2">
        <v>38</v>
      </c>
      <c r="P1351" s="3">
        <v>26</v>
      </c>
      <c r="Q1351" s="2">
        <v>6</v>
      </c>
      <c r="R1351" s="2">
        <v>21</v>
      </c>
      <c r="S1351" s="2">
        <v>7</v>
      </c>
      <c r="T1351" s="2">
        <v>4</v>
      </c>
      <c r="U1351" s="2">
        <v>1</v>
      </c>
      <c r="V1351" s="2">
        <f t="shared" si="679"/>
        <v>18</v>
      </c>
      <c r="W1351" s="2">
        <v>0</v>
      </c>
      <c r="X1351" s="2">
        <v>3</v>
      </c>
      <c r="Y1351" s="2">
        <v>0</v>
      </c>
      <c r="Z1351" s="2">
        <f t="shared" si="680"/>
        <v>4</v>
      </c>
      <c r="AA1351" s="2">
        <f t="shared" si="681"/>
        <v>101</v>
      </c>
      <c r="AB1351" s="2">
        <v>2496</v>
      </c>
      <c r="AC1351" s="20">
        <f t="shared" si="682"/>
        <v>4.04647435897436</v>
      </c>
      <c r="AD1351" s="2" t="s">
        <v>229</v>
      </c>
      <c r="AE1351" s="2">
        <v>188</v>
      </c>
      <c r="AF1351" s="21">
        <f t="shared" si="683"/>
        <v>4.04647435897436</v>
      </c>
      <c r="AG1351" s="4">
        <f t="shared" si="684"/>
        <v>0.721153846153846</v>
      </c>
      <c r="AH1351" s="4">
        <f t="shared" si="685"/>
        <v>0.16025641025641</v>
      </c>
      <c r="AI1351" s="2">
        <v>7219</v>
      </c>
      <c r="AJ1351" s="2">
        <v>148</v>
      </c>
      <c r="AK1351" s="2">
        <v>178</v>
      </c>
      <c r="AL1351" s="2">
        <v>309</v>
      </c>
      <c r="AM1351" s="2">
        <v>95</v>
      </c>
      <c r="AN1351" s="2">
        <v>8</v>
      </c>
      <c r="AO1351" s="2">
        <v>0</v>
      </c>
      <c r="AP1351" s="2">
        <f t="shared" si="688"/>
        <v>7684</v>
      </c>
      <c r="AQ1351" s="2">
        <f t="shared" si="689"/>
        <v>351.509606587374</v>
      </c>
      <c r="AR1351" s="5">
        <f t="shared" ref="AR1351:AR1373" si="690">AQ1351*1.88</f>
        <v>660.838060384263</v>
      </c>
    </row>
    <row r="1352" spans="1:44">
      <c r="A1352" s="2">
        <v>20260421</v>
      </c>
      <c r="B1352" s="2" t="s">
        <v>2747</v>
      </c>
      <c r="C1352" s="2" t="s">
        <v>2748</v>
      </c>
      <c r="D1352" s="2">
        <v>9</v>
      </c>
      <c r="E1352" s="2">
        <v>120</v>
      </c>
      <c r="F1352" s="2">
        <v>25</v>
      </c>
      <c r="G1352" s="2">
        <v>8</v>
      </c>
      <c r="H1352" s="2">
        <v>27</v>
      </c>
      <c r="I1352" s="3">
        <v>13</v>
      </c>
      <c r="J1352" s="2">
        <v>37</v>
      </c>
      <c r="K1352" s="2">
        <v>18</v>
      </c>
      <c r="L1352" s="2">
        <v>2</v>
      </c>
      <c r="M1352" s="2">
        <v>5</v>
      </c>
      <c r="N1352" s="2">
        <v>25</v>
      </c>
      <c r="O1352" s="2">
        <v>54</v>
      </c>
      <c r="P1352" s="3">
        <v>16</v>
      </c>
      <c r="Q1352" s="2">
        <v>11</v>
      </c>
      <c r="R1352" s="2">
        <v>34</v>
      </c>
      <c r="S1352" s="2">
        <v>2</v>
      </c>
      <c r="T1352" s="2">
        <v>40</v>
      </c>
      <c r="U1352" s="2">
        <v>3</v>
      </c>
      <c r="V1352" s="2">
        <f t="shared" ref="V1352:V1357" si="691">U1352+T1352+S1352+Q1352</f>
        <v>56</v>
      </c>
      <c r="W1352" s="2">
        <v>3</v>
      </c>
      <c r="X1352" s="2">
        <v>3</v>
      </c>
      <c r="Y1352" s="2">
        <v>0</v>
      </c>
      <c r="Z1352" s="2">
        <f t="shared" si="680"/>
        <v>9</v>
      </c>
      <c r="AA1352" s="2">
        <f t="shared" si="681"/>
        <v>169</v>
      </c>
      <c r="AB1352" s="2">
        <v>1986</v>
      </c>
      <c r="AC1352" s="20">
        <f t="shared" si="682"/>
        <v>8.50956696878147</v>
      </c>
      <c r="AD1352" s="2" t="s">
        <v>229</v>
      </c>
      <c r="AE1352" s="2">
        <v>188</v>
      </c>
      <c r="AF1352" s="21">
        <f t="shared" si="683"/>
        <v>8.50956696878147</v>
      </c>
      <c r="AG1352" s="4">
        <f t="shared" si="684"/>
        <v>2.81973816717019</v>
      </c>
      <c r="AH1352" s="4">
        <f t="shared" si="685"/>
        <v>0.453172205438067</v>
      </c>
      <c r="AI1352" s="2">
        <v>4142</v>
      </c>
      <c r="AJ1352" s="2">
        <v>174</v>
      </c>
      <c r="AK1352" s="2">
        <v>144</v>
      </c>
      <c r="AL1352" s="2">
        <v>128</v>
      </c>
      <c r="AM1352" s="2">
        <v>66</v>
      </c>
      <c r="AN1352" s="2">
        <v>6</v>
      </c>
      <c r="AO1352" s="2">
        <v>0</v>
      </c>
      <c r="AP1352" s="2">
        <f t="shared" si="688"/>
        <v>4450</v>
      </c>
      <c r="AQ1352" s="2">
        <f t="shared" ref="AQ1352:AQ1359" si="692">AP1352/AB1351*100</f>
        <v>178.285256410256</v>
      </c>
      <c r="AR1352" s="5">
        <f t="shared" si="690"/>
        <v>335.176282051282</v>
      </c>
    </row>
    <row r="1353" spans="1:44">
      <c r="A1353" s="2">
        <v>20260422</v>
      </c>
      <c r="B1353" s="2" t="s">
        <v>2749</v>
      </c>
      <c r="C1353" s="2" t="s">
        <v>2750</v>
      </c>
      <c r="D1353" s="2">
        <v>1</v>
      </c>
      <c r="E1353" s="2">
        <v>2</v>
      </c>
      <c r="F1353" s="2">
        <v>4</v>
      </c>
      <c r="G1353" s="2">
        <v>4</v>
      </c>
      <c r="H1353" s="2">
        <v>4</v>
      </c>
      <c r="I1353" s="3">
        <v>18</v>
      </c>
      <c r="J1353" s="2">
        <v>8</v>
      </c>
      <c r="K1353" s="2">
        <v>3</v>
      </c>
      <c r="L1353" s="2">
        <v>1</v>
      </c>
      <c r="M1353" s="2">
        <v>7</v>
      </c>
      <c r="N1353" s="2">
        <v>4</v>
      </c>
      <c r="O1353" s="2">
        <v>0</v>
      </c>
      <c r="P1353" s="3">
        <v>8</v>
      </c>
      <c r="Q1353" s="2">
        <v>1</v>
      </c>
      <c r="R1353" s="2">
        <v>14</v>
      </c>
      <c r="S1353" s="2">
        <v>1</v>
      </c>
      <c r="T1353" s="2">
        <v>1</v>
      </c>
      <c r="U1353" s="2">
        <v>1</v>
      </c>
      <c r="V1353" s="2">
        <f t="shared" si="691"/>
        <v>4</v>
      </c>
      <c r="W1353" s="2">
        <v>0</v>
      </c>
      <c r="X1353" s="2">
        <v>8</v>
      </c>
      <c r="Y1353" s="2">
        <v>0</v>
      </c>
      <c r="Z1353" s="2">
        <f t="shared" si="680"/>
        <v>9</v>
      </c>
      <c r="AA1353" s="2">
        <f t="shared" si="681"/>
        <v>55</v>
      </c>
      <c r="AB1353" s="2">
        <v>2405</v>
      </c>
      <c r="AC1353" s="20">
        <f t="shared" si="682"/>
        <v>2.28690228690229</v>
      </c>
      <c r="AD1353" s="2" t="s">
        <v>229</v>
      </c>
      <c r="AE1353" s="2">
        <v>188</v>
      </c>
      <c r="AF1353" s="21">
        <f t="shared" si="683"/>
        <v>2.28690228690229</v>
      </c>
      <c r="AG1353" s="4">
        <f t="shared" si="684"/>
        <v>0.166320166320166</v>
      </c>
      <c r="AH1353" s="4">
        <f t="shared" si="685"/>
        <v>0.374220374220374</v>
      </c>
      <c r="AI1353" s="2">
        <v>5478</v>
      </c>
      <c r="AJ1353" s="2">
        <v>147</v>
      </c>
      <c r="AK1353" s="2">
        <v>157</v>
      </c>
      <c r="AL1353" s="2">
        <v>58</v>
      </c>
      <c r="AM1353" s="2">
        <v>47</v>
      </c>
      <c r="AN1353" s="2">
        <v>2</v>
      </c>
      <c r="AO1353" s="2">
        <v>0</v>
      </c>
      <c r="AP1353" s="2">
        <f t="shared" si="688"/>
        <v>5685</v>
      </c>
      <c r="AQ1353" s="2">
        <f t="shared" si="692"/>
        <v>286.253776435045</v>
      </c>
      <c r="AR1353" s="5">
        <f t="shared" si="690"/>
        <v>538.157099697885</v>
      </c>
    </row>
    <row r="1354" spans="1:44">
      <c r="A1354" s="2">
        <v>20260422</v>
      </c>
      <c r="B1354" s="2" t="s">
        <v>2751</v>
      </c>
      <c r="C1354" s="2" t="s">
        <v>2752</v>
      </c>
      <c r="D1354" s="2">
        <v>0</v>
      </c>
      <c r="E1354" s="2">
        <v>1</v>
      </c>
      <c r="F1354" s="2">
        <v>0</v>
      </c>
      <c r="G1354" s="2">
        <v>1</v>
      </c>
      <c r="H1354" s="2">
        <v>6</v>
      </c>
      <c r="I1354" s="3">
        <v>19</v>
      </c>
      <c r="J1354" s="2">
        <v>1</v>
      </c>
      <c r="K1354" s="2">
        <v>2</v>
      </c>
      <c r="L1354" s="2">
        <v>1</v>
      </c>
      <c r="M1354" s="2">
        <v>2</v>
      </c>
      <c r="N1354" s="2">
        <v>0</v>
      </c>
      <c r="O1354" s="2">
        <v>0</v>
      </c>
      <c r="P1354" s="3">
        <v>14</v>
      </c>
      <c r="Q1354" s="2">
        <v>2</v>
      </c>
      <c r="R1354" s="2">
        <v>71</v>
      </c>
      <c r="S1354" s="2">
        <v>0</v>
      </c>
      <c r="T1354" s="2">
        <v>1</v>
      </c>
      <c r="U1354" s="2">
        <v>1</v>
      </c>
      <c r="V1354" s="2">
        <f t="shared" si="691"/>
        <v>4</v>
      </c>
      <c r="W1354" s="2">
        <v>1</v>
      </c>
      <c r="X1354" s="2">
        <v>13</v>
      </c>
      <c r="Y1354" s="2">
        <v>0</v>
      </c>
      <c r="Z1354" s="2">
        <f t="shared" si="680"/>
        <v>15</v>
      </c>
      <c r="AA1354" s="2">
        <f t="shared" si="681"/>
        <v>48</v>
      </c>
      <c r="AB1354" s="2">
        <v>3118</v>
      </c>
      <c r="AC1354" s="20">
        <f t="shared" si="682"/>
        <v>1.53944836433611</v>
      </c>
      <c r="AD1354" s="2" t="s">
        <v>58</v>
      </c>
      <c r="AE1354" s="2">
        <v>100</v>
      </c>
      <c r="AF1354" s="21">
        <f t="shared" si="683"/>
        <v>2.89416292495189</v>
      </c>
      <c r="AG1354" s="4">
        <f t="shared" si="684"/>
        <v>0.128287363694676</v>
      </c>
      <c r="AH1354" s="4">
        <f t="shared" si="685"/>
        <v>0.481077613855035</v>
      </c>
      <c r="AI1354" s="2">
        <v>8407</v>
      </c>
      <c r="AJ1354" s="2">
        <v>271</v>
      </c>
      <c r="AK1354" s="2">
        <v>1047</v>
      </c>
      <c r="AL1354" s="2">
        <v>152</v>
      </c>
      <c r="AM1354" s="2">
        <v>107</v>
      </c>
      <c r="AN1354" s="2">
        <v>7</v>
      </c>
      <c r="AO1354" s="2">
        <v>0</v>
      </c>
      <c r="AP1354" s="2">
        <f t="shared" si="688"/>
        <v>8837</v>
      </c>
      <c r="AQ1354" s="2">
        <f t="shared" si="692"/>
        <v>367.442827442827</v>
      </c>
      <c r="AR1354" s="5">
        <f t="shared" si="690"/>
        <v>690.792515592516</v>
      </c>
    </row>
    <row r="1355" spans="1:44">
      <c r="A1355" s="2">
        <v>20260422</v>
      </c>
      <c r="B1355" s="2" t="s">
        <v>2753</v>
      </c>
      <c r="C1355" s="2" t="s">
        <v>2754</v>
      </c>
      <c r="D1355" s="2">
        <v>0</v>
      </c>
      <c r="E1355" s="2">
        <v>5</v>
      </c>
      <c r="F1355" s="2">
        <v>0</v>
      </c>
      <c r="G1355" s="2">
        <v>2</v>
      </c>
      <c r="H1355" s="2">
        <v>2</v>
      </c>
      <c r="I1355" s="3">
        <v>15</v>
      </c>
      <c r="J1355" s="2">
        <v>5</v>
      </c>
      <c r="K1355" s="2">
        <v>2</v>
      </c>
      <c r="L1355" s="2">
        <v>1</v>
      </c>
      <c r="M1355" s="2">
        <v>2</v>
      </c>
      <c r="N1355" s="2">
        <v>1</v>
      </c>
      <c r="O1355" s="2">
        <v>0</v>
      </c>
      <c r="P1355" s="3">
        <v>15</v>
      </c>
      <c r="Q1355" s="2">
        <v>0</v>
      </c>
      <c r="R1355" s="2">
        <v>22</v>
      </c>
      <c r="S1355" s="2">
        <v>0</v>
      </c>
      <c r="T1355" s="2">
        <v>7</v>
      </c>
      <c r="U1355" s="2">
        <v>0</v>
      </c>
      <c r="V1355" s="2">
        <f t="shared" si="691"/>
        <v>7</v>
      </c>
      <c r="W1355" s="2">
        <v>0</v>
      </c>
      <c r="X1355" s="2">
        <v>18</v>
      </c>
      <c r="Y1355" s="2">
        <v>0</v>
      </c>
      <c r="Z1355" s="2">
        <f t="shared" si="680"/>
        <v>18</v>
      </c>
      <c r="AA1355" s="2">
        <f t="shared" si="681"/>
        <v>51</v>
      </c>
      <c r="AB1355" s="2">
        <v>3118</v>
      </c>
      <c r="AC1355" s="20">
        <f t="shared" si="682"/>
        <v>1.63566388710712</v>
      </c>
      <c r="AD1355" s="2" t="s">
        <v>58</v>
      </c>
      <c r="AE1355" s="2">
        <v>100</v>
      </c>
      <c r="AF1355" s="21">
        <f t="shared" si="683"/>
        <v>3.07504810776139</v>
      </c>
      <c r="AG1355" s="4">
        <f t="shared" si="684"/>
        <v>0.224502886465683</v>
      </c>
      <c r="AH1355" s="4">
        <f t="shared" si="685"/>
        <v>0.577293136626042</v>
      </c>
      <c r="AI1355" s="2">
        <v>7403</v>
      </c>
      <c r="AJ1355" s="2">
        <v>276</v>
      </c>
      <c r="AK1355" s="2">
        <v>1207</v>
      </c>
      <c r="AL1355" s="2">
        <v>98</v>
      </c>
      <c r="AM1355" s="2">
        <v>44</v>
      </c>
      <c r="AN1355" s="2">
        <v>5</v>
      </c>
      <c r="AO1355" s="2">
        <v>0</v>
      </c>
      <c r="AP1355" s="2">
        <f t="shared" si="688"/>
        <v>7782</v>
      </c>
      <c r="AQ1355" s="2">
        <f t="shared" si="692"/>
        <v>249.583066067992</v>
      </c>
      <c r="AR1355" s="5">
        <f t="shared" si="690"/>
        <v>469.216164207826</v>
      </c>
    </row>
    <row r="1356" spans="1:44">
      <c r="A1356" s="2">
        <v>20260422</v>
      </c>
      <c r="B1356" s="2" t="s">
        <v>2755</v>
      </c>
      <c r="C1356" s="2" t="s">
        <v>2756</v>
      </c>
      <c r="D1356" s="2">
        <v>0</v>
      </c>
      <c r="E1356" s="2">
        <v>7</v>
      </c>
      <c r="F1356" s="2">
        <v>1</v>
      </c>
      <c r="G1356" s="2">
        <v>6</v>
      </c>
      <c r="H1356" s="2">
        <v>12</v>
      </c>
      <c r="I1356" s="3">
        <v>24</v>
      </c>
      <c r="J1356" s="2">
        <v>11</v>
      </c>
      <c r="K1356" s="2">
        <v>4</v>
      </c>
      <c r="L1356" s="2">
        <v>2</v>
      </c>
      <c r="M1356" s="2">
        <v>3</v>
      </c>
      <c r="N1356" s="2">
        <v>15</v>
      </c>
      <c r="O1356" s="2">
        <v>0</v>
      </c>
      <c r="P1356" s="3">
        <v>20</v>
      </c>
      <c r="Q1356" s="2">
        <v>1</v>
      </c>
      <c r="R1356" s="2">
        <v>399</v>
      </c>
      <c r="S1356" s="2">
        <v>0</v>
      </c>
      <c r="T1356" s="2">
        <v>16</v>
      </c>
      <c r="U1356" s="2">
        <v>1</v>
      </c>
      <c r="V1356" s="2">
        <f t="shared" si="691"/>
        <v>18</v>
      </c>
      <c r="W1356" s="2">
        <v>0</v>
      </c>
      <c r="X1356" s="2">
        <v>20</v>
      </c>
      <c r="Y1356" s="2">
        <v>0</v>
      </c>
      <c r="Z1356" s="2">
        <f t="shared" si="680"/>
        <v>21</v>
      </c>
      <c r="AA1356" s="2">
        <f t="shared" si="681"/>
        <v>99</v>
      </c>
      <c r="AB1356" s="2">
        <v>6176</v>
      </c>
      <c r="AC1356" s="20">
        <f t="shared" si="682"/>
        <v>1.6029792746114</v>
      </c>
      <c r="AD1356" s="2" t="s">
        <v>58</v>
      </c>
      <c r="AE1356" s="2">
        <v>100</v>
      </c>
      <c r="AF1356" s="21">
        <f t="shared" si="683"/>
        <v>3.01360103626943</v>
      </c>
      <c r="AG1356" s="4">
        <f t="shared" si="684"/>
        <v>0.291450777202073</v>
      </c>
      <c r="AH1356" s="4">
        <f t="shared" si="685"/>
        <v>0.340025906735751</v>
      </c>
      <c r="AI1356" s="2">
        <v>14738</v>
      </c>
      <c r="AJ1356" s="2">
        <v>523</v>
      </c>
      <c r="AK1356" s="2">
        <v>2413</v>
      </c>
      <c r="AL1356" s="2">
        <v>158</v>
      </c>
      <c r="AM1356" s="2">
        <v>95</v>
      </c>
      <c r="AN1356" s="2">
        <v>9</v>
      </c>
      <c r="AO1356" s="2">
        <v>0</v>
      </c>
      <c r="AP1356" s="2">
        <f t="shared" si="687"/>
        <v>15428</v>
      </c>
      <c r="AQ1356" s="2">
        <f t="shared" si="692"/>
        <v>494.804361770366</v>
      </c>
      <c r="AR1356" s="5">
        <f t="shared" si="690"/>
        <v>930.232200128287</v>
      </c>
    </row>
    <row r="1357" spans="1:44">
      <c r="A1357" s="2">
        <v>20260422</v>
      </c>
      <c r="B1357" s="2" t="s">
        <v>2757</v>
      </c>
      <c r="C1357" s="2" t="s">
        <v>2758</v>
      </c>
      <c r="D1357" s="2">
        <v>0</v>
      </c>
      <c r="E1357" s="2">
        <v>8</v>
      </c>
      <c r="F1357" s="2">
        <v>1</v>
      </c>
      <c r="G1357" s="2">
        <v>2</v>
      </c>
      <c r="H1357" s="2">
        <v>6</v>
      </c>
      <c r="I1357" s="3">
        <v>18</v>
      </c>
      <c r="J1357" s="2">
        <v>13</v>
      </c>
      <c r="K1357" s="2">
        <v>4</v>
      </c>
      <c r="L1357" s="2">
        <v>1</v>
      </c>
      <c r="M1357" s="2">
        <v>3</v>
      </c>
      <c r="N1357" s="2">
        <v>15</v>
      </c>
      <c r="O1357" s="2">
        <v>0</v>
      </c>
      <c r="P1357" s="3">
        <v>15</v>
      </c>
      <c r="Q1357" s="2">
        <v>0</v>
      </c>
      <c r="R1357" s="2">
        <v>803</v>
      </c>
      <c r="S1357" s="2">
        <v>0</v>
      </c>
      <c r="T1357" s="2">
        <v>9</v>
      </c>
      <c r="U1357" s="2">
        <v>0</v>
      </c>
      <c r="V1357" s="2">
        <f t="shared" si="691"/>
        <v>9</v>
      </c>
      <c r="W1357" s="2">
        <v>3</v>
      </c>
      <c r="X1357" s="2">
        <v>11</v>
      </c>
      <c r="Y1357" s="2">
        <v>0</v>
      </c>
      <c r="Z1357" s="2">
        <f t="shared" si="680"/>
        <v>14</v>
      </c>
      <c r="AA1357" s="2">
        <f t="shared" si="681"/>
        <v>71</v>
      </c>
      <c r="AB1357" s="2">
        <v>6176</v>
      </c>
      <c r="AC1357" s="20">
        <f t="shared" si="682"/>
        <v>1.14961139896373</v>
      </c>
      <c r="AD1357" s="2" t="s">
        <v>58</v>
      </c>
      <c r="AE1357" s="2">
        <v>100</v>
      </c>
      <c r="AF1357" s="21">
        <f t="shared" si="683"/>
        <v>2.16126943005181</v>
      </c>
      <c r="AG1357" s="4">
        <f t="shared" si="684"/>
        <v>0.145725388601036</v>
      </c>
      <c r="AH1357" s="4">
        <f t="shared" si="685"/>
        <v>0.226683937823834</v>
      </c>
      <c r="AI1357" s="2">
        <v>11242</v>
      </c>
      <c r="AJ1357" s="2">
        <v>564</v>
      </c>
      <c r="AK1357" s="2">
        <v>2297</v>
      </c>
      <c r="AL1357" s="2">
        <v>119</v>
      </c>
      <c r="AM1357" s="2">
        <v>86</v>
      </c>
      <c r="AN1357" s="2">
        <v>9</v>
      </c>
      <c r="AO1357" s="2">
        <v>0</v>
      </c>
      <c r="AP1357" s="2">
        <f t="shared" si="687"/>
        <v>11934</v>
      </c>
      <c r="AQ1357" s="2">
        <f t="shared" si="692"/>
        <v>193.231865284974</v>
      </c>
      <c r="AR1357" s="5">
        <f t="shared" si="690"/>
        <v>363.275906735751</v>
      </c>
    </row>
    <row r="1358" spans="1:44">
      <c r="A1358" s="2">
        <v>20260422</v>
      </c>
      <c r="B1358" s="2" t="s">
        <v>2759</v>
      </c>
      <c r="C1358" s="2" t="s">
        <v>2760</v>
      </c>
      <c r="D1358" s="2">
        <v>38</v>
      </c>
      <c r="E1358" s="2">
        <v>77</v>
      </c>
      <c r="F1358" s="2">
        <v>76</v>
      </c>
      <c r="G1358" s="2">
        <v>3</v>
      </c>
      <c r="H1358" s="2">
        <v>19</v>
      </c>
      <c r="I1358" s="3">
        <v>45</v>
      </c>
      <c r="J1358" s="2">
        <v>10</v>
      </c>
      <c r="K1358" s="2">
        <v>7</v>
      </c>
      <c r="L1358" s="2">
        <v>0</v>
      </c>
      <c r="M1358" s="2">
        <v>7</v>
      </c>
      <c r="N1358" s="2">
        <v>19</v>
      </c>
      <c r="O1358" s="2">
        <v>6</v>
      </c>
      <c r="P1358" s="3">
        <v>7</v>
      </c>
      <c r="Q1358" s="2">
        <v>12</v>
      </c>
      <c r="R1358" s="2">
        <v>284</v>
      </c>
      <c r="S1358" s="2">
        <v>1</v>
      </c>
      <c r="T1358" s="2">
        <v>52</v>
      </c>
      <c r="U1358" s="2">
        <v>3</v>
      </c>
      <c r="V1358" s="2">
        <f t="shared" si="679"/>
        <v>68</v>
      </c>
      <c r="W1358" s="2">
        <v>1</v>
      </c>
      <c r="X1358" s="2">
        <v>10</v>
      </c>
      <c r="Y1358" s="2">
        <v>0</v>
      </c>
      <c r="Z1358" s="2">
        <f t="shared" si="680"/>
        <v>14</v>
      </c>
      <c r="AA1358" s="2">
        <f t="shared" si="681"/>
        <v>153</v>
      </c>
      <c r="AB1358" s="2">
        <v>3286</v>
      </c>
      <c r="AC1358" s="20">
        <f t="shared" si="682"/>
        <v>4.65611685940353</v>
      </c>
      <c r="AD1358" s="2" t="s">
        <v>58</v>
      </c>
      <c r="AE1358" s="2">
        <v>100</v>
      </c>
      <c r="AF1358" s="21">
        <f t="shared" si="683"/>
        <v>8.75349969567863</v>
      </c>
      <c r="AG1358" s="4">
        <f t="shared" si="684"/>
        <v>2.06938527084601</v>
      </c>
      <c r="AH1358" s="4">
        <f t="shared" si="685"/>
        <v>0.426049908703591</v>
      </c>
      <c r="AI1358" s="2">
        <v>5620</v>
      </c>
      <c r="AJ1358" s="2">
        <v>269</v>
      </c>
      <c r="AK1358" s="2">
        <v>1142</v>
      </c>
      <c r="AL1358" s="2">
        <v>95</v>
      </c>
      <c r="AM1358" s="2">
        <v>78</v>
      </c>
      <c r="AN1358" s="2">
        <v>0</v>
      </c>
      <c r="AO1358" s="2">
        <v>0</v>
      </c>
      <c r="AP1358" s="2">
        <f t="shared" si="687"/>
        <v>5984</v>
      </c>
      <c r="AQ1358" s="2">
        <f t="shared" si="692"/>
        <v>96.8911917098446</v>
      </c>
      <c r="AR1358" s="5">
        <f t="shared" si="690"/>
        <v>182.155440414508</v>
      </c>
    </row>
    <row r="1359" spans="1:44">
      <c r="A1359" s="2">
        <v>20260422</v>
      </c>
      <c r="B1359" s="2" t="s">
        <v>2761</v>
      </c>
      <c r="C1359" s="2" t="s">
        <v>2762</v>
      </c>
      <c r="D1359" s="2">
        <v>1</v>
      </c>
      <c r="E1359" s="2">
        <v>3</v>
      </c>
      <c r="F1359" s="2">
        <v>1</v>
      </c>
      <c r="G1359" s="2">
        <v>2</v>
      </c>
      <c r="H1359" s="2">
        <v>5</v>
      </c>
      <c r="I1359" s="3">
        <v>23</v>
      </c>
      <c r="J1359" s="2">
        <v>4</v>
      </c>
      <c r="K1359" s="2">
        <v>1</v>
      </c>
      <c r="L1359" s="2">
        <v>1</v>
      </c>
      <c r="M1359" s="2">
        <v>2</v>
      </c>
      <c r="N1359" s="2">
        <v>13</v>
      </c>
      <c r="O1359" s="2">
        <v>0</v>
      </c>
      <c r="P1359" s="3">
        <v>1</v>
      </c>
      <c r="Q1359" s="2">
        <v>5</v>
      </c>
      <c r="R1359" s="2">
        <v>7</v>
      </c>
      <c r="S1359" s="2">
        <v>1</v>
      </c>
      <c r="T1359" s="2">
        <v>4</v>
      </c>
      <c r="U1359" s="2">
        <v>0</v>
      </c>
      <c r="V1359" s="2">
        <f t="shared" si="679"/>
        <v>10</v>
      </c>
      <c r="W1359" s="2">
        <v>0</v>
      </c>
      <c r="X1359" s="2">
        <v>8</v>
      </c>
      <c r="Y1359" s="2">
        <v>0</v>
      </c>
      <c r="Z1359" s="2">
        <f t="shared" si="680"/>
        <v>8</v>
      </c>
      <c r="AA1359" s="2">
        <f t="shared" si="681"/>
        <v>43</v>
      </c>
      <c r="AB1359" s="2">
        <v>3736</v>
      </c>
      <c r="AC1359" s="20">
        <f t="shared" si="682"/>
        <v>1.15096359743041</v>
      </c>
      <c r="AD1359" s="2" t="s">
        <v>44</v>
      </c>
      <c r="AE1359" s="2">
        <v>100</v>
      </c>
      <c r="AF1359" s="21">
        <f t="shared" si="683"/>
        <v>2.16381156316916</v>
      </c>
      <c r="AG1359" s="4">
        <f t="shared" si="684"/>
        <v>0.267665952890792</v>
      </c>
      <c r="AH1359" s="4">
        <f t="shared" si="685"/>
        <v>0.214132762312634</v>
      </c>
      <c r="AI1359" s="2">
        <v>6448</v>
      </c>
      <c r="AJ1359" s="2">
        <v>264</v>
      </c>
      <c r="AK1359" s="2">
        <v>1242</v>
      </c>
      <c r="AL1359" s="2">
        <v>64</v>
      </c>
      <c r="AM1359" s="2">
        <v>71</v>
      </c>
      <c r="AN1359" s="2">
        <v>8</v>
      </c>
      <c r="AO1359" s="2">
        <v>0</v>
      </c>
      <c r="AP1359" s="2">
        <f t="shared" ref="AP1359:AP1373" si="693">AI1359+AJ1359+AL1359+AN1359</f>
        <v>6784</v>
      </c>
      <c r="AQ1359" s="2">
        <f t="shared" ref="AQ1359:AQ1373" si="694">AP1359/AB1358*100</f>
        <v>206.451612903226</v>
      </c>
      <c r="AR1359" s="5">
        <f t="shared" si="690"/>
        <v>388.129032258064</v>
      </c>
    </row>
    <row r="1360" spans="1:44">
      <c r="A1360" s="2">
        <v>20260422</v>
      </c>
      <c r="B1360" s="2" t="s">
        <v>2763</v>
      </c>
      <c r="C1360" s="2" t="s">
        <v>2764</v>
      </c>
      <c r="D1360" s="2">
        <v>0</v>
      </c>
      <c r="E1360" s="2">
        <v>1</v>
      </c>
      <c r="F1360" s="2">
        <v>2</v>
      </c>
      <c r="G1360" s="2">
        <v>0</v>
      </c>
      <c r="H1360" s="2">
        <v>3</v>
      </c>
      <c r="I1360" s="3">
        <v>13</v>
      </c>
      <c r="J1360" s="2">
        <v>1</v>
      </c>
      <c r="K1360" s="2">
        <v>0</v>
      </c>
      <c r="L1360" s="2">
        <v>0</v>
      </c>
      <c r="M1360" s="2">
        <v>1</v>
      </c>
      <c r="N1360" s="2">
        <v>2</v>
      </c>
      <c r="O1360" s="2">
        <v>0</v>
      </c>
      <c r="P1360" s="3">
        <v>1</v>
      </c>
      <c r="Q1360" s="2">
        <v>0</v>
      </c>
      <c r="R1360" s="2">
        <v>4</v>
      </c>
      <c r="S1360" s="2">
        <v>1</v>
      </c>
      <c r="T1360" s="2">
        <v>1</v>
      </c>
      <c r="U1360" s="2">
        <v>0</v>
      </c>
      <c r="V1360" s="2">
        <f t="shared" si="679"/>
        <v>2</v>
      </c>
      <c r="W1360" s="2">
        <v>0</v>
      </c>
      <c r="X1360" s="2">
        <v>10</v>
      </c>
      <c r="Y1360" s="2">
        <v>0</v>
      </c>
      <c r="Z1360" s="2">
        <f t="shared" si="680"/>
        <v>10</v>
      </c>
      <c r="AA1360" s="2">
        <f t="shared" si="681"/>
        <v>20</v>
      </c>
      <c r="AB1360" s="2">
        <v>3296</v>
      </c>
      <c r="AC1360" s="20">
        <f t="shared" si="682"/>
        <v>0.606796116504854</v>
      </c>
      <c r="AD1360" s="2" t="s">
        <v>58</v>
      </c>
      <c r="AE1360" s="2">
        <v>100</v>
      </c>
      <c r="AF1360" s="21">
        <f t="shared" si="683"/>
        <v>1.14077669902913</v>
      </c>
      <c r="AG1360" s="4">
        <f t="shared" si="684"/>
        <v>0.0606796116504854</v>
      </c>
      <c r="AH1360" s="4">
        <f t="shared" si="685"/>
        <v>0.303398058252427</v>
      </c>
      <c r="AI1360" s="2">
        <v>5744</v>
      </c>
      <c r="AJ1360" s="2">
        <v>244</v>
      </c>
      <c r="AK1360" s="2">
        <v>1132</v>
      </c>
      <c r="AL1360" s="2">
        <v>40</v>
      </c>
      <c r="AM1360" s="2">
        <v>33</v>
      </c>
      <c r="AN1360" s="2">
        <v>2</v>
      </c>
      <c r="AO1360" s="2">
        <v>0</v>
      </c>
      <c r="AP1360" s="2">
        <f t="shared" si="693"/>
        <v>6030</v>
      </c>
      <c r="AQ1360" s="2">
        <f t="shared" si="694"/>
        <v>161.402569593148</v>
      </c>
      <c r="AR1360" s="5">
        <f t="shared" si="690"/>
        <v>303.436830835118</v>
      </c>
    </row>
    <row r="1361" spans="1:44">
      <c r="A1361" s="2">
        <v>20260422</v>
      </c>
      <c r="B1361" s="2" t="s">
        <v>2765</v>
      </c>
      <c r="C1361" s="2" t="s">
        <v>2766</v>
      </c>
      <c r="D1361" s="2">
        <v>0</v>
      </c>
      <c r="E1361" s="2">
        <v>3</v>
      </c>
      <c r="F1361" s="2">
        <v>0</v>
      </c>
      <c r="G1361" s="2">
        <v>0</v>
      </c>
      <c r="H1361" s="2">
        <v>2</v>
      </c>
      <c r="I1361" s="3">
        <v>16</v>
      </c>
      <c r="J1361" s="2">
        <v>3</v>
      </c>
      <c r="K1361" s="2">
        <v>1</v>
      </c>
      <c r="L1361" s="2">
        <v>0</v>
      </c>
      <c r="M1361" s="2">
        <v>2</v>
      </c>
      <c r="N1361" s="2">
        <v>7</v>
      </c>
      <c r="O1361" s="2">
        <v>0</v>
      </c>
      <c r="P1361" s="3">
        <v>0</v>
      </c>
      <c r="Q1361" s="2">
        <v>0</v>
      </c>
      <c r="R1361" s="2">
        <v>4</v>
      </c>
      <c r="S1361" s="2">
        <v>0</v>
      </c>
      <c r="T1361" s="2">
        <v>0</v>
      </c>
      <c r="U1361" s="2">
        <v>0</v>
      </c>
      <c r="V1361" s="2">
        <f t="shared" si="679"/>
        <v>0</v>
      </c>
      <c r="W1361" s="2">
        <v>1</v>
      </c>
      <c r="X1361" s="2">
        <v>12</v>
      </c>
      <c r="Y1361" s="2">
        <v>0</v>
      </c>
      <c r="Z1361" s="2">
        <f t="shared" si="680"/>
        <v>13</v>
      </c>
      <c r="AA1361" s="2">
        <f t="shared" si="681"/>
        <v>24</v>
      </c>
      <c r="AB1361" s="2">
        <v>3396</v>
      </c>
      <c r="AC1361" s="20">
        <f t="shared" si="682"/>
        <v>0.706713780918728</v>
      </c>
      <c r="AD1361" s="2" t="s">
        <v>58</v>
      </c>
      <c r="AE1361" s="2">
        <v>100</v>
      </c>
      <c r="AF1361" s="21">
        <f t="shared" si="683"/>
        <v>1.32862190812721</v>
      </c>
      <c r="AG1361" s="4">
        <f t="shared" si="684"/>
        <v>0</v>
      </c>
      <c r="AH1361" s="4">
        <f t="shared" si="685"/>
        <v>0.382803297997644</v>
      </c>
      <c r="AI1361" s="2">
        <v>5782</v>
      </c>
      <c r="AJ1361" s="2">
        <v>272</v>
      </c>
      <c r="AK1361" s="2">
        <v>1143</v>
      </c>
      <c r="AL1361" s="2">
        <v>48</v>
      </c>
      <c r="AM1361" s="2">
        <v>45</v>
      </c>
      <c r="AN1361" s="2">
        <v>1</v>
      </c>
      <c r="AO1361" s="2">
        <v>0</v>
      </c>
      <c r="AP1361" s="2">
        <f t="shared" si="693"/>
        <v>6103</v>
      </c>
      <c r="AQ1361" s="2">
        <f t="shared" si="694"/>
        <v>185.163834951456</v>
      </c>
      <c r="AR1361" s="5">
        <f t="shared" si="690"/>
        <v>348.108009708738</v>
      </c>
    </row>
    <row r="1362" spans="1:44">
      <c r="A1362" s="2">
        <v>20260422</v>
      </c>
      <c r="B1362" s="2" t="s">
        <v>2767</v>
      </c>
      <c r="C1362" s="2" t="s">
        <v>2768</v>
      </c>
      <c r="D1362" s="2">
        <v>1</v>
      </c>
      <c r="E1362" s="2">
        <v>14</v>
      </c>
      <c r="F1362" s="2">
        <v>4</v>
      </c>
      <c r="G1362" s="2">
        <v>0</v>
      </c>
      <c r="H1362" s="2">
        <v>4</v>
      </c>
      <c r="I1362" s="3">
        <v>8</v>
      </c>
      <c r="J1362" s="2">
        <v>3</v>
      </c>
      <c r="K1362" s="2">
        <v>4</v>
      </c>
      <c r="L1362" s="2">
        <v>0</v>
      </c>
      <c r="M1362" s="2">
        <v>1</v>
      </c>
      <c r="N1362" s="2">
        <v>11</v>
      </c>
      <c r="O1362" s="2">
        <v>8</v>
      </c>
      <c r="P1362" s="3">
        <v>5</v>
      </c>
      <c r="Q1362" s="2">
        <v>1</v>
      </c>
      <c r="R1362" s="2">
        <v>31</v>
      </c>
      <c r="S1362" s="2">
        <v>0</v>
      </c>
      <c r="T1362" s="2">
        <v>9</v>
      </c>
      <c r="U1362" s="2">
        <v>2</v>
      </c>
      <c r="V1362" s="2">
        <f t="shared" si="679"/>
        <v>12</v>
      </c>
      <c r="W1362" s="2">
        <v>1</v>
      </c>
      <c r="X1362" s="2">
        <v>5</v>
      </c>
      <c r="Y1362" s="2">
        <v>0</v>
      </c>
      <c r="Z1362" s="2">
        <f t="shared" si="680"/>
        <v>8</v>
      </c>
      <c r="AA1362" s="2">
        <f t="shared" si="681"/>
        <v>36</v>
      </c>
      <c r="AB1362" s="2">
        <v>3536</v>
      </c>
      <c r="AC1362" s="20">
        <f t="shared" si="682"/>
        <v>1.01809954751131</v>
      </c>
      <c r="AD1362" s="2" t="s">
        <v>58</v>
      </c>
      <c r="AE1362" s="2">
        <v>100</v>
      </c>
      <c r="AF1362" s="21">
        <f t="shared" si="683"/>
        <v>1.91402714932127</v>
      </c>
      <c r="AG1362" s="4">
        <f t="shared" si="684"/>
        <v>0.339366515837104</v>
      </c>
      <c r="AH1362" s="4">
        <f t="shared" si="685"/>
        <v>0.226244343891403</v>
      </c>
      <c r="AI1362" s="2">
        <v>5991</v>
      </c>
      <c r="AJ1362" s="2">
        <v>250</v>
      </c>
      <c r="AK1362" s="2">
        <v>1242</v>
      </c>
      <c r="AL1362" s="2">
        <v>1</v>
      </c>
      <c r="AM1362" s="2">
        <v>9</v>
      </c>
      <c r="AN1362" s="2">
        <v>72</v>
      </c>
      <c r="AO1362" s="2">
        <v>0</v>
      </c>
      <c r="AP1362" s="2">
        <v>0</v>
      </c>
      <c r="AQ1362" s="2">
        <f t="shared" si="694"/>
        <v>0</v>
      </c>
      <c r="AR1362" s="5">
        <f t="shared" si="690"/>
        <v>0</v>
      </c>
    </row>
    <row r="1363" spans="1:44">
      <c r="A1363" s="2">
        <v>20260422</v>
      </c>
      <c r="B1363" s="2" t="s">
        <v>2769</v>
      </c>
      <c r="C1363" s="2" t="s">
        <v>2770</v>
      </c>
      <c r="D1363" s="2">
        <v>0</v>
      </c>
      <c r="E1363" s="2">
        <v>8</v>
      </c>
      <c r="F1363" s="2">
        <v>0</v>
      </c>
      <c r="G1363" s="2">
        <v>2</v>
      </c>
      <c r="H1363" s="2">
        <v>6</v>
      </c>
      <c r="I1363" s="3">
        <v>6</v>
      </c>
      <c r="J1363" s="2">
        <v>3</v>
      </c>
      <c r="K1363" s="2">
        <v>1</v>
      </c>
      <c r="L1363" s="2">
        <v>0</v>
      </c>
      <c r="M1363" s="2">
        <v>0</v>
      </c>
      <c r="N1363" s="2">
        <v>19</v>
      </c>
      <c r="O1363" s="2">
        <v>0</v>
      </c>
      <c r="P1363" s="3">
        <v>4</v>
      </c>
      <c r="Q1363" s="2">
        <v>1</v>
      </c>
      <c r="R1363" s="2">
        <v>57</v>
      </c>
      <c r="S1363" s="2">
        <v>0</v>
      </c>
      <c r="T1363" s="2">
        <v>1</v>
      </c>
      <c r="U1363" s="2">
        <v>0</v>
      </c>
      <c r="V1363" s="2">
        <f t="shared" si="679"/>
        <v>2</v>
      </c>
      <c r="W1363" s="2">
        <v>2</v>
      </c>
      <c r="X1363" s="2">
        <v>4</v>
      </c>
      <c r="Y1363" s="2">
        <v>0</v>
      </c>
      <c r="Z1363" s="2">
        <f t="shared" si="680"/>
        <v>6</v>
      </c>
      <c r="AA1363" s="2">
        <f t="shared" si="681"/>
        <v>23</v>
      </c>
      <c r="AB1363" s="2">
        <v>3516</v>
      </c>
      <c r="AC1363" s="20">
        <f t="shared" si="682"/>
        <v>0.65415244596132</v>
      </c>
      <c r="AD1363" s="2" t="s">
        <v>58</v>
      </c>
      <c r="AE1363" s="2">
        <v>100</v>
      </c>
      <c r="AF1363" s="21">
        <f t="shared" si="683"/>
        <v>1.22980659840728</v>
      </c>
      <c r="AG1363" s="4">
        <f t="shared" si="684"/>
        <v>0.0568828213879408</v>
      </c>
      <c r="AH1363" s="4">
        <f t="shared" si="685"/>
        <v>0.170648464163823</v>
      </c>
      <c r="AI1363" s="2">
        <v>6105</v>
      </c>
      <c r="AJ1363" s="2">
        <v>363</v>
      </c>
      <c r="AK1363" s="2">
        <v>1040</v>
      </c>
      <c r="AL1363" s="2">
        <v>93</v>
      </c>
      <c r="AM1363" s="2">
        <v>64</v>
      </c>
      <c r="AN1363" s="2">
        <v>0</v>
      </c>
      <c r="AO1363" s="2">
        <v>0</v>
      </c>
      <c r="AP1363" s="2">
        <f t="shared" si="693"/>
        <v>6561</v>
      </c>
      <c r="AQ1363" s="2">
        <f t="shared" si="694"/>
        <v>185.548642533937</v>
      </c>
      <c r="AR1363" s="5">
        <f t="shared" si="690"/>
        <v>348.831447963801</v>
      </c>
    </row>
    <row r="1364" spans="1:44">
      <c r="A1364" s="2">
        <v>20260422</v>
      </c>
      <c r="B1364" s="2" t="s">
        <v>2771</v>
      </c>
      <c r="C1364" s="2" t="s">
        <v>2772</v>
      </c>
      <c r="D1364" s="2">
        <v>0</v>
      </c>
      <c r="E1364" s="2">
        <v>1</v>
      </c>
      <c r="F1364" s="2">
        <v>2</v>
      </c>
      <c r="G1364" s="2">
        <v>3</v>
      </c>
      <c r="H1364" s="2">
        <v>11</v>
      </c>
      <c r="I1364" s="3">
        <v>0</v>
      </c>
      <c r="J1364" s="2">
        <v>1</v>
      </c>
      <c r="K1364" s="2">
        <v>0</v>
      </c>
      <c r="L1364" s="2">
        <v>2</v>
      </c>
      <c r="M1364" s="2">
        <v>4</v>
      </c>
      <c r="N1364" s="2">
        <v>0</v>
      </c>
      <c r="O1364" s="2">
        <v>6</v>
      </c>
      <c r="P1364" s="3">
        <v>0</v>
      </c>
      <c r="Q1364" s="2">
        <v>57</v>
      </c>
      <c r="R1364" s="2">
        <v>0</v>
      </c>
      <c r="S1364" s="2">
        <v>5</v>
      </c>
      <c r="T1364" s="2">
        <v>0</v>
      </c>
      <c r="U1364" s="2">
        <v>0</v>
      </c>
      <c r="V1364" s="2">
        <f t="shared" si="679"/>
        <v>62</v>
      </c>
      <c r="W1364" s="2">
        <v>2</v>
      </c>
      <c r="X1364" s="2">
        <v>8</v>
      </c>
      <c r="Y1364" s="2">
        <v>0</v>
      </c>
      <c r="Z1364" s="2">
        <f t="shared" si="680"/>
        <v>10</v>
      </c>
      <c r="AA1364" s="2">
        <f t="shared" si="681"/>
        <v>21</v>
      </c>
      <c r="AB1364" s="2">
        <v>3117</v>
      </c>
      <c r="AC1364" s="20">
        <f t="shared" si="682"/>
        <v>0.673724735322425</v>
      </c>
      <c r="AD1364" s="2" t="s">
        <v>58</v>
      </c>
      <c r="AE1364" s="2">
        <v>100</v>
      </c>
      <c r="AF1364" s="21">
        <f t="shared" si="683"/>
        <v>1.26660250240616</v>
      </c>
      <c r="AG1364" s="4">
        <f t="shared" si="684"/>
        <v>1.98909207571383</v>
      </c>
      <c r="AH1364" s="4">
        <f t="shared" si="685"/>
        <v>0.320821302534488</v>
      </c>
      <c r="AI1364" s="2">
        <v>5310</v>
      </c>
      <c r="AJ1364" s="2">
        <v>304</v>
      </c>
      <c r="AK1364" s="2">
        <v>1034</v>
      </c>
      <c r="AL1364" s="2">
        <v>75</v>
      </c>
      <c r="AM1364" s="2">
        <v>45</v>
      </c>
      <c r="AN1364" s="2">
        <v>3</v>
      </c>
      <c r="AO1364" s="2">
        <v>0</v>
      </c>
      <c r="AP1364" s="2">
        <f t="shared" si="693"/>
        <v>5692</v>
      </c>
      <c r="AQ1364" s="2">
        <f t="shared" si="694"/>
        <v>161.88850967008</v>
      </c>
      <c r="AR1364" s="5">
        <f t="shared" si="690"/>
        <v>304.35039817975</v>
      </c>
    </row>
    <row r="1365" spans="1:44">
      <c r="A1365" s="2">
        <v>20260422</v>
      </c>
      <c r="B1365" s="2" t="s">
        <v>2773</v>
      </c>
      <c r="C1365" s="2" t="s">
        <v>2774</v>
      </c>
      <c r="D1365" s="2">
        <v>0</v>
      </c>
      <c r="E1365" s="2">
        <v>0</v>
      </c>
      <c r="F1365" s="2">
        <v>1</v>
      </c>
      <c r="G1365" s="2">
        <v>1</v>
      </c>
      <c r="H1365" s="2">
        <v>5</v>
      </c>
      <c r="I1365" s="3">
        <v>6</v>
      </c>
      <c r="J1365" s="2">
        <v>4</v>
      </c>
      <c r="K1365" s="2">
        <v>0</v>
      </c>
      <c r="L1365" s="2">
        <v>0</v>
      </c>
      <c r="M1365" s="2">
        <v>1</v>
      </c>
      <c r="N1365" s="2">
        <v>13</v>
      </c>
      <c r="O1365" s="2">
        <v>0</v>
      </c>
      <c r="P1365" s="3">
        <v>5</v>
      </c>
      <c r="Q1365" s="2">
        <v>0</v>
      </c>
      <c r="R1365" s="2">
        <v>9</v>
      </c>
      <c r="S1365" s="2">
        <v>1</v>
      </c>
      <c r="T1365" s="2">
        <v>4</v>
      </c>
      <c r="U1365" s="2">
        <v>0</v>
      </c>
      <c r="V1365" s="2">
        <f t="shared" si="679"/>
        <v>5</v>
      </c>
      <c r="W1365" s="2">
        <v>0</v>
      </c>
      <c r="X1365" s="2">
        <v>4</v>
      </c>
      <c r="Y1365" s="2">
        <v>0</v>
      </c>
      <c r="Z1365" s="2">
        <f t="shared" si="680"/>
        <v>4</v>
      </c>
      <c r="AA1365" s="2">
        <f t="shared" si="681"/>
        <v>26</v>
      </c>
      <c r="AB1365" s="2">
        <v>3117</v>
      </c>
      <c r="AC1365" s="20">
        <f t="shared" si="682"/>
        <v>0.83413538658967</v>
      </c>
      <c r="AD1365" s="2" t="s">
        <v>58</v>
      </c>
      <c r="AE1365" s="2">
        <v>100</v>
      </c>
      <c r="AF1365" s="21">
        <f t="shared" si="683"/>
        <v>1.56817452678858</v>
      </c>
      <c r="AG1365" s="4">
        <f t="shared" si="684"/>
        <v>0.160410651267244</v>
      </c>
      <c r="AH1365" s="4">
        <f t="shared" si="685"/>
        <v>0.128328521013795</v>
      </c>
      <c r="AI1365" s="2">
        <v>5636</v>
      </c>
      <c r="AJ1365" s="2">
        <v>321</v>
      </c>
      <c r="AK1365" s="2">
        <v>1080</v>
      </c>
      <c r="AL1365" s="2">
        <v>83</v>
      </c>
      <c r="AM1365" s="2">
        <v>43</v>
      </c>
      <c r="AN1365" s="2">
        <v>1</v>
      </c>
      <c r="AO1365" s="2">
        <v>0</v>
      </c>
      <c r="AP1365" s="2">
        <f t="shared" si="693"/>
        <v>6041</v>
      </c>
      <c r="AQ1365" s="2">
        <f t="shared" si="694"/>
        <v>193.808148861084</v>
      </c>
      <c r="AR1365" s="5">
        <f t="shared" si="690"/>
        <v>364.359319858839</v>
      </c>
    </row>
    <row r="1366" spans="1:44">
      <c r="A1366" s="2">
        <v>20260422</v>
      </c>
      <c r="B1366" s="2" t="s">
        <v>2775</v>
      </c>
      <c r="C1366" s="2" t="s">
        <v>2776</v>
      </c>
      <c r="D1366" s="2">
        <v>0</v>
      </c>
      <c r="E1366" s="2">
        <v>0</v>
      </c>
      <c r="F1366" s="2">
        <v>0</v>
      </c>
      <c r="G1366" s="2">
        <v>1</v>
      </c>
      <c r="H1366" s="2">
        <v>2</v>
      </c>
      <c r="I1366" s="3">
        <v>16</v>
      </c>
      <c r="J1366" s="2">
        <v>6</v>
      </c>
      <c r="K1366" s="2">
        <v>2</v>
      </c>
      <c r="L1366" s="2">
        <v>0</v>
      </c>
      <c r="M1366" s="2">
        <v>1</v>
      </c>
      <c r="N1366" s="2">
        <v>13</v>
      </c>
      <c r="O1366" s="2">
        <v>0</v>
      </c>
      <c r="P1366" s="3">
        <v>5</v>
      </c>
      <c r="Q1366" s="2">
        <v>2</v>
      </c>
      <c r="R1366" s="2">
        <v>29</v>
      </c>
      <c r="S1366" s="2">
        <v>1</v>
      </c>
      <c r="T1366" s="2">
        <v>14</v>
      </c>
      <c r="U1366" s="2">
        <v>0</v>
      </c>
      <c r="V1366" s="2">
        <f t="shared" si="679"/>
        <v>17</v>
      </c>
      <c r="W1366" s="2">
        <v>0</v>
      </c>
      <c r="X1366" s="2">
        <v>3</v>
      </c>
      <c r="Y1366" s="2">
        <v>1</v>
      </c>
      <c r="Z1366" s="2">
        <f t="shared" si="680"/>
        <v>4</v>
      </c>
      <c r="AA1366" s="2">
        <f t="shared" si="681"/>
        <v>47</v>
      </c>
      <c r="AB1366" s="2">
        <v>6173</v>
      </c>
      <c r="AC1366" s="20">
        <f t="shared" si="682"/>
        <v>0.761380204114693</v>
      </c>
      <c r="AD1366" s="2" t="s">
        <v>58</v>
      </c>
      <c r="AE1366" s="2">
        <v>100</v>
      </c>
      <c r="AF1366" s="21">
        <f t="shared" si="683"/>
        <v>1.43139478373562</v>
      </c>
      <c r="AG1366" s="4">
        <f t="shared" si="684"/>
        <v>0.275392839786166</v>
      </c>
      <c r="AH1366" s="4">
        <f t="shared" si="685"/>
        <v>0.0647983152438037</v>
      </c>
      <c r="AI1366" s="2">
        <v>10620</v>
      </c>
      <c r="AJ1366" s="2">
        <v>550</v>
      </c>
      <c r="AK1366" s="2">
        <v>2223</v>
      </c>
      <c r="AL1366" s="2">
        <v>169</v>
      </c>
      <c r="AM1366" s="2">
        <v>76</v>
      </c>
      <c r="AN1366" s="2">
        <v>2</v>
      </c>
      <c r="AO1366" s="2">
        <v>0</v>
      </c>
      <c r="AP1366" s="2">
        <f t="shared" si="693"/>
        <v>11341</v>
      </c>
      <c r="AQ1366" s="2">
        <f t="shared" si="694"/>
        <v>363.843439204363</v>
      </c>
      <c r="AR1366" s="5">
        <f t="shared" si="690"/>
        <v>684.025665704203</v>
      </c>
    </row>
    <row r="1367" spans="1:44">
      <c r="A1367" s="2">
        <v>20260422</v>
      </c>
      <c r="B1367" s="2" t="s">
        <v>2777</v>
      </c>
      <c r="C1367" s="2" t="s">
        <v>2778</v>
      </c>
      <c r="D1367" s="2">
        <v>3</v>
      </c>
      <c r="E1367" s="2">
        <v>2</v>
      </c>
      <c r="F1367" s="2">
        <v>1</v>
      </c>
      <c r="G1367" s="2">
        <v>0</v>
      </c>
      <c r="H1367" s="2">
        <v>6</v>
      </c>
      <c r="I1367" s="3">
        <v>26</v>
      </c>
      <c r="J1367" s="2">
        <v>3</v>
      </c>
      <c r="K1367" s="2">
        <v>4</v>
      </c>
      <c r="L1367" s="2">
        <v>0</v>
      </c>
      <c r="M1367" s="2">
        <v>2</v>
      </c>
      <c r="N1367" s="2">
        <v>29</v>
      </c>
      <c r="O1367" s="2">
        <v>0</v>
      </c>
      <c r="P1367" s="3">
        <v>2</v>
      </c>
      <c r="Q1367" s="2">
        <v>0</v>
      </c>
      <c r="R1367" s="2">
        <v>45</v>
      </c>
      <c r="S1367" s="2">
        <v>0</v>
      </c>
      <c r="T1367" s="2">
        <v>9</v>
      </c>
      <c r="U1367" s="2">
        <v>0</v>
      </c>
      <c r="V1367" s="2">
        <f t="shared" si="679"/>
        <v>9</v>
      </c>
      <c r="W1367" s="2">
        <v>2</v>
      </c>
      <c r="X1367" s="2">
        <v>0</v>
      </c>
      <c r="Y1367" s="2">
        <v>1</v>
      </c>
      <c r="Z1367" s="2">
        <f t="shared" si="680"/>
        <v>3</v>
      </c>
      <c r="AA1367" s="2">
        <f t="shared" si="681"/>
        <v>52</v>
      </c>
      <c r="AB1367" s="2">
        <v>3907</v>
      </c>
      <c r="AC1367" s="20">
        <f t="shared" si="682"/>
        <v>1.33094445866394</v>
      </c>
      <c r="AD1367" s="2" t="s">
        <v>83</v>
      </c>
      <c r="AE1367" s="2">
        <v>100</v>
      </c>
      <c r="AF1367" s="21">
        <f t="shared" si="683"/>
        <v>2.5021755822882</v>
      </c>
      <c r="AG1367" s="4">
        <f t="shared" si="684"/>
        <v>0.230355771691835</v>
      </c>
      <c r="AH1367" s="4">
        <f t="shared" si="685"/>
        <v>0.0767852572306117</v>
      </c>
      <c r="AI1367" s="2">
        <v>7895</v>
      </c>
      <c r="AJ1367" s="2">
        <v>499</v>
      </c>
      <c r="AK1367" s="2">
        <v>1374</v>
      </c>
      <c r="AL1367" s="2">
        <v>73</v>
      </c>
      <c r="AM1367" s="2">
        <v>58</v>
      </c>
      <c r="AN1367" s="2">
        <v>2</v>
      </c>
      <c r="AO1367" s="2">
        <v>0</v>
      </c>
      <c r="AP1367" s="2">
        <f t="shared" si="693"/>
        <v>8469</v>
      </c>
      <c r="AQ1367" s="2">
        <f t="shared" si="694"/>
        <v>137.194232949943</v>
      </c>
      <c r="AR1367" s="5">
        <f t="shared" si="690"/>
        <v>257.925157945893</v>
      </c>
    </row>
    <row r="1368" spans="1:44">
      <c r="A1368" s="2">
        <v>20260422</v>
      </c>
      <c r="B1368" s="2" t="s">
        <v>2779</v>
      </c>
      <c r="C1368" s="2" t="s">
        <v>2780</v>
      </c>
      <c r="D1368" s="2">
        <v>2</v>
      </c>
      <c r="E1368" s="2">
        <v>2</v>
      </c>
      <c r="F1368" s="2">
        <v>2</v>
      </c>
      <c r="G1368" s="2">
        <v>1</v>
      </c>
      <c r="H1368" s="2">
        <v>3</v>
      </c>
      <c r="I1368" s="3">
        <v>11</v>
      </c>
      <c r="J1368" s="2">
        <v>2</v>
      </c>
      <c r="K1368" s="2">
        <v>1</v>
      </c>
      <c r="L1368" s="2">
        <v>0</v>
      </c>
      <c r="M1368" s="2">
        <v>4</v>
      </c>
      <c r="N1368" s="2">
        <v>13</v>
      </c>
      <c r="O1368" s="2">
        <v>0</v>
      </c>
      <c r="P1368" s="3">
        <v>3</v>
      </c>
      <c r="Q1368" s="2">
        <v>2</v>
      </c>
      <c r="R1368" s="2">
        <v>44</v>
      </c>
      <c r="S1368" s="2">
        <v>0</v>
      </c>
      <c r="T1368" s="2">
        <v>4</v>
      </c>
      <c r="U1368" s="2">
        <v>0</v>
      </c>
      <c r="V1368" s="2">
        <f t="shared" si="679"/>
        <v>6</v>
      </c>
      <c r="W1368" s="2">
        <v>0</v>
      </c>
      <c r="X1368" s="2">
        <v>0</v>
      </c>
      <c r="Y1368" s="2">
        <v>1</v>
      </c>
      <c r="Z1368" s="2">
        <f t="shared" si="680"/>
        <v>1</v>
      </c>
      <c r="AA1368" s="2">
        <f t="shared" si="681"/>
        <v>29</v>
      </c>
      <c r="AB1368" s="2">
        <v>6155</v>
      </c>
      <c r="AC1368" s="20">
        <f t="shared" si="682"/>
        <v>0.471161657189277</v>
      </c>
      <c r="AD1368" s="2" t="s">
        <v>83</v>
      </c>
      <c r="AE1368" s="2">
        <v>100</v>
      </c>
      <c r="AF1368" s="21">
        <f t="shared" si="683"/>
        <v>0.885783915515841</v>
      </c>
      <c r="AG1368" s="4">
        <f t="shared" si="684"/>
        <v>0.0974817221770918</v>
      </c>
      <c r="AH1368" s="4">
        <f t="shared" si="685"/>
        <v>0.016246953696182</v>
      </c>
      <c r="AI1368" s="2">
        <v>10952</v>
      </c>
      <c r="AJ1368" s="2">
        <v>420</v>
      </c>
      <c r="AK1368" s="2">
        <v>1927</v>
      </c>
      <c r="AL1368" s="2">
        <v>113</v>
      </c>
      <c r="AM1368" s="2">
        <v>64</v>
      </c>
      <c r="AN1368" s="2">
        <v>0</v>
      </c>
      <c r="AO1368" s="2">
        <v>0</v>
      </c>
      <c r="AP1368" s="2">
        <f t="shared" si="693"/>
        <v>11485</v>
      </c>
      <c r="AQ1368" s="2">
        <f t="shared" si="694"/>
        <v>293.959559764525</v>
      </c>
      <c r="AR1368" s="5">
        <f t="shared" si="690"/>
        <v>552.643972357307</v>
      </c>
    </row>
    <row r="1369" spans="1:44">
      <c r="A1369" s="2">
        <v>20260422</v>
      </c>
      <c r="B1369" s="2" t="s">
        <v>2781</v>
      </c>
      <c r="C1369" s="2" t="s">
        <v>2782</v>
      </c>
      <c r="D1369" s="2">
        <v>12</v>
      </c>
      <c r="E1369" s="2">
        <v>6</v>
      </c>
      <c r="F1369" s="2">
        <v>11</v>
      </c>
      <c r="G1369" s="2">
        <v>2</v>
      </c>
      <c r="H1369" s="2">
        <v>17</v>
      </c>
      <c r="I1369" s="3">
        <v>29</v>
      </c>
      <c r="J1369" s="2">
        <v>5</v>
      </c>
      <c r="K1369" s="2">
        <v>12</v>
      </c>
      <c r="L1369" s="2">
        <v>0</v>
      </c>
      <c r="M1369" s="2">
        <v>116</v>
      </c>
      <c r="N1369" s="2">
        <v>43</v>
      </c>
      <c r="O1369" s="2">
        <v>7</v>
      </c>
      <c r="P1369" s="3">
        <v>3</v>
      </c>
      <c r="Q1369" s="2">
        <v>20</v>
      </c>
      <c r="R1369" s="2">
        <v>1</v>
      </c>
      <c r="S1369" s="2">
        <v>8</v>
      </c>
      <c r="T1369" s="2">
        <v>0</v>
      </c>
      <c r="U1369" s="2">
        <v>0</v>
      </c>
      <c r="V1369" s="2">
        <v>0</v>
      </c>
      <c r="W1369" s="2">
        <v>0</v>
      </c>
      <c r="X1369" s="2">
        <v>0</v>
      </c>
      <c r="Y1369" s="2">
        <v>0</v>
      </c>
      <c r="Z1369" s="2">
        <f t="shared" si="680"/>
        <v>0</v>
      </c>
      <c r="AA1369" s="2">
        <f t="shared" si="681"/>
        <v>184</v>
      </c>
      <c r="AB1369" s="2">
        <v>3408</v>
      </c>
      <c r="AC1369" s="20">
        <f t="shared" si="682"/>
        <v>5.39906103286385</v>
      </c>
      <c r="AD1369" s="2" t="s">
        <v>83</v>
      </c>
      <c r="AE1369" s="2">
        <v>100</v>
      </c>
      <c r="AF1369" s="21">
        <f t="shared" si="683"/>
        <v>10.150234741784</v>
      </c>
      <c r="AG1369" s="4">
        <f t="shared" si="684"/>
        <v>0</v>
      </c>
      <c r="AH1369" s="4">
        <f t="shared" si="685"/>
        <v>0</v>
      </c>
      <c r="AI1369" s="2">
        <v>1168</v>
      </c>
      <c r="AJ1369" s="2">
        <v>39</v>
      </c>
      <c r="AK1369" s="2">
        <v>233</v>
      </c>
      <c r="AL1369" s="2">
        <v>17</v>
      </c>
      <c r="AM1369" s="2">
        <v>14</v>
      </c>
      <c r="AN1369" s="2">
        <v>0</v>
      </c>
      <c r="AO1369" s="2">
        <v>0</v>
      </c>
      <c r="AP1369" s="2">
        <f t="shared" si="693"/>
        <v>1224</v>
      </c>
      <c r="AQ1369" s="2">
        <f t="shared" si="694"/>
        <v>19.8862713241267</v>
      </c>
      <c r="AR1369" s="5">
        <f t="shared" si="690"/>
        <v>37.3861900893582</v>
      </c>
    </row>
    <row r="1370" spans="1:44">
      <c r="A1370" s="2">
        <v>20260422</v>
      </c>
      <c r="B1370" s="2" t="s">
        <v>2783</v>
      </c>
      <c r="C1370" s="2" t="s">
        <v>2784</v>
      </c>
      <c r="D1370" s="2">
        <v>1</v>
      </c>
      <c r="E1370" s="2">
        <v>3</v>
      </c>
      <c r="F1370" s="2">
        <v>0</v>
      </c>
      <c r="G1370" s="2">
        <v>4</v>
      </c>
      <c r="H1370" s="2">
        <v>9</v>
      </c>
      <c r="I1370" s="3">
        <v>12</v>
      </c>
      <c r="J1370" s="2">
        <v>3</v>
      </c>
      <c r="K1370" s="2">
        <v>2</v>
      </c>
      <c r="L1370" s="2">
        <v>0</v>
      </c>
      <c r="M1370" s="2">
        <v>4</v>
      </c>
      <c r="N1370" s="2">
        <v>15</v>
      </c>
      <c r="O1370" s="2">
        <v>0</v>
      </c>
      <c r="P1370" s="3">
        <v>6</v>
      </c>
      <c r="Q1370" s="2">
        <v>2</v>
      </c>
      <c r="R1370" s="2">
        <v>33</v>
      </c>
      <c r="S1370" s="2">
        <v>0</v>
      </c>
      <c r="T1370" s="2">
        <v>5</v>
      </c>
      <c r="U1370" s="2">
        <v>0</v>
      </c>
      <c r="V1370" s="2">
        <f t="shared" ref="V1370:V1379" si="695">U1370+T1370+S1370+Q1370</f>
        <v>7</v>
      </c>
      <c r="W1370" s="2">
        <v>0</v>
      </c>
      <c r="X1370" s="2">
        <v>0</v>
      </c>
      <c r="Y1370" s="2">
        <v>0</v>
      </c>
      <c r="Z1370" s="2">
        <f t="shared" si="680"/>
        <v>0</v>
      </c>
      <c r="AA1370" s="2">
        <f t="shared" si="681"/>
        <v>45</v>
      </c>
      <c r="AB1370" s="2">
        <v>6155</v>
      </c>
      <c r="AC1370" s="20">
        <f t="shared" si="682"/>
        <v>0.731112916328189</v>
      </c>
      <c r="AD1370" s="2" t="s">
        <v>83</v>
      </c>
      <c r="AE1370" s="2">
        <v>100</v>
      </c>
      <c r="AF1370" s="21">
        <f t="shared" si="683"/>
        <v>1.37449228269699</v>
      </c>
      <c r="AG1370" s="4">
        <f t="shared" si="684"/>
        <v>0.113728675873274</v>
      </c>
      <c r="AH1370" s="4">
        <f t="shared" si="685"/>
        <v>0</v>
      </c>
      <c r="AI1370" s="2">
        <v>795</v>
      </c>
      <c r="AJ1370" s="2">
        <v>31</v>
      </c>
      <c r="AK1370" s="2">
        <v>135</v>
      </c>
      <c r="AL1370" s="2">
        <v>10</v>
      </c>
      <c r="AM1370" s="2">
        <v>1</v>
      </c>
      <c r="AN1370" s="2">
        <v>1</v>
      </c>
      <c r="AO1370" s="2">
        <v>0</v>
      </c>
      <c r="AP1370" s="2">
        <f t="shared" si="693"/>
        <v>837</v>
      </c>
      <c r="AQ1370" s="2">
        <f t="shared" si="694"/>
        <v>24.5598591549296</v>
      </c>
      <c r="AR1370" s="5">
        <f t="shared" si="690"/>
        <v>46.1725352112676</v>
      </c>
    </row>
    <row r="1371" spans="1:44">
      <c r="A1371" s="2">
        <v>20260422</v>
      </c>
      <c r="B1371" s="2" t="s">
        <v>2785</v>
      </c>
      <c r="C1371" s="2" t="s">
        <v>2786</v>
      </c>
      <c r="D1371" s="2">
        <v>0</v>
      </c>
      <c r="E1371" s="2">
        <v>1</v>
      </c>
      <c r="F1371" s="2">
        <v>0</v>
      </c>
      <c r="G1371" s="2">
        <v>1</v>
      </c>
      <c r="H1371" s="2">
        <v>8</v>
      </c>
      <c r="I1371" s="3">
        <v>13</v>
      </c>
      <c r="J1371" s="2">
        <v>5</v>
      </c>
      <c r="K1371" s="2">
        <v>0</v>
      </c>
      <c r="L1371" s="2">
        <v>0</v>
      </c>
      <c r="M1371" s="2">
        <v>0</v>
      </c>
      <c r="N1371" s="2">
        <v>11</v>
      </c>
      <c r="O1371" s="2">
        <v>0</v>
      </c>
      <c r="P1371" s="3">
        <v>6</v>
      </c>
      <c r="Q1371" s="2">
        <v>2</v>
      </c>
      <c r="R1371" s="2">
        <v>29</v>
      </c>
      <c r="S1371" s="2">
        <v>0</v>
      </c>
      <c r="T1371" s="2">
        <v>9</v>
      </c>
      <c r="U1371" s="2">
        <v>0</v>
      </c>
      <c r="V1371" s="2">
        <f t="shared" si="695"/>
        <v>11</v>
      </c>
      <c r="W1371" s="2">
        <v>0</v>
      </c>
      <c r="X1371" s="2">
        <v>0</v>
      </c>
      <c r="Y1371" s="2">
        <v>0</v>
      </c>
      <c r="Z1371" s="2">
        <f t="shared" si="680"/>
        <v>0</v>
      </c>
      <c r="AA1371" s="2">
        <f t="shared" si="681"/>
        <v>42</v>
      </c>
      <c r="AB1371" s="2">
        <v>6155</v>
      </c>
      <c r="AC1371" s="20">
        <f t="shared" si="682"/>
        <v>0.682372055239643</v>
      </c>
      <c r="AD1371" s="2" t="s">
        <v>83</v>
      </c>
      <c r="AE1371" s="2">
        <v>100</v>
      </c>
      <c r="AF1371" s="21">
        <f t="shared" si="683"/>
        <v>1.28285946385053</v>
      </c>
      <c r="AG1371" s="4">
        <f t="shared" si="684"/>
        <v>0.178716490658002</v>
      </c>
      <c r="AH1371" s="4">
        <f t="shared" si="685"/>
        <v>0</v>
      </c>
      <c r="AI1371" s="2">
        <v>413</v>
      </c>
      <c r="AJ1371" s="2">
        <v>21</v>
      </c>
      <c r="AK1371" s="2">
        <v>63</v>
      </c>
      <c r="AL1371" s="2">
        <v>7</v>
      </c>
      <c r="AM1371" s="2">
        <v>1</v>
      </c>
      <c r="AN1371" s="2">
        <v>0</v>
      </c>
      <c r="AO1371" s="2">
        <v>0</v>
      </c>
      <c r="AP1371" s="2">
        <f t="shared" si="693"/>
        <v>441</v>
      </c>
      <c r="AQ1371" s="2">
        <f t="shared" si="694"/>
        <v>7.16490658001625</v>
      </c>
      <c r="AR1371" s="5">
        <f t="shared" si="690"/>
        <v>13.4700243704305</v>
      </c>
    </row>
    <row r="1372" spans="1:44">
      <c r="A1372" s="2">
        <v>20260422</v>
      </c>
      <c r="B1372" s="8" t="s">
        <v>2787</v>
      </c>
      <c r="C1372" s="2" t="s">
        <v>2788</v>
      </c>
      <c r="D1372" s="2">
        <v>3</v>
      </c>
      <c r="E1372" s="2">
        <v>0</v>
      </c>
      <c r="F1372" s="2">
        <v>1</v>
      </c>
      <c r="G1372" s="2">
        <v>2</v>
      </c>
      <c r="H1372" s="2">
        <v>5</v>
      </c>
      <c r="I1372" s="3">
        <v>11</v>
      </c>
      <c r="J1372" s="2">
        <v>8</v>
      </c>
      <c r="K1372" s="2">
        <v>4</v>
      </c>
      <c r="L1372" s="2">
        <v>1</v>
      </c>
      <c r="M1372" s="2">
        <v>2</v>
      </c>
      <c r="N1372" s="2">
        <v>27</v>
      </c>
      <c r="O1372" s="2">
        <v>1</v>
      </c>
      <c r="P1372" s="3">
        <v>7</v>
      </c>
      <c r="Q1372" s="2">
        <v>7</v>
      </c>
      <c r="R1372" s="2">
        <v>126</v>
      </c>
      <c r="S1372" s="2">
        <v>5</v>
      </c>
      <c r="T1372" s="2">
        <v>6</v>
      </c>
      <c r="U1372" s="2">
        <v>0</v>
      </c>
      <c r="V1372" s="2">
        <f t="shared" si="695"/>
        <v>18</v>
      </c>
      <c r="W1372" s="2">
        <v>0</v>
      </c>
      <c r="X1372" s="2">
        <v>0</v>
      </c>
      <c r="Y1372" s="2">
        <v>0</v>
      </c>
      <c r="Z1372" s="2">
        <f t="shared" si="680"/>
        <v>0</v>
      </c>
      <c r="AA1372" s="2">
        <f t="shared" si="681"/>
        <v>46</v>
      </c>
      <c r="AB1372" s="2">
        <v>6156</v>
      </c>
      <c r="AC1372" s="20">
        <f t="shared" si="682"/>
        <v>0.747238466536712</v>
      </c>
      <c r="AD1372" s="2" t="s">
        <v>83</v>
      </c>
      <c r="AE1372" s="2">
        <v>100</v>
      </c>
      <c r="AF1372" s="21">
        <f t="shared" si="683"/>
        <v>1.40480831708902</v>
      </c>
      <c r="AG1372" s="4">
        <f t="shared" si="684"/>
        <v>0.292397660818713</v>
      </c>
      <c r="AH1372" s="4">
        <f t="shared" si="685"/>
        <v>0</v>
      </c>
      <c r="AI1372" s="2">
        <v>15682</v>
      </c>
      <c r="AJ1372" s="2">
        <v>558</v>
      </c>
      <c r="AK1372" s="2">
        <v>2288</v>
      </c>
      <c r="AL1372" s="2">
        <v>127</v>
      </c>
      <c r="AM1372" s="2">
        <v>51</v>
      </c>
      <c r="AN1372" s="2">
        <v>1</v>
      </c>
      <c r="AO1372" s="2">
        <v>0</v>
      </c>
      <c r="AP1372" s="2">
        <f t="shared" si="693"/>
        <v>16368</v>
      </c>
      <c r="AQ1372" s="2">
        <f t="shared" si="694"/>
        <v>265.930138099106</v>
      </c>
      <c r="AR1372" s="5">
        <f t="shared" si="690"/>
        <v>499.94865962632</v>
      </c>
    </row>
    <row r="1373" spans="1:44">
      <c r="A1373" s="2">
        <v>20260422</v>
      </c>
      <c r="B1373" s="8" t="s">
        <v>2789</v>
      </c>
      <c r="C1373" s="2" t="s">
        <v>2790</v>
      </c>
      <c r="D1373" s="2">
        <v>0</v>
      </c>
      <c r="E1373" s="2">
        <v>1</v>
      </c>
      <c r="F1373" s="2">
        <v>0</v>
      </c>
      <c r="G1373" s="2">
        <v>0</v>
      </c>
      <c r="H1373" s="2">
        <v>3</v>
      </c>
      <c r="I1373" s="3">
        <v>12</v>
      </c>
      <c r="J1373" s="2">
        <v>1</v>
      </c>
      <c r="K1373" s="2">
        <v>1</v>
      </c>
      <c r="L1373" s="2">
        <v>0</v>
      </c>
      <c r="M1373" s="2">
        <v>5</v>
      </c>
      <c r="N1373" s="2">
        <v>8</v>
      </c>
      <c r="O1373" s="2">
        <v>0</v>
      </c>
      <c r="P1373" s="3">
        <v>6</v>
      </c>
      <c r="Q1373" s="2">
        <v>1</v>
      </c>
      <c r="R1373" s="2">
        <v>115</v>
      </c>
      <c r="S1373" s="2">
        <v>0</v>
      </c>
      <c r="T1373" s="2">
        <v>7</v>
      </c>
      <c r="U1373" s="2">
        <v>0</v>
      </c>
      <c r="V1373" s="2">
        <f t="shared" si="695"/>
        <v>8</v>
      </c>
      <c r="W1373" s="2">
        <v>0</v>
      </c>
      <c r="X1373" s="2">
        <v>1</v>
      </c>
      <c r="Y1373" s="2">
        <v>0</v>
      </c>
      <c r="Z1373" s="2">
        <f t="shared" si="680"/>
        <v>1</v>
      </c>
      <c r="AA1373" s="2">
        <f t="shared" si="681"/>
        <v>35</v>
      </c>
      <c r="AB1373" s="2">
        <v>5371</v>
      </c>
      <c r="AC1373" s="20">
        <f t="shared" si="682"/>
        <v>0.651647737851424</v>
      </c>
      <c r="AD1373" s="2" t="s">
        <v>83</v>
      </c>
      <c r="AE1373" s="2">
        <v>100</v>
      </c>
      <c r="AF1373" s="21">
        <f t="shared" si="683"/>
        <v>1.22509774716068</v>
      </c>
      <c r="AG1373" s="4">
        <f t="shared" si="684"/>
        <v>0.14894805436604</v>
      </c>
      <c r="AH1373" s="4">
        <f t="shared" si="685"/>
        <v>0.018618506795755</v>
      </c>
      <c r="AI1373" s="2">
        <v>14258</v>
      </c>
      <c r="AJ1373" s="2">
        <v>480</v>
      </c>
      <c r="AK1373" s="2">
        <v>1792</v>
      </c>
      <c r="AL1373" s="2">
        <v>113</v>
      </c>
      <c r="AM1373" s="2">
        <v>117</v>
      </c>
      <c r="AN1373" s="2">
        <v>0</v>
      </c>
      <c r="AO1373" s="2">
        <v>0</v>
      </c>
      <c r="AP1373" s="2">
        <f t="shared" si="693"/>
        <v>14851</v>
      </c>
      <c r="AQ1373" s="2">
        <f t="shared" si="694"/>
        <v>241.244314489929</v>
      </c>
      <c r="AR1373" s="5">
        <f t="shared" si="690"/>
        <v>453.539311241066</v>
      </c>
    </row>
    <row r="1374" spans="1:44">
      <c r="A1374" s="2">
        <v>20260422</v>
      </c>
      <c r="B1374" s="8" t="s">
        <v>2791</v>
      </c>
      <c r="C1374" s="2" t="s">
        <v>2792</v>
      </c>
      <c r="D1374" s="2">
        <v>0</v>
      </c>
      <c r="E1374" s="2">
        <v>0</v>
      </c>
      <c r="F1374" s="2">
        <v>0</v>
      </c>
      <c r="G1374" s="2">
        <v>2</v>
      </c>
      <c r="H1374" s="2">
        <v>10</v>
      </c>
      <c r="I1374" s="3">
        <v>5</v>
      </c>
      <c r="J1374" s="2">
        <v>0</v>
      </c>
      <c r="K1374" s="2">
        <v>2</v>
      </c>
      <c r="L1374" s="2">
        <v>0</v>
      </c>
      <c r="M1374" s="2">
        <v>3</v>
      </c>
      <c r="N1374" s="2">
        <v>4</v>
      </c>
      <c r="O1374" s="2">
        <v>0</v>
      </c>
      <c r="P1374" s="3">
        <v>2</v>
      </c>
      <c r="Q1374" s="2">
        <v>0</v>
      </c>
      <c r="R1374" s="2">
        <v>80</v>
      </c>
      <c r="S1374" s="2">
        <v>1</v>
      </c>
      <c r="T1374" s="2">
        <v>5</v>
      </c>
      <c r="U1374" s="2">
        <v>0</v>
      </c>
      <c r="V1374" s="2">
        <f t="shared" si="695"/>
        <v>6</v>
      </c>
      <c r="W1374" s="2">
        <v>0</v>
      </c>
      <c r="X1374" s="2">
        <v>1</v>
      </c>
      <c r="Y1374" s="2">
        <v>0</v>
      </c>
      <c r="Z1374" s="2">
        <f t="shared" si="680"/>
        <v>1</v>
      </c>
      <c r="AA1374" s="2">
        <f t="shared" si="681"/>
        <v>29</v>
      </c>
      <c r="AB1374" s="2">
        <v>3109</v>
      </c>
      <c r="AC1374" s="20">
        <f t="shared" si="682"/>
        <v>0.93277581215825</v>
      </c>
      <c r="AD1374" s="2" t="s">
        <v>83</v>
      </c>
      <c r="AE1374" s="2">
        <v>100</v>
      </c>
      <c r="AF1374" s="21">
        <f t="shared" si="683"/>
        <v>1.75361852685751</v>
      </c>
      <c r="AG1374" s="4">
        <f t="shared" si="684"/>
        <v>0.192988099067224</v>
      </c>
      <c r="AH1374" s="4">
        <f t="shared" si="685"/>
        <v>0.0321646831778707</v>
      </c>
      <c r="AI1374" s="2">
        <v>9887</v>
      </c>
      <c r="AJ1374" s="2">
        <v>287</v>
      </c>
      <c r="AK1374" s="2">
        <v>1146</v>
      </c>
      <c r="AL1374" s="2">
        <v>88</v>
      </c>
      <c r="AM1374" s="2">
        <v>27</v>
      </c>
      <c r="AN1374" s="2">
        <v>0</v>
      </c>
      <c r="AO1374" s="2">
        <v>0</v>
      </c>
      <c r="AP1374" s="2">
        <f t="shared" ref="AP1374:AP1384" si="696">AI1374+AJ1374+AL1374+AN1374</f>
        <v>10262</v>
      </c>
      <c r="AQ1374" s="2">
        <f t="shared" ref="AQ1374:AQ1384" si="697">AP1374/AB1373*100</f>
        <v>191.063116738038</v>
      </c>
      <c r="AR1374" s="5">
        <f t="shared" ref="AR1374:AR1384" si="698">AQ1374*1.88</f>
        <v>359.198659467511</v>
      </c>
    </row>
    <row r="1375" spans="1:44">
      <c r="A1375" s="2">
        <v>20260423</v>
      </c>
      <c r="B1375" s="8" t="s">
        <v>2793</v>
      </c>
      <c r="C1375" s="2" t="s">
        <v>2794</v>
      </c>
      <c r="D1375" s="2">
        <v>0</v>
      </c>
      <c r="E1375" s="2">
        <v>1</v>
      </c>
      <c r="F1375" s="2">
        <v>1</v>
      </c>
      <c r="G1375" s="2">
        <v>0</v>
      </c>
      <c r="H1375" s="2">
        <v>3</v>
      </c>
      <c r="I1375" s="3">
        <v>19</v>
      </c>
      <c r="J1375" s="2">
        <v>2</v>
      </c>
      <c r="K1375" s="2">
        <v>0</v>
      </c>
      <c r="L1375" s="2">
        <v>0</v>
      </c>
      <c r="M1375" s="2">
        <v>1</v>
      </c>
      <c r="N1375" s="2">
        <v>8</v>
      </c>
      <c r="O1375" s="2">
        <v>0</v>
      </c>
      <c r="P1375" s="3">
        <v>6</v>
      </c>
      <c r="Q1375" s="2">
        <v>2</v>
      </c>
      <c r="R1375" s="2">
        <v>12</v>
      </c>
      <c r="S1375" s="2">
        <v>0</v>
      </c>
      <c r="T1375" s="2">
        <v>5</v>
      </c>
      <c r="U1375" s="2">
        <v>0</v>
      </c>
      <c r="V1375" s="2">
        <f t="shared" si="695"/>
        <v>7</v>
      </c>
      <c r="W1375" s="2">
        <v>2</v>
      </c>
      <c r="X1375" s="2">
        <v>12</v>
      </c>
      <c r="Y1375" s="2">
        <v>0</v>
      </c>
      <c r="Z1375" s="2">
        <f t="shared" ref="Z1375:Z1389" si="699">Y1375+X1375+W1375+U1375</f>
        <v>14</v>
      </c>
      <c r="AA1375" s="2">
        <f t="shared" ref="AA1375:AA1389" si="700">G1375+H1375+I1375+J1375+K1375+L1375+M1375+P1375+T1375+U1375</f>
        <v>36</v>
      </c>
      <c r="AB1375" s="2">
        <v>3278</v>
      </c>
      <c r="AC1375" s="20">
        <f t="shared" ref="AC1375:AC1389" si="701">AA1375/AB1375*100</f>
        <v>1.09823062843197</v>
      </c>
      <c r="AD1375" s="2" t="s">
        <v>83</v>
      </c>
      <c r="AE1375" s="2">
        <v>100</v>
      </c>
      <c r="AF1375" s="21">
        <f t="shared" ref="AF1375:AF1389" si="702">188/AE1375*AC1375</f>
        <v>2.0646735814521</v>
      </c>
      <c r="AG1375" s="4">
        <f t="shared" ref="AG1375:AG1389" si="703">V1375/AB1375*100</f>
        <v>0.213544844417328</v>
      </c>
      <c r="AH1375" s="4">
        <f t="shared" ref="AH1375:AH1389" si="704">Z1375/AB1375*100</f>
        <v>0.427089688834655</v>
      </c>
      <c r="AI1375" s="2">
        <v>19161</v>
      </c>
      <c r="AJ1375" s="2">
        <v>417</v>
      </c>
      <c r="AK1375" s="2">
        <v>1237</v>
      </c>
      <c r="AL1375" s="2">
        <v>133</v>
      </c>
      <c r="AM1375" s="2">
        <v>115</v>
      </c>
      <c r="AN1375" s="2">
        <v>1</v>
      </c>
      <c r="AO1375" s="2">
        <v>0</v>
      </c>
      <c r="AP1375" s="2">
        <f t="shared" si="696"/>
        <v>19712</v>
      </c>
      <c r="AQ1375" s="2">
        <f t="shared" si="697"/>
        <v>634.030234802187</v>
      </c>
      <c r="AR1375" s="5">
        <f t="shared" si="698"/>
        <v>1191.97684142811</v>
      </c>
    </row>
    <row r="1376" spans="1:44">
      <c r="A1376" s="2">
        <v>20260423</v>
      </c>
      <c r="B1376" s="2" t="s">
        <v>2795</v>
      </c>
      <c r="C1376" s="2" t="s">
        <v>2796</v>
      </c>
      <c r="D1376" s="2">
        <v>0</v>
      </c>
      <c r="E1376" s="2">
        <v>7</v>
      </c>
      <c r="F1376" s="2">
        <v>2</v>
      </c>
      <c r="G1376" s="2">
        <v>2</v>
      </c>
      <c r="H1376" s="2">
        <v>7</v>
      </c>
      <c r="I1376" s="3">
        <v>15</v>
      </c>
      <c r="J1376" s="2">
        <v>12</v>
      </c>
      <c r="K1376" s="2">
        <v>4</v>
      </c>
      <c r="L1376" s="2">
        <v>0</v>
      </c>
      <c r="M1376" s="2">
        <v>8</v>
      </c>
      <c r="N1376" s="2">
        <v>16</v>
      </c>
      <c r="O1376" s="2">
        <v>1</v>
      </c>
      <c r="P1376" s="3">
        <v>4</v>
      </c>
      <c r="Q1376" s="2">
        <v>1</v>
      </c>
      <c r="R1376" s="2">
        <v>48</v>
      </c>
      <c r="S1376" s="2">
        <v>1</v>
      </c>
      <c r="T1376" s="2">
        <v>11</v>
      </c>
      <c r="U1376" s="2">
        <v>1</v>
      </c>
      <c r="V1376" s="2">
        <f t="shared" si="695"/>
        <v>14</v>
      </c>
      <c r="W1376" s="2">
        <v>1</v>
      </c>
      <c r="X1376" s="2">
        <v>7</v>
      </c>
      <c r="Y1376" s="2">
        <v>0</v>
      </c>
      <c r="Z1376" s="2">
        <f t="shared" si="699"/>
        <v>9</v>
      </c>
      <c r="AA1376" s="2">
        <f t="shared" si="700"/>
        <v>64</v>
      </c>
      <c r="AB1376" s="2">
        <v>6206</v>
      </c>
      <c r="AC1376" s="20">
        <f t="shared" si="701"/>
        <v>1.03126007089913</v>
      </c>
      <c r="AD1376" s="2" t="s">
        <v>83</v>
      </c>
      <c r="AE1376" s="2">
        <v>100</v>
      </c>
      <c r="AF1376" s="21">
        <f t="shared" si="702"/>
        <v>1.93876893329036</v>
      </c>
      <c r="AG1376" s="4">
        <f t="shared" si="703"/>
        <v>0.225588140509185</v>
      </c>
      <c r="AH1376" s="4">
        <f t="shared" si="704"/>
        <v>0.14502094747019</v>
      </c>
      <c r="AO1376" s="2">
        <v>0</v>
      </c>
      <c r="AP1376" s="2">
        <f t="shared" si="696"/>
        <v>0</v>
      </c>
      <c r="AQ1376" s="2">
        <f t="shared" si="697"/>
        <v>0</v>
      </c>
      <c r="AR1376" s="5">
        <f t="shared" si="698"/>
        <v>0</v>
      </c>
    </row>
    <row r="1377" spans="1:44">
      <c r="A1377" s="2">
        <v>20260423</v>
      </c>
      <c r="B1377" s="2" t="s">
        <v>2797</v>
      </c>
      <c r="C1377" s="2" t="s">
        <v>2798</v>
      </c>
      <c r="D1377" s="2">
        <v>0</v>
      </c>
      <c r="E1377" s="2">
        <v>1</v>
      </c>
      <c r="F1377" s="2">
        <v>15</v>
      </c>
      <c r="G1377" s="2">
        <v>4</v>
      </c>
      <c r="H1377" s="2">
        <v>12</v>
      </c>
      <c r="I1377" s="3">
        <v>23</v>
      </c>
      <c r="J1377" s="2">
        <v>13</v>
      </c>
      <c r="K1377" s="2">
        <v>3</v>
      </c>
      <c r="L1377" s="2">
        <v>2</v>
      </c>
      <c r="M1377" s="2">
        <v>9</v>
      </c>
      <c r="N1377" s="2">
        <v>14</v>
      </c>
      <c r="O1377" s="2">
        <v>15</v>
      </c>
      <c r="P1377" s="3">
        <v>9</v>
      </c>
      <c r="Q1377" s="2">
        <v>10</v>
      </c>
      <c r="R1377" s="2">
        <v>95</v>
      </c>
      <c r="S1377" s="2">
        <v>1</v>
      </c>
      <c r="T1377" s="2">
        <v>13</v>
      </c>
      <c r="U1377" s="2">
        <v>0</v>
      </c>
      <c r="V1377" s="2">
        <f t="shared" si="695"/>
        <v>24</v>
      </c>
      <c r="W1377" s="2">
        <v>5</v>
      </c>
      <c r="X1377" s="2">
        <v>14</v>
      </c>
      <c r="Y1377" s="2">
        <v>0</v>
      </c>
      <c r="Z1377" s="2">
        <f t="shared" si="699"/>
        <v>19</v>
      </c>
      <c r="AA1377" s="2">
        <f t="shared" si="700"/>
        <v>88</v>
      </c>
      <c r="AB1377" s="2">
        <v>6626</v>
      </c>
      <c r="AC1377" s="20">
        <f t="shared" si="701"/>
        <v>1.32810141865379</v>
      </c>
      <c r="AD1377" s="2" t="s">
        <v>83</v>
      </c>
      <c r="AE1377" s="2">
        <v>100</v>
      </c>
      <c r="AF1377" s="21">
        <f t="shared" si="702"/>
        <v>2.49683066706912</v>
      </c>
      <c r="AG1377" s="4">
        <f t="shared" si="703"/>
        <v>0.36220947781467</v>
      </c>
      <c r="AH1377" s="4">
        <f t="shared" si="704"/>
        <v>0.286749169936613</v>
      </c>
      <c r="AI1377" s="2">
        <v>33679</v>
      </c>
      <c r="AJ1377" s="2">
        <v>717</v>
      </c>
      <c r="AK1377" s="2">
        <v>2750</v>
      </c>
      <c r="AL1377" s="2">
        <v>225</v>
      </c>
      <c r="AM1377" s="2">
        <v>155</v>
      </c>
      <c r="AN1377" s="2">
        <v>7</v>
      </c>
      <c r="AO1377" s="2">
        <v>0</v>
      </c>
      <c r="AP1377" s="2">
        <f t="shared" si="696"/>
        <v>34628</v>
      </c>
      <c r="AQ1377" s="2">
        <f t="shared" si="697"/>
        <v>557.97615211086</v>
      </c>
      <c r="AR1377" s="5">
        <f t="shared" si="698"/>
        <v>1048.99516596842</v>
      </c>
    </row>
    <row r="1378" spans="1:44">
      <c r="A1378" s="2">
        <v>20260423</v>
      </c>
      <c r="B1378" s="2" t="s">
        <v>2799</v>
      </c>
      <c r="C1378" s="2" t="s">
        <v>2800</v>
      </c>
      <c r="D1378" s="2">
        <v>2</v>
      </c>
      <c r="E1378" s="2">
        <v>0</v>
      </c>
      <c r="F1378" s="2">
        <v>2</v>
      </c>
      <c r="G1378" s="2">
        <v>3</v>
      </c>
      <c r="H1378" s="2">
        <v>16</v>
      </c>
      <c r="I1378" s="3">
        <v>17</v>
      </c>
      <c r="J1378" s="2">
        <v>2</v>
      </c>
      <c r="K1378" s="2">
        <v>1</v>
      </c>
      <c r="L1378" s="2">
        <v>0</v>
      </c>
      <c r="M1378" s="2">
        <v>4</v>
      </c>
      <c r="N1378" s="2">
        <v>8</v>
      </c>
      <c r="O1378" s="2">
        <v>0</v>
      </c>
      <c r="P1378" s="3">
        <v>8</v>
      </c>
      <c r="Q1378" s="2">
        <v>0</v>
      </c>
      <c r="R1378" s="2">
        <v>147</v>
      </c>
      <c r="S1378" s="2">
        <v>1</v>
      </c>
      <c r="T1378" s="2">
        <v>17</v>
      </c>
      <c r="U1378" s="2">
        <v>0</v>
      </c>
      <c r="V1378" s="2">
        <f t="shared" si="695"/>
        <v>18</v>
      </c>
      <c r="W1378" s="2">
        <v>5</v>
      </c>
      <c r="X1378" s="2">
        <v>8</v>
      </c>
      <c r="Y1378" s="2">
        <v>0</v>
      </c>
      <c r="Z1378" s="2">
        <f t="shared" si="699"/>
        <v>13</v>
      </c>
      <c r="AA1378" s="2">
        <f t="shared" si="700"/>
        <v>68</v>
      </c>
      <c r="AB1378" s="2">
        <v>6325</v>
      </c>
      <c r="AC1378" s="20">
        <f t="shared" si="701"/>
        <v>1.07509881422925</v>
      </c>
      <c r="AD1378" s="2" t="s">
        <v>83</v>
      </c>
      <c r="AE1378" s="2">
        <v>100</v>
      </c>
      <c r="AF1378" s="21">
        <f t="shared" si="702"/>
        <v>2.02118577075099</v>
      </c>
      <c r="AG1378" s="4">
        <f t="shared" si="703"/>
        <v>0.284584980237154</v>
      </c>
      <c r="AH1378" s="4">
        <f t="shared" si="704"/>
        <v>0.205533596837945</v>
      </c>
      <c r="AI1378" s="2">
        <v>25894</v>
      </c>
      <c r="AJ1378" s="2">
        <v>666</v>
      </c>
      <c r="AK1378" s="2">
        <v>2643</v>
      </c>
      <c r="AL1378" s="2">
        <v>182</v>
      </c>
      <c r="AM1378" s="2">
        <v>81</v>
      </c>
      <c r="AN1378" s="2">
        <v>0</v>
      </c>
      <c r="AO1378" s="2">
        <v>0</v>
      </c>
      <c r="AP1378" s="2">
        <f t="shared" si="696"/>
        <v>26742</v>
      </c>
      <c r="AQ1378" s="2">
        <f t="shared" si="697"/>
        <v>403.591910654995</v>
      </c>
      <c r="AR1378" s="5">
        <f t="shared" si="698"/>
        <v>758.752792031391</v>
      </c>
    </row>
    <row r="1379" spans="1:44">
      <c r="A1379" s="2">
        <v>20260423</v>
      </c>
      <c r="B1379" s="2" t="s">
        <v>2801</v>
      </c>
      <c r="C1379" s="2" t="s">
        <v>2802</v>
      </c>
      <c r="D1379" s="2">
        <v>57</v>
      </c>
      <c r="E1379" s="2">
        <v>138</v>
      </c>
      <c r="F1379" s="2">
        <v>9</v>
      </c>
      <c r="G1379" s="2">
        <v>1</v>
      </c>
      <c r="H1379" s="2">
        <v>4</v>
      </c>
      <c r="I1379" s="3">
        <v>61</v>
      </c>
      <c r="J1379" s="2">
        <v>7</v>
      </c>
      <c r="K1379" s="2">
        <v>0</v>
      </c>
      <c r="L1379" s="2">
        <v>0</v>
      </c>
      <c r="M1379" s="2">
        <v>3</v>
      </c>
      <c r="N1379" s="2">
        <v>13</v>
      </c>
      <c r="O1379" s="2">
        <v>34</v>
      </c>
      <c r="P1379" s="3">
        <v>4</v>
      </c>
      <c r="Q1379" s="2">
        <v>14</v>
      </c>
      <c r="R1379" s="2">
        <v>338</v>
      </c>
      <c r="S1379" s="2">
        <v>0</v>
      </c>
      <c r="T1379" s="2">
        <v>65</v>
      </c>
      <c r="U1379" s="2">
        <v>0</v>
      </c>
      <c r="V1379" s="2">
        <f t="shared" si="695"/>
        <v>79</v>
      </c>
      <c r="W1379" s="2">
        <v>10</v>
      </c>
      <c r="X1379" s="2">
        <v>4</v>
      </c>
      <c r="Y1379" s="2">
        <v>0</v>
      </c>
      <c r="Z1379" s="2">
        <f t="shared" si="699"/>
        <v>14</v>
      </c>
      <c r="AA1379" s="2">
        <f t="shared" si="700"/>
        <v>145</v>
      </c>
      <c r="AB1379" s="2">
        <v>3109</v>
      </c>
      <c r="AC1379" s="20">
        <f t="shared" si="701"/>
        <v>4.66387906079125</v>
      </c>
      <c r="AD1379" s="2" t="s">
        <v>83</v>
      </c>
      <c r="AE1379" s="2">
        <v>100</v>
      </c>
      <c r="AF1379" s="21">
        <f t="shared" si="702"/>
        <v>8.76809263428755</v>
      </c>
      <c r="AG1379" s="4">
        <f t="shared" si="703"/>
        <v>2.54100997105178</v>
      </c>
      <c r="AH1379" s="4">
        <f t="shared" si="704"/>
        <v>0.45030556449019</v>
      </c>
      <c r="AI1379" s="2">
        <v>8748</v>
      </c>
      <c r="AJ1379" s="2">
        <v>293</v>
      </c>
      <c r="AK1379" s="2">
        <v>1344</v>
      </c>
      <c r="AL1379" s="2">
        <v>81</v>
      </c>
      <c r="AM1379" s="2">
        <v>40</v>
      </c>
      <c r="AN1379" s="2">
        <v>2</v>
      </c>
      <c r="AO1379" s="2">
        <v>0</v>
      </c>
      <c r="AP1379" s="2">
        <f t="shared" si="696"/>
        <v>9124</v>
      </c>
      <c r="AQ1379" s="2">
        <f t="shared" si="697"/>
        <v>144.252964426877</v>
      </c>
      <c r="AR1379" s="5">
        <f t="shared" si="698"/>
        <v>271.19557312253</v>
      </c>
    </row>
    <row r="1380" spans="1:44">
      <c r="A1380" s="2">
        <v>20260423</v>
      </c>
      <c r="B1380" s="2" t="s">
        <v>2803</v>
      </c>
      <c r="C1380" s="2" t="s">
        <v>2804</v>
      </c>
      <c r="D1380" s="2">
        <v>2</v>
      </c>
      <c r="E1380" s="2">
        <v>103</v>
      </c>
      <c r="F1380" s="2">
        <v>2</v>
      </c>
      <c r="G1380" s="2">
        <v>2</v>
      </c>
      <c r="H1380" s="2">
        <v>13</v>
      </c>
      <c r="I1380" s="3">
        <v>25</v>
      </c>
      <c r="J1380" s="2">
        <v>19</v>
      </c>
      <c r="K1380" s="2">
        <v>2</v>
      </c>
      <c r="L1380" s="2">
        <v>0</v>
      </c>
      <c r="M1380" s="2">
        <v>5</v>
      </c>
      <c r="N1380" s="2">
        <v>14</v>
      </c>
      <c r="O1380" s="2">
        <v>0</v>
      </c>
      <c r="P1380" s="3">
        <v>0</v>
      </c>
      <c r="Q1380" s="2">
        <v>0</v>
      </c>
      <c r="R1380" s="2">
        <v>524</v>
      </c>
      <c r="S1380" s="2">
        <v>1</v>
      </c>
      <c r="T1380" s="2">
        <v>14</v>
      </c>
      <c r="U1380" s="2">
        <v>0</v>
      </c>
      <c r="V1380" s="2">
        <f t="shared" ref="V1375:V1390" si="705">U1380+T1380+S1380+Q1380</f>
        <v>15</v>
      </c>
      <c r="W1380" s="2">
        <v>5</v>
      </c>
      <c r="X1380" s="2">
        <v>3</v>
      </c>
      <c r="Y1380" s="2">
        <v>0</v>
      </c>
      <c r="Z1380" s="2">
        <f t="shared" si="699"/>
        <v>8</v>
      </c>
      <c r="AA1380" s="2">
        <f t="shared" si="700"/>
        <v>80</v>
      </c>
      <c r="AB1380" s="2">
        <v>3509</v>
      </c>
      <c r="AC1380" s="20">
        <f t="shared" si="701"/>
        <v>2.27985180963237</v>
      </c>
      <c r="AD1380" s="2" t="s">
        <v>83</v>
      </c>
      <c r="AE1380" s="2">
        <v>100</v>
      </c>
      <c r="AF1380" s="21">
        <f t="shared" si="702"/>
        <v>4.28612140210886</v>
      </c>
      <c r="AG1380" s="4">
        <f t="shared" si="703"/>
        <v>0.42747221430607</v>
      </c>
      <c r="AH1380" s="4">
        <f t="shared" si="704"/>
        <v>0.227985180963237</v>
      </c>
      <c r="AI1380" s="2">
        <v>7780</v>
      </c>
      <c r="AJ1380" s="2">
        <v>407</v>
      </c>
      <c r="AK1380" s="2">
        <v>1547</v>
      </c>
      <c r="AL1380" s="2">
        <v>1494</v>
      </c>
      <c r="AM1380" s="2">
        <v>39</v>
      </c>
      <c r="AN1380" s="2">
        <v>2</v>
      </c>
      <c r="AO1380" s="2">
        <v>0</v>
      </c>
      <c r="AP1380" s="2">
        <f t="shared" si="696"/>
        <v>9683</v>
      </c>
      <c r="AQ1380" s="2">
        <f t="shared" si="697"/>
        <v>311.450627211322</v>
      </c>
      <c r="AR1380" s="5">
        <f t="shared" si="698"/>
        <v>585.527179157285</v>
      </c>
    </row>
    <row r="1381" spans="1:44">
      <c r="A1381" s="2">
        <v>20260423</v>
      </c>
      <c r="B1381" s="2" t="s">
        <v>2805</v>
      </c>
      <c r="C1381" s="2" t="s">
        <v>2806</v>
      </c>
      <c r="D1381" s="2">
        <v>0</v>
      </c>
      <c r="E1381" s="2">
        <v>0</v>
      </c>
      <c r="F1381" s="2">
        <v>1</v>
      </c>
      <c r="G1381" s="2">
        <v>0</v>
      </c>
      <c r="H1381" s="2">
        <v>1</v>
      </c>
      <c r="I1381" s="3">
        <v>14</v>
      </c>
      <c r="J1381" s="2">
        <v>2</v>
      </c>
      <c r="K1381" s="2">
        <v>0</v>
      </c>
      <c r="L1381" s="2">
        <v>0</v>
      </c>
      <c r="M1381" s="2">
        <v>0</v>
      </c>
      <c r="N1381" s="2">
        <v>2</v>
      </c>
      <c r="O1381" s="2">
        <v>0</v>
      </c>
      <c r="P1381" s="3">
        <v>1</v>
      </c>
      <c r="Q1381" s="2">
        <v>0</v>
      </c>
      <c r="R1381" s="2">
        <v>20</v>
      </c>
      <c r="S1381" s="2">
        <v>0</v>
      </c>
      <c r="T1381" s="2">
        <v>1</v>
      </c>
      <c r="U1381" s="2">
        <v>0</v>
      </c>
      <c r="V1381" s="2">
        <f t="shared" si="705"/>
        <v>1</v>
      </c>
      <c r="W1381" s="2">
        <v>0</v>
      </c>
      <c r="X1381" s="2">
        <v>12</v>
      </c>
      <c r="Y1381" s="2">
        <v>0</v>
      </c>
      <c r="Z1381" s="2">
        <f t="shared" si="699"/>
        <v>12</v>
      </c>
      <c r="AA1381" s="2">
        <f t="shared" si="700"/>
        <v>19</v>
      </c>
      <c r="AB1381" s="2">
        <v>3109</v>
      </c>
      <c r="AC1381" s="20">
        <f t="shared" si="701"/>
        <v>0.611128980379543</v>
      </c>
      <c r="AD1381" s="2" t="s">
        <v>83</v>
      </c>
      <c r="AE1381" s="2">
        <v>100</v>
      </c>
      <c r="AF1381" s="21">
        <f t="shared" si="702"/>
        <v>1.14892248311354</v>
      </c>
      <c r="AG1381" s="4">
        <f t="shared" si="703"/>
        <v>0.0321646831778707</v>
      </c>
      <c r="AH1381" s="4">
        <f t="shared" si="704"/>
        <v>0.385976198134448</v>
      </c>
      <c r="AI1381" s="2">
        <v>6221</v>
      </c>
      <c r="AJ1381" s="2">
        <v>246</v>
      </c>
      <c r="AK1381" s="2">
        <v>1123</v>
      </c>
      <c r="AL1381" s="2">
        <v>116</v>
      </c>
      <c r="AM1381" s="2">
        <v>43</v>
      </c>
      <c r="AN1381" s="2">
        <v>0</v>
      </c>
      <c r="AO1381" s="2">
        <v>0</v>
      </c>
      <c r="AP1381" s="2">
        <f t="shared" si="696"/>
        <v>6583</v>
      </c>
      <c r="AQ1381" s="2">
        <f t="shared" si="697"/>
        <v>187.603305785124</v>
      </c>
      <c r="AR1381" s="5">
        <f t="shared" si="698"/>
        <v>352.694214876033</v>
      </c>
    </row>
    <row r="1382" spans="1:44">
      <c r="A1382" s="2">
        <v>20260423</v>
      </c>
      <c r="B1382" s="2" t="s">
        <v>2807</v>
      </c>
      <c r="C1382" s="2" t="s">
        <v>2808</v>
      </c>
      <c r="D1382" s="2">
        <v>2</v>
      </c>
      <c r="E1382" s="2">
        <v>2</v>
      </c>
      <c r="F1382" s="2">
        <v>7</v>
      </c>
      <c r="G1382" s="2">
        <v>1</v>
      </c>
      <c r="H1382" s="2">
        <v>4</v>
      </c>
      <c r="I1382" s="3">
        <v>14</v>
      </c>
      <c r="J1382" s="2">
        <v>4</v>
      </c>
      <c r="K1382" s="2">
        <v>4</v>
      </c>
      <c r="L1382" s="2">
        <v>0</v>
      </c>
      <c r="M1382" s="2">
        <v>2</v>
      </c>
      <c r="N1382" s="2">
        <v>6</v>
      </c>
      <c r="O1382" s="2">
        <v>19</v>
      </c>
      <c r="P1382" s="3">
        <v>2</v>
      </c>
      <c r="Q1382" s="2">
        <v>2</v>
      </c>
      <c r="R1382" s="2">
        <v>1</v>
      </c>
      <c r="S1382" s="2">
        <v>2</v>
      </c>
      <c r="T1382" s="2">
        <v>1</v>
      </c>
      <c r="U1382" s="2">
        <v>1</v>
      </c>
      <c r="V1382" s="2">
        <f t="shared" si="705"/>
        <v>6</v>
      </c>
      <c r="W1382" s="2">
        <v>3</v>
      </c>
      <c r="X1382" s="2">
        <v>9</v>
      </c>
      <c r="Y1382" s="2">
        <v>0</v>
      </c>
      <c r="Z1382" s="2">
        <f t="shared" si="699"/>
        <v>13</v>
      </c>
      <c r="AA1382" s="2">
        <f t="shared" si="700"/>
        <v>33</v>
      </c>
      <c r="AB1382" s="2">
        <v>3386</v>
      </c>
      <c r="AC1382" s="20">
        <f t="shared" si="701"/>
        <v>0.974601299468399</v>
      </c>
      <c r="AD1382" s="2" t="s">
        <v>49</v>
      </c>
      <c r="AE1382" s="2">
        <v>125</v>
      </c>
      <c r="AF1382" s="21">
        <f t="shared" si="702"/>
        <v>1.46580035440047</v>
      </c>
      <c r="AG1382" s="4">
        <f t="shared" si="703"/>
        <v>0.177200236266982</v>
      </c>
      <c r="AH1382" s="4">
        <f t="shared" si="704"/>
        <v>0.383933845245127</v>
      </c>
      <c r="AI1382" s="2">
        <v>4258</v>
      </c>
      <c r="AJ1382" s="2">
        <v>228</v>
      </c>
      <c r="AK1382" s="2">
        <v>1059</v>
      </c>
      <c r="AL1382" s="2">
        <v>139</v>
      </c>
      <c r="AM1382" s="2">
        <v>48</v>
      </c>
      <c r="AN1382" s="2">
        <v>1</v>
      </c>
      <c r="AO1382" s="2">
        <v>0</v>
      </c>
      <c r="AP1382" s="2">
        <f t="shared" si="696"/>
        <v>4626</v>
      </c>
      <c r="AQ1382" s="2">
        <f t="shared" si="697"/>
        <v>148.79382438083</v>
      </c>
      <c r="AR1382" s="5">
        <f t="shared" si="698"/>
        <v>279.73238983596</v>
      </c>
    </row>
    <row r="1383" spans="1:44">
      <c r="A1383" s="2">
        <v>20260423</v>
      </c>
      <c r="B1383" s="2" t="s">
        <v>2809</v>
      </c>
      <c r="C1383" s="2" t="s">
        <v>2810</v>
      </c>
      <c r="D1383" s="2">
        <v>0</v>
      </c>
      <c r="E1383" s="2">
        <v>0</v>
      </c>
      <c r="F1383" s="2">
        <v>2</v>
      </c>
      <c r="G1383" s="2">
        <v>2</v>
      </c>
      <c r="H1383" s="2">
        <v>4</v>
      </c>
      <c r="I1383" s="3">
        <v>7</v>
      </c>
      <c r="J1383" s="2">
        <v>2</v>
      </c>
      <c r="K1383" s="2">
        <v>1</v>
      </c>
      <c r="L1383" s="2">
        <v>0</v>
      </c>
      <c r="M1383" s="2">
        <v>6</v>
      </c>
      <c r="N1383" s="2">
        <v>1</v>
      </c>
      <c r="O1383" s="2">
        <v>2</v>
      </c>
      <c r="P1383" s="3">
        <v>0</v>
      </c>
      <c r="Q1383" s="2">
        <v>4</v>
      </c>
      <c r="R1383" s="2">
        <v>2</v>
      </c>
      <c r="S1383" s="2">
        <v>2</v>
      </c>
      <c r="T1383" s="2">
        <v>1</v>
      </c>
      <c r="U1383" s="2">
        <v>0</v>
      </c>
      <c r="V1383" s="2">
        <f t="shared" si="705"/>
        <v>7</v>
      </c>
      <c r="W1383" s="2">
        <v>3</v>
      </c>
      <c r="X1383" s="2">
        <v>3</v>
      </c>
      <c r="Y1383" s="2">
        <v>0</v>
      </c>
      <c r="Z1383" s="2">
        <f t="shared" si="699"/>
        <v>6</v>
      </c>
      <c r="AA1383" s="2">
        <f t="shared" si="700"/>
        <v>23</v>
      </c>
      <c r="AB1383" s="2">
        <v>3206</v>
      </c>
      <c r="AC1383" s="20">
        <f t="shared" si="701"/>
        <v>0.717404865876482</v>
      </c>
      <c r="AD1383" s="2" t="s">
        <v>49</v>
      </c>
      <c r="AE1383" s="2">
        <v>125</v>
      </c>
      <c r="AF1383" s="21">
        <f t="shared" si="702"/>
        <v>1.07897691827823</v>
      </c>
      <c r="AG1383" s="4">
        <f t="shared" si="703"/>
        <v>0.218340611353712</v>
      </c>
      <c r="AH1383" s="4">
        <f t="shared" si="704"/>
        <v>0.187149095446039</v>
      </c>
      <c r="AI1383" s="2">
        <v>4043</v>
      </c>
      <c r="AJ1383" s="2">
        <v>178</v>
      </c>
      <c r="AK1383" s="2">
        <v>1314</v>
      </c>
      <c r="AL1383" s="2">
        <v>56</v>
      </c>
      <c r="AM1383" s="2">
        <v>28</v>
      </c>
      <c r="AN1383" s="2">
        <v>2</v>
      </c>
      <c r="AO1383" s="2">
        <v>0</v>
      </c>
      <c r="AP1383" s="2">
        <f t="shared" si="696"/>
        <v>4279</v>
      </c>
      <c r="AQ1383" s="2">
        <f t="shared" si="697"/>
        <v>126.373301831069</v>
      </c>
      <c r="AR1383" s="5">
        <f t="shared" si="698"/>
        <v>237.58180744241</v>
      </c>
    </row>
    <row r="1384" spans="1:44">
      <c r="A1384" s="2">
        <v>20260423</v>
      </c>
      <c r="B1384" s="2" t="s">
        <v>2811</v>
      </c>
      <c r="C1384" s="2" t="s">
        <v>2812</v>
      </c>
      <c r="D1384" s="2">
        <v>0</v>
      </c>
      <c r="E1384" s="2">
        <v>1</v>
      </c>
      <c r="F1384" s="2">
        <v>0</v>
      </c>
      <c r="G1384" s="2">
        <v>0</v>
      </c>
      <c r="H1384" s="2">
        <v>5</v>
      </c>
      <c r="I1384" s="3">
        <v>5</v>
      </c>
      <c r="J1384" s="2">
        <v>3</v>
      </c>
      <c r="K1384" s="2">
        <v>0</v>
      </c>
      <c r="L1384" s="2">
        <v>0</v>
      </c>
      <c r="M1384" s="2">
        <v>2</v>
      </c>
      <c r="N1384" s="2">
        <v>4</v>
      </c>
      <c r="O1384" s="2">
        <v>1</v>
      </c>
      <c r="P1384" s="3">
        <v>1</v>
      </c>
      <c r="Q1384" s="2">
        <v>1</v>
      </c>
      <c r="R1384" s="2">
        <v>3</v>
      </c>
      <c r="S1384" s="2">
        <v>0</v>
      </c>
      <c r="T1384" s="2">
        <v>1</v>
      </c>
      <c r="U1384" s="2">
        <v>0</v>
      </c>
      <c r="V1384" s="2">
        <f t="shared" si="705"/>
        <v>2</v>
      </c>
      <c r="W1384" s="2">
        <v>4</v>
      </c>
      <c r="X1384" s="2">
        <v>4</v>
      </c>
      <c r="Y1384" s="2">
        <v>0</v>
      </c>
      <c r="Z1384" s="2">
        <f t="shared" si="699"/>
        <v>8</v>
      </c>
      <c r="AA1384" s="2">
        <f t="shared" si="700"/>
        <v>17</v>
      </c>
      <c r="AB1384" s="2">
        <v>3206</v>
      </c>
      <c r="AC1384" s="20">
        <f t="shared" si="701"/>
        <v>0.530255770430443</v>
      </c>
      <c r="AD1384" s="2" t="s">
        <v>49</v>
      </c>
      <c r="AE1384" s="2">
        <v>125</v>
      </c>
      <c r="AF1384" s="21">
        <f t="shared" si="702"/>
        <v>0.797504678727386</v>
      </c>
      <c r="AG1384" s="4">
        <f t="shared" si="703"/>
        <v>0.0623830318153462</v>
      </c>
      <c r="AH1384" s="4">
        <f t="shared" si="704"/>
        <v>0.249532127261385</v>
      </c>
      <c r="AI1384" s="2">
        <v>4466</v>
      </c>
      <c r="AJ1384" s="2">
        <v>193</v>
      </c>
      <c r="AK1384" s="2">
        <v>1565</v>
      </c>
      <c r="AL1384" s="2">
        <v>23</v>
      </c>
      <c r="AM1384" s="2">
        <v>21</v>
      </c>
      <c r="AN1384" s="2">
        <v>1</v>
      </c>
      <c r="AO1384" s="2">
        <v>0</v>
      </c>
      <c r="AP1384" s="2">
        <f t="shared" si="696"/>
        <v>4683</v>
      </c>
      <c r="AQ1384" s="2">
        <f t="shared" si="697"/>
        <v>146.069868995633</v>
      </c>
      <c r="AR1384" s="5">
        <f t="shared" si="698"/>
        <v>274.61135371179</v>
      </c>
    </row>
    <row r="1385" spans="1:44">
      <c r="A1385" s="2">
        <v>20260424</v>
      </c>
      <c r="B1385" s="2" t="s">
        <v>2813</v>
      </c>
      <c r="C1385" s="2" t="s">
        <v>2814</v>
      </c>
      <c r="D1385" s="2">
        <v>1</v>
      </c>
      <c r="E1385" s="2">
        <v>9</v>
      </c>
      <c r="F1385" s="2">
        <v>2</v>
      </c>
      <c r="G1385" s="2">
        <v>4</v>
      </c>
      <c r="H1385" s="2">
        <v>8</v>
      </c>
      <c r="I1385" s="3">
        <v>48</v>
      </c>
      <c r="J1385" s="2">
        <v>7</v>
      </c>
      <c r="K1385" s="2">
        <v>4</v>
      </c>
      <c r="L1385" s="2">
        <v>0</v>
      </c>
      <c r="M1385" s="2">
        <v>3</v>
      </c>
      <c r="N1385" s="2">
        <v>13</v>
      </c>
      <c r="O1385" s="2">
        <v>13</v>
      </c>
      <c r="P1385" s="3">
        <v>3</v>
      </c>
      <c r="Q1385" s="2">
        <v>6</v>
      </c>
      <c r="R1385" s="2">
        <v>59</v>
      </c>
      <c r="S1385" s="2">
        <v>0</v>
      </c>
      <c r="T1385" s="2">
        <v>4</v>
      </c>
      <c r="U1385" s="2">
        <v>0</v>
      </c>
      <c r="V1385" s="2">
        <f t="shared" si="705"/>
        <v>10</v>
      </c>
      <c r="W1385" s="2">
        <v>3</v>
      </c>
      <c r="X1385" s="2">
        <v>9</v>
      </c>
      <c r="Y1385" s="2">
        <v>1</v>
      </c>
      <c r="Z1385" s="2">
        <f t="shared" si="699"/>
        <v>13</v>
      </c>
      <c r="AA1385" s="2">
        <f t="shared" si="700"/>
        <v>81</v>
      </c>
      <c r="AB1385" s="2">
        <v>3408</v>
      </c>
      <c r="AC1385" s="20">
        <f t="shared" si="701"/>
        <v>2.37676056338028</v>
      </c>
      <c r="AD1385" s="2" t="s">
        <v>58</v>
      </c>
      <c r="AE1385" s="2">
        <v>125</v>
      </c>
      <c r="AF1385" s="21">
        <f t="shared" si="702"/>
        <v>3.57464788732394</v>
      </c>
      <c r="AG1385" s="4">
        <f t="shared" si="703"/>
        <v>0.293427230046948</v>
      </c>
      <c r="AH1385" s="4">
        <f t="shared" si="704"/>
        <v>0.381455399061033</v>
      </c>
      <c r="AI1385" s="2">
        <v>8387</v>
      </c>
      <c r="AJ1385" s="2">
        <v>744</v>
      </c>
      <c r="AK1385" s="2">
        <v>1499</v>
      </c>
      <c r="AL1385" s="2">
        <v>375</v>
      </c>
      <c r="AM1385" s="2">
        <v>168</v>
      </c>
      <c r="AN1385" s="2">
        <v>4</v>
      </c>
      <c r="AO1385" s="2">
        <v>0</v>
      </c>
      <c r="AP1385" s="2">
        <f t="shared" ref="AP1385:AP1401" si="706">AI1385+AJ1385+AL1385+AN1385</f>
        <v>9510</v>
      </c>
      <c r="AQ1385" s="2">
        <f t="shared" ref="AQ1385:AQ1401" si="707">AP1385/AB1384*100</f>
        <v>296.631316281971</v>
      </c>
      <c r="AR1385" s="5">
        <f t="shared" ref="AR1385:AR1401" si="708">AQ1385*1.88</f>
        <v>557.666874610106</v>
      </c>
    </row>
    <row r="1386" spans="1:44">
      <c r="A1386" s="2">
        <v>20260424</v>
      </c>
      <c r="B1386" s="2" t="s">
        <v>2815</v>
      </c>
      <c r="C1386" s="2" t="s">
        <v>2816</v>
      </c>
      <c r="D1386" s="2">
        <v>0</v>
      </c>
      <c r="E1386" s="2">
        <v>3</v>
      </c>
      <c r="F1386" s="2">
        <v>0</v>
      </c>
      <c r="G1386" s="2">
        <v>3</v>
      </c>
      <c r="H1386" s="2">
        <v>1</v>
      </c>
      <c r="I1386" s="3">
        <v>16</v>
      </c>
      <c r="J1386" s="2">
        <v>14</v>
      </c>
      <c r="K1386" s="2">
        <v>1</v>
      </c>
      <c r="L1386" s="2">
        <v>1</v>
      </c>
      <c r="M1386" s="2">
        <v>2</v>
      </c>
      <c r="N1386" s="2">
        <v>18</v>
      </c>
      <c r="O1386" s="2">
        <v>1</v>
      </c>
      <c r="P1386" s="3">
        <v>2</v>
      </c>
      <c r="Q1386" s="2">
        <v>4</v>
      </c>
      <c r="R1386" s="2">
        <v>2</v>
      </c>
      <c r="S1386" s="2">
        <v>6</v>
      </c>
      <c r="T1386" s="2">
        <v>3</v>
      </c>
      <c r="U1386" s="2">
        <v>0</v>
      </c>
      <c r="V1386" s="2">
        <f t="shared" si="705"/>
        <v>13</v>
      </c>
      <c r="W1386" s="2">
        <v>7</v>
      </c>
      <c r="X1386" s="2">
        <v>12</v>
      </c>
      <c r="Y1386" s="2">
        <v>0</v>
      </c>
      <c r="Z1386" s="2">
        <f t="shared" si="699"/>
        <v>19</v>
      </c>
      <c r="AA1386" s="2">
        <f t="shared" si="700"/>
        <v>43</v>
      </c>
      <c r="AB1386" s="2">
        <v>4165</v>
      </c>
      <c r="AC1386" s="20">
        <f t="shared" si="701"/>
        <v>1.03241296518607</v>
      </c>
      <c r="AD1386" s="2" t="s">
        <v>58</v>
      </c>
      <c r="AE1386" s="2">
        <v>125</v>
      </c>
      <c r="AF1386" s="21">
        <f t="shared" si="702"/>
        <v>1.55274909963986</v>
      </c>
      <c r="AG1386" s="4">
        <f t="shared" si="703"/>
        <v>0.312124849939976</v>
      </c>
      <c r="AH1386" s="4">
        <f t="shared" si="704"/>
        <v>0.456182472989196</v>
      </c>
      <c r="AI1386" s="2">
        <v>8374</v>
      </c>
      <c r="AJ1386" s="2">
        <v>224</v>
      </c>
      <c r="AK1386" s="2">
        <v>1804</v>
      </c>
      <c r="AL1386" s="2">
        <v>36</v>
      </c>
      <c r="AM1386" s="2">
        <v>38</v>
      </c>
      <c r="AN1386" s="2">
        <v>1</v>
      </c>
      <c r="AO1386" s="2">
        <v>0</v>
      </c>
      <c r="AP1386" s="2">
        <f t="shared" si="706"/>
        <v>8635</v>
      </c>
      <c r="AQ1386" s="2">
        <f t="shared" si="707"/>
        <v>253.37441314554</v>
      </c>
      <c r="AR1386" s="5">
        <f t="shared" si="708"/>
        <v>476.343896713615</v>
      </c>
    </row>
    <row r="1387" spans="1:44">
      <c r="A1387" s="2">
        <v>20260424</v>
      </c>
      <c r="B1387" s="2" t="s">
        <v>2817</v>
      </c>
      <c r="C1387" s="2" t="s">
        <v>2818</v>
      </c>
      <c r="D1387" s="2">
        <v>0</v>
      </c>
      <c r="E1387" s="2">
        <v>2</v>
      </c>
      <c r="F1387" s="2">
        <v>0</v>
      </c>
      <c r="G1387" s="2">
        <v>0</v>
      </c>
      <c r="H1387" s="2">
        <v>2</v>
      </c>
      <c r="I1387" s="3">
        <v>2</v>
      </c>
      <c r="J1387" s="2">
        <v>4</v>
      </c>
      <c r="K1387" s="2">
        <v>1</v>
      </c>
      <c r="L1387" s="2">
        <v>0</v>
      </c>
      <c r="M1387" s="2">
        <v>0</v>
      </c>
      <c r="N1387" s="2">
        <v>4</v>
      </c>
      <c r="O1387" s="2">
        <v>0</v>
      </c>
      <c r="P1387" s="3">
        <v>1</v>
      </c>
      <c r="Q1387" s="2">
        <v>4</v>
      </c>
      <c r="R1387" s="2">
        <v>2</v>
      </c>
      <c r="S1387" s="2">
        <v>0</v>
      </c>
      <c r="T1387" s="2">
        <v>1</v>
      </c>
      <c r="U1387" s="2">
        <v>0</v>
      </c>
      <c r="V1387" s="2">
        <f t="shared" si="705"/>
        <v>5</v>
      </c>
      <c r="W1387" s="2">
        <v>2</v>
      </c>
      <c r="X1387" s="2">
        <v>1</v>
      </c>
      <c r="Y1387" s="2">
        <v>1</v>
      </c>
      <c r="Z1387" s="2">
        <f t="shared" si="699"/>
        <v>4</v>
      </c>
      <c r="AA1387" s="2">
        <f t="shared" si="700"/>
        <v>11</v>
      </c>
      <c r="AB1387" s="2">
        <v>2108</v>
      </c>
      <c r="AC1387" s="20">
        <f t="shared" si="701"/>
        <v>0.521821631878558</v>
      </c>
      <c r="AD1387" s="2" t="s">
        <v>58</v>
      </c>
      <c r="AE1387" s="2">
        <v>125</v>
      </c>
      <c r="AF1387" s="21">
        <f t="shared" si="702"/>
        <v>0.784819734345351</v>
      </c>
      <c r="AG1387" s="4">
        <f t="shared" si="703"/>
        <v>0.23719165085389</v>
      </c>
      <c r="AH1387" s="4">
        <f t="shared" si="704"/>
        <v>0.189753320683112</v>
      </c>
      <c r="AI1387" s="2">
        <v>2607</v>
      </c>
      <c r="AJ1387" s="2">
        <v>106</v>
      </c>
      <c r="AK1387" s="2">
        <v>878</v>
      </c>
      <c r="AL1387" s="2">
        <v>31</v>
      </c>
      <c r="AM1387" s="2">
        <v>24</v>
      </c>
      <c r="AN1387" s="2">
        <v>2</v>
      </c>
      <c r="AO1387" s="2">
        <v>0</v>
      </c>
      <c r="AP1387" s="2">
        <f t="shared" si="706"/>
        <v>2746</v>
      </c>
      <c r="AQ1387" s="2">
        <f t="shared" si="707"/>
        <v>65.9303721488595</v>
      </c>
      <c r="AR1387" s="5">
        <f t="shared" si="708"/>
        <v>123.949099639856</v>
      </c>
    </row>
    <row r="1388" spans="1:44">
      <c r="A1388" s="2">
        <v>20260424</v>
      </c>
      <c r="B1388" s="37" t="s">
        <v>117</v>
      </c>
      <c r="C1388" s="2" t="s">
        <v>2819</v>
      </c>
      <c r="D1388" s="2">
        <v>2</v>
      </c>
      <c r="E1388" s="2">
        <v>416</v>
      </c>
      <c r="F1388" s="2">
        <v>2</v>
      </c>
      <c r="G1388" s="2">
        <v>2</v>
      </c>
      <c r="H1388" s="2">
        <v>1</v>
      </c>
      <c r="I1388" s="3">
        <v>10</v>
      </c>
      <c r="J1388" s="2">
        <v>8</v>
      </c>
      <c r="K1388" s="2">
        <v>1</v>
      </c>
      <c r="L1388" s="2">
        <v>0</v>
      </c>
      <c r="M1388" s="2">
        <v>1</v>
      </c>
      <c r="N1388" s="2">
        <v>1</v>
      </c>
      <c r="O1388" s="2">
        <v>3</v>
      </c>
      <c r="P1388" s="3">
        <v>1</v>
      </c>
      <c r="Q1388" s="2">
        <v>1</v>
      </c>
      <c r="R1388" s="2">
        <v>76</v>
      </c>
      <c r="S1388" s="2">
        <v>0</v>
      </c>
      <c r="T1388" s="2">
        <v>1</v>
      </c>
      <c r="U1388" s="2">
        <v>0</v>
      </c>
      <c r="V1388" s="2">
        <f t="shared" si="705"/>
        <v>2</v>
      </c>
      <c r="W1388" s="2">
        <v>1</v>
      </c>
      <c r="X1388" s="2">
        <v>9</v>
      </c>
      <c r="Y1388" s="2">
        <v>0</v>
      </c>
      <c r="Z1388" s="2">
        <f t="shared" si="699"/>
        <v>10</v>
      </c>
      <c r="AA1388" s="2">
        <f t="shared" si="700"/>
        <v>25</v>
      </c>
      <c r="AB1388" s="2">
        <v>1667</v>
      </c>
      <c r="AC1388" s="20">
        <f t="shared" si="701"/>
        <v>1.499700059988</v>
      </c>
      <c r="AD1388" s="2" t="s">
        <v>340</v>
      </c>
      <c r="AE1388" s="2">
        <v>188</v>
      </c>
      <c r="AF1388" s="21">
        <f t="shared" si="702"/>
        <v>1.499700059988</v>
      </c>
      <c r="AG1388" s="4">
        <f t="shared" si="703"/>
        <v>0.11997600479904</v>
      </c>
      <c r="AH1388" s="4">
        <f t="shared" si="704"/>
        <v>0.599880023995201</v>
      </c>
      <c r="AI1388" s="2">
        <v>1596</v>
      </c>
      <c r="AJ1388" s="2">
        <v>154</v>
      </c>
      <c r="AK1388" s="2">
        <v>222</v>
      </c>
      <c r="AL1388" s="2">
        <v>174</v>
      </c>
      <c r="AM1388" s="2">
        <v>72</v>
      </c>
      <c r="AN1388" s="2">
        <v>0</v>
      </c>
      <c r="AO1388" s="2">
        <v>0</v>
      </c>
      <c r="AP1388" s="2">
        <f t="shared" si="706"/>
        <v>1924</v>
      </c>
      <c r="AQ1388" s="2">
        <f t="shared" si="707"/>
        <v>91.2713472485768</v>
      </c>
      <c r="AR1388" s="5">
        <f t="shared" si="708"/>
        <v>171.590132827324</v>
      </c>
    </row>
    <row r="1389" spans="1:44">
      <c r="A1389" s="2">
        <v>20260424</v>
      </c>
      <c r="B1389" s="37" t="s">
        <v>2820</v>
      </c>
      <c r="C1389" s="2" t="s">
        <v>2821</v>
      </c>
      <c r="D1389" s="2">
        <v>0</v>
      </c>
      <c r="E1389" s="2">
        <v>2</v>
      </c>
      <c r="F1389" s="2">
        <v>0</v>
      </c>
      <c r="G1389" s="2">
        <v>0</v>
      </c>
      <c r="H1389" s="2">
        <v>2</v>
      </c>
      <c r="I1389" s="3">
        <v>2</v>
      </c>
      <c r="J1389" s="2">
        <v>1</v>
      </c>
      <c r="K1389" s="2">
        <v>0</v>
      </c>
      <c r="L1389" s="2">
        <v>0</v>
      </c>
      <c r="M1389" s="2">
        <v>0</v>
      </c>
      <c r="N1389" s="2">
        <v>0</v>
      </c>
      <c r="O1389" s="2">
        <v>1</v>
      </c>
      <c r="P1389" s="3">
        <v>3</v>
      </c>
      <c r="Q1389" s="2">
        <v>0</v>
      </c>
      <c r="R1389" s="2">
        <v>14</v>
      </c>
      <c r="S1389" s="2">
        <v>0</v>
      </c>
      <c r="T1389" s="2">
        <v>0</v>
      </c>
      <c r="U1389" s="2">
        <v>0</v>
      </c>
      <c r="V1389" s="2">
        <f t="shared" si="705"/>
        <v>0</v>
      </c>
      <c r="W1389" s="2">
        <v>2</v>
      </c>
      <c r="X1389" s="2">
        <v>2</v>
      </c>
      <c r="Y1389" s="2">
        <v>0</v>
      </c>
      <c r="Z1389" s="2">
        <f t="shared" si="699"/>
        <v>4</v>
      </c>
      <c r="AA1389" s="2">
        <f t="shared" si="700"/>
        <v>8</v>
      </c>
      <c r="AB1389" s="2">
        <v>1667</v>
      </c>
      <c r="AC1389" s="20">
        <f t="shared" si="701"/>
        <v>0.479904019196161</v>
      </c>
      <c r="AD1389" s="2" t="s">
        <v>340</v>
      </c>
      <c r="AE1389" s="2">
        <v>188</v>
      </c>
      <c r="AF1389" s="21">
        <f t="shared" si="702"/>
        <v>0.479904019196161</v>
      </c>
      <c r="AG1389" s="4">
        <f t="shared" si="703"/>
        <v>0</v>
      </c>
      <c r="AH1389" s="4">
        <f t="shared" si="704"/>
        <v>0.23995200959808</v>
      </c>
      <c r="AI1389" s="2">
        <v>1277</v>
      </c>
      <c r="AJ1389" s="2">
        <v>84</v>
      </c>
      <c r="AK1389" s="2">
        <v>268</v>
      </c>
      <c r="AL1389" s="2">
        <v>6</v>
      </c>
      <c r="AM1389" s="2">
        <v>10</v>
      </c>
      <c r="AN1389" s="2">
        <v>0</v>
      </c>
      <c r="AO1389" s="2">
        <v>0</v>
      </c>
      <c r="AP1389" s="2">
        <f t="shared" si="706"/>
        <v>1367</v>
      </c>
      <c r="AQ1389" s="2">
        <f t="shared" si="707"/>
        <v>82.003599280144</v>
      </c>
      <c r="AR1389" s="5">
        <f t="shared" si="708"/>
        <v>154.166766646671</v>
      </c>
    </row>
    <row r="1390" spans="1:44">
      <c r="A1390" s="2">
        <v>20260424</v>
      </c>
      <c r="B1390" s="2" t="s">
        <v>2822</v>
      </c>
      <c r="C1390" s="2" t="s">
        <v>2823</v>
      </c>
      <c r="D1390" s="2">
        <v>0</v>
      </c>
      <c r="E1390" s="2">
        <v>0</v>
      </c>
      <c r="F1390" s="2">
        <v>0</v>
      </c>
      <c r="G1390" s="2">
        <v>0</v>
      </c>
      <c r="H1390" s="2">
        <v>4</v>
      </c>
      <c r="I1390" s="3">
        <v>4</v>
      </c>
      <c r="J1390" s="2">
        <v>2</v>
      </c>
      <c r="K1390" s="2">
        <v>0</v>
      </c>
      <c r="L1390" s="2">
        <v>0</v>
      </c>
      <c r="M1390" s="2">
        <v>3</v>
      </c>
      <c r="N1390" s="2">
        <v>1</v>
      </c>
      <c r="O1390" s="2">
        <v>0</v>
      </c>
      <c r="P1390" s="3">
        <v>1</v>
      </c>
      <c r="Q1390" s="2">
        <v>0</v>
      </c>
      <c r="R1390" s="2">
        <v>3</v>
      </c>
      <c r="S1390" s="2">
        <v>0</v>
      </c>
      <c r="T1390" s="2">
        <v>0</v>
      </c>
      <c r="U1390" s="2">
        <v>0</v>
      </c>
      <c r="V1390" s="2">
        <f t="shared" si="705"/>
        <v>0</v>
      </c>
      <c r="W1390" s="2">
        <v>3</v>
      </c>
      <c r="X1390" s="2">
        <v>5</v>
      </c>
      <c r="Y1390" s="2">
        <v>0</v>
      </c>
      <c r="Z1390" s="2">
        <f t="shared" ref="Z1390:Z1421" si="709">Y1390+X1390+W1390+U1390</f>
        <v>8</v>
      </c>
      <c r="AA1390" s="2">
        <f t="shared" ref="AA1390:AA1421" si="710">G1390+H1390+I1390+J1390+K1390+L1390+M1390+P1390+T1390+U1390</f>
        <v>14</v>
      </c>
      <c r="AB1390" s="2">
        <v>1668</v>
      </c>
      <c r="AC1390" s="20">
        <f t="shared" ref="AC1390:AC1421" si="711">AA1390/AB1390*100</f>
        <v>0.839328537170264</v>
      </c>
      <c r="AD1390" s="2" t="s">
        <v>340</v>
      </c>
      <c r="AE1390" s="2">
        <v>188</v>
      </c>
      <c r="AF1390" s="21">
        <f t="shared" ref="AF1390:AF1421" si="712">188/AE1390*AC1390</f>
        <v>0.839328537170264</v>
      </c>
      <c r="AG1390" s="4">
        <f t="shared" ref="AG1390:AG1421" si="713">V1390/AB1390*100</f>
        <v>0</v>
      </c>
      <c r="AH1390" s="4">
        <f t="shared" ref="AH1390:AH1421" si="714">Z1390/AB1390*100</f>
        <v>0.479616306954436</v>
      </c>
      <c r="AI1390" s="2">
        <v>1297</v>
      </c>
      <c r="AJ1390" s="2">
        <v>79</v>
      </c>
      <c r="AK1390" s="2">
        <v>354</v>
      </c>
      <c r="AL1390" s="2">
        <v>18</v>
      </c>
      <c r="AM1390" s="2">
        <v>7</v>
      </c>
      <c r="AN1390" s="2">
        <v>0</v>
      </c>
      <c r="AO1390" s="2">
        <v>0</v>
      </c>
      <c r="AP1390" s="2">
        <f t="shared" si="706"/>
        <v>1394</v>
      </c>
      <c r="AQ1390" s="2">
        <f t="shared" si="707"/>
        <v>83.623275344931</v>
      </c>
      <c r="AR1390" s="5">
        <f t="shared" si="708"/>
        <v>157.21175764847</v>
      </c>
    </row>
    <row r="1391" spans="1:44">
      <c r="A1391" s="2">
        <v>20260424</v>
      </c>
      <c r="B1391" s="2" t="s">
        <v>2824</v>
      </c>
      <c r="C1391" s="2" t="s">
        <v>2825</v>
      </c>
      <c r="D1391" s="2">
        <v>0</v>
      </c>
      <c r="E1391" s="2">
        <v>2685</v>
      </c>
      <c r="F1391" s="2">
        <v>3</v>
      </c>
      <c r="G1391" s="2">
        <v>5</v>
      </c>
      <c r="H1391" s="2">
        <v>16</v>
      </c>
      <c r="I1391" s="3">
        <v>10</v>
      </c>
      <c r="J1391" s="2">
        <v>42</v>
      </c>
      <c r="K1391" s="2">
        <v>1</v>
      </c>
      <c r="L1391" s="2">
        <v>0</v>
      </c>
      <c r="M1391" s="2">
        <v>4</v>
      </c>
      <c r="N1391" s="2">
        <v>3</v>
      </c>
      <c r="O1391" s="2">
        <v>2</v>
      </c>
      <c r="P1391" s="3">
        <v>9</v>
      </c>
      <c r="Q1391" s="2">
        <v>1</v>
      </c>
      <c r="R1391" s="2">
        <v>21</v>
      </c>
      <c r="S1391" s="2">
        <v>3</v>
      </c>
      <c r="T1391" s="2">
        <v>38</v>
      </c>
      <c r="U1391" s="2">
        <v>0</v>
      </c>
      <c r="V1391" s="2">
        <f t="shared" ref="V1390:V1421" si="715">U1391+T1391+S1391+Q1391</f>
        <v>42</v>
      </c>
      <c r="W1391" s="2">
        <v>3</v>
      </c>
      <c r="X1391" s="2">
        <v>8</v>
      </c>
      <c r="Y1391" s="2">
        <v>0</v>
      </c>
      <c r="Z1391" s="2">
        <f t="shared" si="709"/>
        <v>11</v>
      </c>
      <c r="AA1391" s="2">
        <f t="shared" si="710"/>
        <v>125</v>
      </c>
      <c r="AB1391" s="2">
        <v>3306</v>
      </c>
      <c r="AC1391" s="20">
        <f t="shared" si="711"/>
        <v>3.78100423472474</v>
      </c>
      <c r="AD1391" s="2" t="s">
        <v>340</v>
      </c>
      <c r="AE1391" s="2">
        <v>188</v>
      </c>
      <c r="AF1391" s="21">
        <f t="shared" si="712"/>
        <v>3.78100423472474</v>
      </c>
      <c r="AG1391" s="4">
        <f t="shared" si="713"/>
        <v>1.27041742286751</v>
      </c>
      <c r="AH1391" s="4">
        <f t="shared" si="714"/>
        <v>0.332728372655777</v>
      </c>
      <c r="AI1391" s="2">
        <v>2513</v>
      </c>
      <c r="AJ1391" s="2">
        <v>197</v>
      </c>
      <c r="AK1391" s="2">
        <v>527</v>
      </c>
      <c r="AL1391" s="2">
        <v>53</v>
      </c>
      <c r="AM1391" s="2">
        <v>9</v>
      </c>
      <c r="AN1391" s="2">
        <v>0</v>
      </c>
      <c r="AO1391" s="2">
        <v>0</v>
      </c>
      <c r="AP1391" s="2">
        <f t="shared" si="706"/>
        <v>2763</v>
      </c>
      <c r="AQ1391" s="2">
        <f t="shared" si="707"/>
        <v>165.647482014388</v>
      </c>
      <c r="AR1391" s="5">
        <f t="shared" si="708"/>
        <v>311.41726618705</v>
      </c>
    </row>
    <row r="1392" spans="1:44">
      <c r="A1392" s="2">
        <v>20260424</v>
      </c>
      <c r="B1392" s="2" t="s">
        <v>2826</v>
      </c>
      <c r="C1392" s="2" t="s">
        <v>2827</v>
      </c>
      <c r="D1392" s="2">
        <v>13</v>
      </c>
      <c r="E1392" s="2">
        <v>2331</v>
      </c>
      <c r="F1392" s="2">
        <v>1</v>
      </c>
      <c r="G1392" s="2">
        <v>11</v>
      </c>
      <c r="H1392" s="2">
        <v>227</v>
      </c>
      <c r="I1392" s="3">
        <v>36</v>
      </c>
      <c r="J1392" s="2">
        <v>129</v>
      </c>
      <c r="K1392" s="2">
        <v>3</v>
      </c>
      <c r="L1392" s="2">
        <v>0</v>
      </c>
      <c r="M1392" s="2">
        <v>3</v>
      </c>
      <c r="N1392" s="2">
        <v>64</v>
      </c>
      <c r="O1392" s="2">
        <v>5</v>
      </c>
      <c r="P1392" s="3">
        <v>3</v>
      </c>
      <c r="Q1392" s="2">
        <v>26</v>
      </c>
      <c r="R1392" s="2">
        <v>36</v>
      </c>
      <c r="S1392" s="2">
        <v>3</v>
      </c>
      <c r="T1392" s="2">
        <v>316</v>
      </c>
      <c r="U1392" s="2">
        <v>3</v>
      </c>
      <c r="V1392" s="2">
        <f t="shared" si="715"/>
        <v>348</v>
      </c>
      <c r="W1392" s="2">
        <v>3</v>
      </c>
      <c r="X1392" s="2">
        <v>5</v>
      </c>
      <c r="Y1392" s="2">
        <v>0</v>
      </c>
      <c r="Z1392" s="2">
        <f t="shared" si="709"/>
        <v>11</v>
      </c>
      <c r="AA1392" s="2">
        <f t="shared" si="710"/>
        <v>731</v>
      </c>
      <c r="AB1392" s="2">
        <v>1878</v>
      </c>
      <c r="AC1392" s="20">
        <f t="shared" si="711"/>
        <v>38.9243876464324</v>
      </c>
      <c r="AD1392" s="2" t="s">
        <v>257</v>
      </c>
      <c r="AE1392" s="2">
        <v>188</v>
      </c>
      <c r="AF1392" s="21">
        <f t="shared" si="712"/>
        <v>38.9243876464324</v>
      </c>
      <c r="AG1392" s="4">
        <f t="shared" si="713"/>
        <v>18.5303514376997</v>
      </c>
      <c r="AH1392" s="4">
        <f t="shared" si="714"/>
        <v>0.585729499467519</v>
      </c>
      <c r="AI1392" s="2">
        <v>3102</v>
      </c>
      <c r="AJ1392" s="2">
        <v>699</v>
      </c>
      <c r="AK1392" s="2">
        <v>110</v>
      </c>
      <c r="AL1392" s="2">
        <v>81</v>
      </c>
      <c r="AM1392" s="2">
        <v>64</v>
      </c>
      <c r="AN1392" s="2">
        <v>4</v>
      </c>
      <c r="AO1392" s="2">
        <v>0</v>
      </c>
      <c r="AP1392" s="2">
        <f t="shared" si="706"/>
        <v>3886</v>
      </c>
      <c r="AQ1392" s="2">
        <f t="shared" si="707"/>
        <v>117.543859649123</v>
      </c>
      <c r="AR1392" s="5">
        <f t="shared" si="708"/>
        <v>220.982456140351</v>
      </c>
    </row>
    <row r="1393" spans="1:44">
      <c r="A1393" s="2">
        <v>20260424</v>
      </c>
      <c r="B1393" s="2" t="s">
        <v>2828</v>
      </c>
      <c r="C1393" s="2" t="s">
        <v>2829</v>
      </c>
      <c r="D1393" s="2">
        <v>3</v>
      </c>
      <c r="E1393" s="2">
        <v>7</v>
      </c>
      <c r="F1393" s="2">
        <v>2</v>
      </c>
      <c r="G1393" s="2">
        <v>1</v>
      </c>
      <c r="H1393" s="2">
        <v>4</v>
      </c>
      <c r="I1393" s="3">
        <v>0</v>
      </c>
      <c r="J1393" s="2">
        <v>0</v>
      </c>
      <c r="K1393" s="2">
        <v>1</v>
      </c>
      <c r="L1393" s="2">
        <v>0</v>
      </c>
      <c r="M1393" s="2">
        <v>6</v>
      </c>
      <c r="N1393" s="2">
        <v>4</v>
      </c>
      <c r="O1393" s="2">
        <v>0</v>
      </c>
      <c r="P1393" s="3">
        <v>3</v>
      </c>
      <c r="Q1393" s="2">
        <v>1</v>
      </c>
      <c r="R1393" s="2">
        <v>3</v>
      </c>
      <c r="S1393" s="2">
        <v>0</v>
      </c>
      <c r="T1393" s="2">
        <v>0</v>
      </c>
      <c r="U1393" s="2">
        <v>0</v>
      </c>
      <c r="V1393" s="2">
        <f t="shared" si="715"/>
        <v>1</v>
      </c>
      <c r="W1393" s="2">
        <v>3</v>
      </c>
      <c r="X1393" s="2">
        <v>1</v>
      </c>
      <c r="Y1393" s="2">
        <v>0</v>
      </c>
      <c r="Z1393" s="2">
        <f t="shared" si="709"/>
        <v>4</v>
      </c>
      <c r="AA1393" s="2">
        <f t="shared" si="710"/>
        <v>15</v>
      </c>
      <c r="AB1393" s="2">
        <v>3306</v>
      </c>
      <c r="AC1393" s="20">
        <f t="shared" si="711"/>
        <v>0.453720508166969</v>
      </c>
      <c r="AD1393" s="2" t="s">
        <v>257</v>
      </c>
      <c r="AE1393" s="2">
        <v>188</v>
      </c>
      <c r="AF1393" s="21">
        <f t="shared" si="712"/>
        <v>0.453720508166969</v>
      </c>
      <c r="AG1393" s="4">
        <f t="shared" si="713"/>
        <v>0.0302480338777979</v>
      </c>
      <c r="AH1393" s="4">
        <f t="shared" si="714"/>
        <v>0.120992135511192</v>
      </c>
      <c r="AI1393" s="2">
        <v>3415</v>
      </c>
      <c r="AJ1393" s="2">
        <v>1094</v>
      </c>
      <c r="AK1393" s="2">
        <v>302</v>
      </c>
      <c r="AL1393" s="2">
        <v>68</v>
      </c>
      <c r="AM1393" s="2">
        <v>44</v>
      </c>
      <c r="AN1393" s="2">
        <v>5</v>
      </c>
      <c r="AO1393" s="2">
        <v>0</v>
      </c>
      <c r="AP1393" s="2">
        <f t="shared" si="706"/>
        <v>4582</v>
      </c>
      <c r="AQ1393" s="2">
        <f t="shared" si="707"/>
        <v>243.982960596379</v>
      </c>
      <c r="AR1393" s="5">
        <f t="shared" si="708"/>
        <v>458.687965921193</v>
      </c>
    </row>
    <row r="1394" spans="1:44">
      <c r="A1394" s="2">
        <v>20260424</v>
      </c>
      <c r="B1394" s="2" t="s">
        <v>2830</v>
      </c>
      <c r="C1394" s="2" t="s">
        <v>2831</v>
      </c>
      <c r="D1394" s="2">
        <v>3</v>
      </c>
      <c r="E1394" s="2">
        <v>1</v>
      </c>
      <c r="F1394" s="2">
        <v>1</v>
      </c>
      <c r="G1394" s="2">
        <v>4</v>
      </c>
      <c r="H1394" s="2">
        <v>15</v>
      </c>
      <c r="I1394" s="3">
        <v>11</v>
      </c>
      <c r="J1394" s="2">
        <v>210</v>
      </c>
      <c r="K1394" s="2">
        <v>1</v>
      </c>
      <c r="L1394" s="2">
        <v>0</v>
      </c>
      <c r="M1394" s="2">
        <v>6</v>
      </c>
      <c r="N1394" s="2">
        <v>21</v>
      </c>
      <c r="O1394" s="2">
        <v>0</v>
      </c>
      <c r="P1394" s="3">
        <v>6</v>
      </c>
      <c r="Q1394" s="2">
        <v>0</v>
      </c>
      <c r="R1394" s="2">
        <v>5</v>
      </c>
      <c r="S1394" s="2">
        <v>1</v>
      </c>
      <c r="T1394" s="2">
        <v>10</v>
      </c>
      <c r="U1394" s="2">
        <v>2</v>
      </c>
      <c r="V1394" s="2">
        <f t="shared" si="715"/>
        <v>13</v>
      </c>
      <c r="W1394" s="2">
        <v>0</v>
      </c>
      <c r="X1394" s="2">
        <v>5</v>
      </c>
      <c r="Y1394" s="2">
        <v>0</v>
      </c>
      <c r="Z1394" s="2">
        <f t="shared" si="709"/>
        <v>7</v>
      </c>
      <c r="AA1394" s="2">
        <f t="shared" si="710"/>
        <v>265</v>
      </c>
      <c r="AB1394" s="2">
        <v>2906</v>
      </c>
      <c r="AC1394" s="20">
        <f t="shared" si="711"/>
        <v>9.11906400550585</v>
      </c>
      <c r="AD1394" s="2" t="s">
        <v>257</v>
      </c>
      <c r="AE1394" s="2">
        <v>188</v>
      </c>
      <c r="AF1394" s="21">
        <f t="shared" si="712"/>
        <v>9.11906400550585</v>
      </c>
      <c r="AG1394" s="4">
        <f t="shared" si="713"/>
        <v>0.447350309704061</v>
      </c>
      <c r="AH1394" s="4">
        <f t="shared" si="714"/>
        <v>0.240880935994494</v>
      </c>
      <c r="AI1394" s="2">
        <v>3457</v>
      </c>
      <c r="AJ1394" s="2">
        <v>511</v>
      </c>
      <c r="AK1394" s="2">
        <v>407</v>
      </c>
      <c r="AL1394" s="2">
        <v>190</v>
      </c>
      <c r="AM1394" s="2">
        <v>50</v>
      </c>
      <c r="AN1394" s="2">
        <v>9</v>
      </c>
      <c r="AO1394" s="2">
        <v>0</v>
      </c>
      <c r="AP1394" s="2">
        <f t="shared" si="706"/>
        <v>4167</v>
      </c>
      <c r="AQ1394" s="2">
        <f t="shared" si="707"/>
        <v>126.043557168784</v>
      </c>
      <c r="AR1394" s="5">
        <f t="shared" si="708"/>
        <v>236.961887477314</v>
      </c>
    </row>
    <row r="1395" spans="1:44">
      <c r="A1395" s="2">
        <v>20260424</v>
      </c>
      <c r="B1395" s="2" t="s">
        <v>2832</v>
      </c>
      <c r="C1395" s="2" t="s">
        <v>2833</v>
      </c>
      <c r="D1395" s="2">
        <v>0</v>
      </c>
      <c r="E1395" s="2">
        <v>0</v>
      </c>
      <c r="F1395" s="2">
        <v>2</v>
      </c>
      <c r="G1395" s="2">
        <v>4</v>
      </c>
      <c r="H1395" s="2">
        <v>7</v>
      </c>
      <c r="I1395" s="3">
        <v>4</v>
      </c>
      <c r="J1395" s="2">
        <v>5</v>
      </c>
      <c r="K1395" s="2">
        <v>1</v>
      </c>
      <c r="L1395" s="2">
        <v>0</v>
      </c>
      <c r="M1395" s="2">
        <v>6</v>
      </c>
      <c r="N1395" s="2">
        <v>4</v>
      </c>
      <c r="O1395" s="2">
        <v>6</v>
      </c>
      <c r="P1395" s="3">
        <v>2</v>
      </c>
      <c r="Q1395" s="2">
        <v>1</v>
      </c>
      <c r="R1395" s="2">
        <v>2</v>
      </c>
      <c r="S1395" s="2">
        <v>1</v>
      </c>
      <c r="T1395" s="2">
        <v>3</v>
      </c>
      <c r="U1395" s="2">
        <v>0</v>
      </c>
      <c r="V1395" s="2">
        <f t="shared" si="715"/>
        <v>5</v>
      </c>
      <c r="W1395" s="2">
        <v>3</v>
      </c>
      <c r="X1395" s="2">
        <v>0</v>
      </c>
      <c r="Y1395" s="2">
        <v>0</v>
      </c>
      <c r="Z1395" s="2">
        <f t="shared" si="709"/>
        <v>3</v>
      </c>
      <c r="AA1395" s="2">
        <f t="shared" si="710"/>
        <v>32</v>
      </c>
      <c r="AB1395" s="2">
        <v>1468</v>
      </c>
      <c r="AC1395" s="20">
        <f t="shared" si="711"/>
        <v>2.17983651226158</v>
      </c>
      <c r="AD1395" s="2" t="s">
        <v>257</v>
      </c>
      <c r="AE1395" s="2">
        <v>188</v>
      </c>
      <c r="AF1395" s="21">
        <f t="shared" si="712"/>
        <v>2.17983651226158</v>
      </c>
      <c r="AG1395" s="4">
        <f t="shared" si="713"/>
        <v>0.340599455040872</v>
      </c>
      <c r="AH1395" s="4">
        <f t="shared" si="714"/>
        <v>0.204359673024523</v>
      </c>
      <c r="AI1395" s="2">
        <v>2013</v>
      </c>
      <c r="AJ1395" s="2">
        <v>241</v>
      </c>
      <c r="AK1395" s="2">
        <v>141</v>
      </c>
      <c r="AL1395" s="2">
        <v>39</v>
      </c>
      <c r="AM1395" s="2">
        <v>30</v>
      </c>
      <c r="AN1395" s="2">
        <v>11</v>
      </c>
      <c r="AO1395" s="2">
        <v>0</v>
      </c>
      <c r="AP1395" s="2">
        <f t="shared" si="706"/>
        <v>2304</v>
      </c>
      <c r="AQ1395" s="2">
        <f t="shared" si="707"/>
        <v>79.2842395044735</v>
      </c>
      <c r="AR1395" s="5">
        <f t="shared" si="708"/>
        <v>149.05437026841</v>
      </c>
    </row>
    <row r="1396" spans="1:44">
      <c r="A1396" s="2">
        <v>20260424</v>
      </c>
      <c r="B1396" s="2" t="s">
        <v>2834</v>
      </c>
      <c r="C1396" s="2" t="s">
        <v>2835</v>
      </c>
      <c r="D1396" s="2">
        <v>1</v>
      </c>
      <c r="E1396" s="2">
        <v>522</v>
      </c>
      <c r="F1396" s="2">
        <v>2</v>
      </c>
      <c r="G1396" s="2">
        <v>3</v>
      </c>
      <c r="H1396" s="2">
        <v>5</v>
      </c>
      <c r="I1396" s="3">
        <v>33</v>
      </c>
      <c r="J1396" s="2">
        <v>10</v>
      </c>
      <c r="K1396" s="2">
        <v>2</v>
      </c>
      <c r="L1396" s="2">
        <v>0</v>
      </c>
      <c r="M1396" s="2">
        <v>12</v>
      </c>
      <c r="N1396" s="2">
        <v>1</v>
      </c>
      <c r="O1396" s="2">
        <v>1</v>
      </c>
      <c r="P1396" s="3">
        <v>19</v>
      </c>
      <c r="Q1396" s="2">
        <v>4</v>
      </c>
      <c r="R1396" s="2">
        <v>5</v>
      </c>
      <c r="S1396" s="2">
        <v>2</v>
      </c>
      <c r="T1396" s="2">
        <v>26</v>
      </c>
      <c r="U1396" s="2">
        <v>0</v>
      </c>
      <c r="V1396" s="2">
        <f t="shared" si="715"/>
        <v>32</v>
      </c>
      <c r="W1396" s="2">
        <v>0</v>
      </c>
      <c r="X1396" s="2">
        <v>3</v>
      </c>
      <c r="Y1396" s="2">
        <v>0</v>
      </c>
      <c r="Z1396" s="2">
        <f t="shared" si="709"/>
        <v>3</v>
      </c>
      <c r="AA1396" s="2">
        <f t="shared" si="710"/>
        <v>110</v>
      </c>
      <c r="AB1396" s="2">
        <v>2896</v>
      </c>
      <c r="AC1396" s="20">
        <f t="shared" si="711"/>
        <v>3.79834254143646</v>
      </c>
      <c r="AD1396" s="2" t="s">
        <v>229</v>
      </c>
      <c r="AE1396" s="2">
        <v>188</v>
      </c>
      <c r="AF1396" s="21">
        <f t="shared" si="712"/>
        <v>3.79834254143646</v>
      </c>
      <c r="AG1396" s="4">
        <f t="shared" si="713"/>
        <v>1.10497237569061</v>
      </c>
      <c r="AH1396" s="4">
        <f t="shared" si="714"/>
        <v>0.103591160220994</v>
      </c>
      <c r="AI1396" s="2">
        <v>7165</v>
      </c>
      <c r="AJ1396" s="2">
        <v>260</v>
      </c>
      <c r="AK1396" s="2">
        <v>195</v>
      </c>
      <c r="AL1396" s="2">
        <v>751</v>
      </c>
      <c r="AM1396" s="2">
        <v>2823</v>
      </c>
      <c r="AN1396" s="2">
        <v>4</v>
      </c>
      <c r="AO1396" s="2">
        <v>0</v>
      </c>
      <c r="AP1396" s="2">
        <f t="shared" si="706"/>
        <v>8180</v>
      </c>
      <c r="AQ1396" s="2">
        <f t="shared" si="707"/>
        <v>557.220708446866</v>
      </c>
      <c r="AR1396" s="5">
        <f t="shared" si="708"/>
        <v>1047.57493188011</v>
      </c>
    </row>
    <row r="1397" spans="1:44">
      <c r="A1397" s="2">
        <v>20260424</v>
      </c>
      <c r="B1397" s="2" t="s">
        <v>2836</v>
      </c>
      <c r="C1397" s="2" t="s">
        <v>2837</v>
      </c>
      <c r="D1397" s="2">
        <v>1</v>
      </c>
      <c r="E1397" s="2">
        <v>32</v>
      </c>
      <c r="F1397" s="2">
        <v>2</v>
      </c>
      <c r="G1397" s="2">
        <v>4</v>
      </c>
      <c r="H1397" s="2">
        <v>8</v>
      </c>
      <c r="I1397" s="3">
        <v>36</v>
      </c>
      <c r="J1397" s="2">
        <v>13</v>
      </c>
      <c r="K1397" s="2">
        <v>3</v>
      </c>
      <c r="L1397" s="2">
        <v>1</v>
      </c>
      <c r="M1397" s="2">
        <v>14</v>
      </c>
      <c r="N1397" s="2">
        <v>10</v>
      </c>
      <c r="O1397" s="2">
        <v>0</v>
      </c>
      <c r="P1397" s="3">
        <v>9</v>
      </c>
      <c r="Q1397" s="2">
        <v>4</v>
      </c>
      <c r="R1397" s="2">
        <v>2</v>
      </c>
      <c r="S1397" s="2">
        <v>3</v>
      </c>
      <c r="T1397" s="2">
        <v>13</v>
      </c>
      <c r="U1397" s="2">
        <v>0</v>
      </c>
      <c r="V1397" s="2">
        <f t="shared" si="715"/>
        <v>20</v>
      </c>
      <c r="W1397" s="2">
        <v>1</v>
      </c>
      <c r="X1397" s="2">
        <v>0</v>
      </c>
      <c r="Y1397" s="2">
        <v>0</v>
      </c>
      <c r="Z1397" s="2">
        <f t="shared" si="709"/>
        <v>1</v>
      </c>
      <c r="AA1397" s="2">
        <f t="shared" si="710"/>
        <v>101</v>
      </c>
      <c r="AB1397" s="2">
        <v>2926</v>
      </c>
      <c r="AC1397" s="20">
        <f t="shared" si="711"/>
        <v>3.45181134654819</v>
      </c>
      <c r="AD1397" s="2" t="s">
        <v>229</v>
      </c>
      <c r="AE1397" s="2">
        <v>188</v>
      </c>
      <c r="AF1397" s="21">
        <f t="shared" si="712"/>
        <v>3.45181134654819</v>
      </c>
      <c r="AG1397" s="4">
        <f t="shared" si="713"/>
        <v>0.683526999316473</v>
      </c>
      <c r="AH1397" s="4">
        <f t="shared" si="714"/>
        <v>0.0341763499658237</v>
      </c>
      <c r="AI1397" s="2">
        <v>6852</v>
      </c>
      <c r="AJ1397" s="2">
        <v>452</v>
      </c>
      <c r="AK1397" s="2">
        <v>261</v>
      </c>
      <c r="AL1397" s="2">
        <v>1013</v>
      </c>
      <c r="AM1397" s="2">
        <v>2440</v>
      </c>
      <c r="AN1397" s="2">
        <v>9</v>
      </c>
      <c r="AO1397" s="2">
        <v>0</v>
      </c>
      <c r="AP1397" s="2">
        <f t="shared" si="706"/>
        <v>8326</v>
      </c>
      <c r="AQ1397" s="2">
        <f t="shared" ref="AQ1397:AQ1408" si="716">AP1397/AB1396*100</f>
        <v>287.5</v>
      </c>
      <c r="AR1397" s="5">
        <f t="shared" ref="AR1397:AR1408" si="717">AQ1397*1.88</f>
        <v>540.5</v>
      </c>
    </row>
    <row r="1398" spans="1:44">
      <c r="A1398" s="2">
        <v>20260424</v>
      </c>
      <c r="B1398" s="2" t="s">
        <v>2838</v>
      </c>
      <c r="C1398" s="2" t="s">
        <v>2839</v>
      </c>
      <c r="D1398" s="2">
        <v>2</v>
      </c>
      <c r="E1398" s="2">
        <v>1</v>
      </c>
      <c r="F1398" s="2">
        <v>3</v>
      </c>
      <c r="G1398" s="2">
        <v>7</v>
      </c>
      <c r="H1398" s="2">
        <v>2</v>
      </c>
      <c r="I1398" s="3">
        <v>35</v>
      </c>
      <c r="J1398" s="2">
        <v>8</v>
      </c>
      <c r="K1398" s="2">
        <v>2</v>
      </c>
      <c r="L1398" s="2">
        <v>0</v>
      </c>
      <c r="M1398" s="2">
        <v>2</v>
      </c>
      <c r="N1398" s="2">
        <v>8</v>
      </c>
      <c r="O1398" s="2">
        <v>0</v>
      </c>
      <c r="P1398" s="3">
        <v>2</v>
      </c>
      <c r="Q1398" s="2">
        <v>1</v>
      </c>
      <c r="R1398" s="2">
        <v>5</v>
      </c>
      <c r="S1398" s="2">
        <v>2</v>
      </c>
      <c r="T1398" s="2">
        <v>3</v>
      </c>
      <c r="U1398" s="2">
        <v>0</v>
      </c>
      <c r="V1398" s="2">
        <f t="shared" si="715"/>
        <v>6</v>
      </c>
      <c r="W1398" s="2">
        <v>0</v>
      </c>
      <c r="X1398" s="2">
        <v>5</v>
      </c>
      <c r="Y1398" s="2">
        <v>0</v>
      </c>
      <c r="Z1398" s="2">
        <f t="shared" si="709"/>
        <v>5</v>
      </c>
      <c r="AA1398" s="2">
        <f t="shared" si="710"/>
        <v>61</v>
      </c>
      <c r="AB1398" s="2">
        <v>2634</v>
      </c>
      <c r="AC1398" s="20">
        <f t="shared" si="711"/>
        <v>2.31586940015186</v>
      </c>
      <c r="AD1398" s="2" t="s">
        <v>229</v>
      </c>
      <c r="AE1398" s="2">
        <v>188</v>
      </c>
      <c r="AF1398" s="21">
        <f t="shared" si="712"/>
        <v>2.31586940015186</v>
      </c>
      <c r="AG1398" s="4">
        <f t="shared" si="713"/>
        <v>0.227790432801822</v>
      </c>
      <c r="AH1398" s="4">
        <f t="shared" si="714"/>
        <v>0.189825360668185</v>
      </c>
      <c r="AI1398" s="2">
        <v>4004</v>
      </c>
      <c r="AJ1398" s="2">
        <v>152</v>
      </c>
      <c r="AK1398" s="2">
        <v>168</v>
      </c>
      <c r="AL1398" s="2">
        <v>594</v>
      </c>
      <c r="AM1398" s="2">
        <v>263</v>
      </c>
      <c r="AN1398" s="2">
        <v>4</v>
      </c>
      <c r="AO1398" s="2">
        <v>0</v>
      </c>
      <c r="AP1398" s="2">
        <f t="shared" ref="AP1398:AP1408" si="718">AI1398+AJ1398+AL1398+AN1398</f>
        <v>4754</v>
      </c>
      <c r="AQ1398" s="2">
        <f t="shared" si="716"/>
        <v>162.474367737526</v>
      </c>
      <c r="AR1398" s="5">
        <f t="shared" si="717"/>
        <v>305.451811346548</v>
      </c>
    </row>
    <row r="1399" spans="1:44">
      <c r="A1399" s="2">
        <v>20260424</v>
      </c>
      <c r="B1399" s="2" t="s">
        <v>2840</v>
      </c>
      <c r="C1399" s="2" t="s">
        <v>2841</v>
      </c>
      <c r="D1399" s="2">
        <v>0</v>
      </c>
      <c r="E1399" s="2">
        <v>6</v>
      </c>
      <c r="F1399" s="2">
        <v>3</v>
      </c>
      <c r="G1399" s="2">
        <v>1</v>
      </c>
      <c r="H1399" s="2">
        <v>1</v>
      </c>
      <c r="I1399" s="3">
        <v>3</v>
      </c>
      <c r="J1399" s="2">
        <v>1</v>
      </c>
      <c r="K1399" s="2">
        <v>0</v>
      </c>
      <c r="L1399" s="2">
        <v>0</v>
      </c>
      <c r="M1399" s="2">
        <v>1</v>
      </c>
      <c r="N1399" s="2">
        <v>1</v>
      </c>
      <c r="O1399" s="2">
        <v>1</v>
      </c>
      <c r="P1399" s="3">
        <v>3</v>
      </c>
      <c r="Q1399" s="2">
        <v>2</v>
      </c>
      <c r="R1399" s="2">
        <v>20</v>
      </c>
      <c r="S1399" s="2">
        <v>2</v>
      </c>
      <c r="T1399" s="2">
        <v>2</v>
      </c>
      <c r="U1399" s="2">
        <v>0</v>
      </c>
      <c r="V1399" s="2">
        <f t="shared" si="715"/>
        <v>6</v>
      </c>
      <c r="W1399" s="2">
        <v>2</v>
      </c>
      <c r="X1399" s="2">
        <v>0</v>
      </c>
      <c r="Y1399" s="2">
        <v>0</v>
      </c>
      <c r="Z1399" s="2">
        <f t="shared" si="709"/>
        <v>2</v>
      </c>
      <c r="AA1399" s="2">
        <f t="shared" si="710"/>
        <v>12</v>
      </c>
      <c r="AB1399" s="2">
        <v>2086</v>
      </c>
      <c r="AC1399" s="20">
        <f t="shared" si="711"/>
        <v>0.575263662511985</v>
      </c>
      <c r="AD1399" s="2" t="s">
        <v>229</v>
      </c>
      <c r="AE1399" s="2">
        <v>188</v>
      </c>
      <c r="AF1399" s="21">
        <f t="shared" si="712"/>
        <v>0.575263662511985</v>
      </c>
      <c r="AG1399" s="4">
        <f t="shared" si="713"/>
        <v>0.287631831255992</v>
      </c>
      <c r="AH1399" s="4">
        <f t="shared" si="714"/>
        <v>0.0958772770853308</v>
      </c>
      <c r="AO1399" s="2">
        <v>0</v>
      </c>
      <c r="AP1399" s="2">
        <f t="shared" si="718"/>
        <v>0</v>
      </c>
      <c r="AQ1399" s="2">
        <f t="shared" si="716"/>
        <v>0</v>
      </c>
      <c r="AR1399" s="5">
        <f t="shared" si="717"/>
        <v>0</v>
      </c>
    </row>
    <row r="1400" spans="1:44">
      <c r="A1400" s="2">
        <v>20260424</v>
      </c>
      <c r="B1400" s="2" t="s">
        <v>2842</v>
      </c>
      <c r="C1400" s="2" t="s">
        <v>2843</v>
      </c>
      <c r="D1400" s="2">
        <v>0</v>
      </c>
      <c r="E1400" s="2">
        <v>0</v>
      </c>
      <c r="F1400" s="2">
        <v>2</v>
      </c>
      <c r="G1400" s="2">
        <v>1</v>
      </c>
      <c r="H1400" s="2">
        <v>1</v>
      </c>
      <c r="I1400" s="3">
        <v>5</v>
      </c>
      <c r="J1400" s="2">
        <v>5</v>
      </c>
      <c r="K1400" s="2">
        <v>1</v>
      </c>
      <c r="L1400" s="2">
        <v>0</v>
      </c>
      <c r="M1400" s="2">
        <v>1</v>
      </c>
      <c r="N1400" s="2">
        <v>9</v>
      </c>
      <c r="O1400" s="2">
        <v>0</v>
      </c>
      <c r="P1400" s="3">
        <v>3</v>
      </c>
      <c r="Q1400" s="2">
        <v>2</v>
      </c>
      <c r="R1400" s="2">
        <v>3</v>
      </c>
      <c r="S1400" s="2">
        <v>2</v>
      </c>
      <c r="T1400" s="2">
        <v>6</v>
      </c>
      <c r="U1400" s="2">
        <v>0</v>
      </c>
      <c r="V1400" s="2">
        <f t="shared" si="715"/>
        <v>10</v>
      </c>
      <c r="W1400" s="2">
        <v>2</v>
      </c>
      <c r="X1400" s="2">
        <v>2</v>
      </c>
      <c r="Y1400" s="2">
        <v>0</v>
      </c>
      <c r="Z1400" s="2">
        <f t="shared" si="709"/>
        <v>4</v>
      </c>
      <c r="AA1400" s="2">
        <f t="shared" si="710"/>
        <v>23</v>
      </c>
      <c r="AB1400" s="2">
        <v>1667</v>
      </c>
      <c r="AC1400" s="20">
        <f t="shared" si="711"/>
        <v>1.37972405518896</v>
      </c>
      <c r="AD1400" s="2" t="s">
        <v>229</v>
      </c>
      <c r="AE1400" s="2">
        <v>188</v>
      </c>
      <c r="AF1400" s="21">
        <f t="shared" si="712"/>
        <v>1.37972405518896</v>
      </c>
      <c r="AG1400" s="4">
        <f t="shared" si="713"/>
        <v>0.599880023995201</v>
      </c>
      <c r="AH1400" s="4">
        <f t="shared" si="714"/>
        <v>0.23995200959808</v>
      </c>
      <c r="AI1400" s="2">
        <v>2463</v>
      </c>
      <c r="AJ1400" s="2">
        <v>58</v>
      </c>
      <c r="AK1400" s="2">
        <v>100</v>
      </c>
      <c r="AL1400" s="2">
        <v>10</v>
      </c>
      <c r="AM1400" s="2">
        <v>21</v>
      </c>
      <c r="AN1400" s="2">
        <v>2</v>
      </c>
      <c r="AO1400" s="2">
        <v>0</v>
      </c>
      <c r="AP1400" s="2">
        <f t="shared" si="718"/>
        <v>2533</v>
      </c>
      <c r="AQ1400" s="2">
        <f t="shared" si="716"/>
        <v>121.428571428571</v>
      </c>
      <c r="AR1400" s="5">
        <f t="shared" si="717"/>
        <v>228.285714285714</v>
      </c>
    </row>
    <row r="1401" spans="1:44">
      <c r="A1401" s="2">
        <v>20260424</v>
      </c>
      <c r="B1401" s="2" t="s">
        <v>2844</v>
      </c>
      <c r="C1401" s="2" t="s">
        <v>2845</v>
      </c>
      <c r="D1401" s="2">
        <v>0</v>
      </c>
      <c r="E1401" s="2">
        <v>2814</v>
      </c>
      <c r="F1401" s="2">
        <v>0</v>
      </c>
      <c r="G1401" s="2">
        <v>1</v>
      </c>
      <c r="H1401" s="2">
        <v>1</v>
      </c>
      <c r="I1401" s="3">
        <v>4</v>
      </c>
      <c r="J1401" s="2">
        <v>56</v>
      </c>
      <c r="K1401" s="2">
        <v>1</v>
      </c>
      <c r="L1401" s="2">
        <v>0</v>
      </c>
      <c r="M1401" s="2">
        <v>0</v>
      </c>
      <c r="N1401" s="2">
        <v>1</v>
      </c>
      <c r="O1401" s="2">
        <v>17</v>
      </c>
      <c r="P1401" s="3">
        <v>2</v>
      </c>
      <c r="Q1401" s="2">
        <v>0</v>
      </c>
      <c r="R1401" s="2">
        <v>432</v>
      </c>
      <c r="S1401" s="2">
        <v>1</v>
      </c>
      <c r="T1401" s="2">
        <v>3</v>
      </c>
      <c r="U1401" s="2">
        <v>0</v>
      </c>
      <c r="V1401" s="2">
        <f t="shared" si="715"/>
        <v>4</v>
      </c>
      <c r="W1401" s="2">
        <v>0</v>
      </c>
      <c r="X1401" s="2">
        <v>2</v>
      </c>
      <c r="Y1401" s="2">
        <v>0</v>
      </c>
      <c r="Z1401" s="2">
        <f t="shared" si="709"/>
        <v>2</v>
      </c>
      <c r="AA1401" s="2">
        <f t="shared" si="710"/>
        <v>68</v>
      </c>
      <c r="AB1401" s="2">
        <v>1468</v>
      </c>
      <c r="AC1401" s="20">
        <f t="shared" si="711"/>
        <v>4.63215258855586</v>
      </c>
      <c r="AD1401" s="2" t="s">
        <v>257</v>
      </c>
      <c r="AE1401" s="2">
        <v>188</v>
      </c>
      <c r="AF1401" s="21">
        <f t="shared" si="712"/>
        <v>4.63215258855586</v>
      </c>
      <c r="AG1401" s="4">
        <f t="shared" si="713"/>
        <v>0.272479564032698</v>
      </c>
      <c r="AH1401" s="4">
        <f t="shared" si="714"/>
        <v>0.136239782016349</v>
      </c>
      <c r="AI1401" s="2">
        <v>3040</v>
      </c>
      <c r="AJ1401" s="2">
        <v>763</v>
      </c>
      <c r="AK1401" s="2">
        <v>413</v>
      </c>
      <c r="AL1401" s="2">
        <v>26</v>
      </c>
      <c r="AM1401" s="2">
        <v>22</v>
      </c>
      <c r="AN1401" s="2">
        <v>0</v>
      </c>
      <c r="AO1401" s="2">
        <v>0</v>
      </c>
      <c r="AP1401" s="2">
        <f t="shared" si="718"/>
        <v>3829</v>
      </c>
      <c r="AQ1401" s="2">
        <f t="shared" si="716"/>
        <v>229.694061187762</v>
      </c>
      <c r="AR1401" s="5">
        <f t="shared" si="717"/>
        <v>431.824835032993</v>
      </c>
    </row>
    <row r="1402" spans="1:44">
      <c r="A1402" s="2">
        <v>20260424</v>
      </c>
      <c r="B1402" s="2" t="s">
        <v>2846</v>
      </c>
      <c r="C1402" s="2" t="s">
        <v>2847</v>
      </c>
      <c r="D1402" s="2">
        <v>0</v>
      </c>
      <c r="E1402" s="2">
        <v>5783</v>
      </c>
      <c r="F1402" s="2">
        <v>48</v>
      </c>
      <c r="G1402" s="2">
        <v>13</v>
      </c>
      <c r="H1402" s="2">
        <v>112</v>
      </c>
      <c r="I1402" s="3">
        <v>7</v>
      </c>
      <c r="J1402" s="2">
        <v>290</v>
      </c>
      <c r="K1402" s="2">
        <v>5</v>
      </c>
      <c r="L1402" s="2">
        <v>0</v>
      </c>
      <c r="M1402" s="2">
        <v>2</v>
      </c>
      <c r="N1402" s="2">
        <v>64</v>
      </c>
      <c r="O1402" s="2">
        <v>48</v>
      </c>
      <c r="P1402" s="3">
        <v>6</v>
      </c>
      <c r="Q1402" s="2">
        <v>4</v>
      </c>
      <c r="R1402" s="2">
        <v>805</v>
      </c>
      <c r="S1402" s="2">
        <v>3</v>
      </c>
      <c r="T1402" s="2">
        <v>352</v>
      </c>
      <c r="U1402" s="2">
        <v>0</v>
      </c>
      <c r="V1402" s="2">
        <f t="shared" si="715"/>
        <v>359</v>
      </c>
      <c r="W1402" s="2">
        <v>1</v>
      </c>
      <c r="X1402" s="2">
        <v>0</v>
      </c>
      <c r="Y1402" s="2">
        <v>0</v>
      </c>
      <c r="Z1402" s="2">
        <f t="shared" si="709"/>
        <v>1</v>
      </c>
      <c r="AA1402" s="2">
        <f t="shared" si="710"/>
        <v>787</v>
      </c>
      <c r="AB1402" s="2">
        <v>1898</v>
      </c>
      <c r="AC1402" s="20">
        <f t="shared" si="711"/>
        <v>41.4646996838778</v>
      </c>
      <c r="AD1402" s="2" t="s">
        <v>257</v>
      </c>
      <c r="AE1402" s="2">
        <v>188</v>
      </c>
      <c r="AF1402" s="21">
        <f t="shared" si="712"/>
        <v>41.4646996838778</v>
      </c>
      <c r="AG1402" s="4">
        <f t="shared" si="713"/>
        <v>18.9146469968388</v>
      </c>
      <c r="AH1402" s="4">
        <f t="shared" si="714"/>
        <v>0.0526870389884088</v>
      </c>
      <c r="AI1402" s="2">
        <v>4425</v>
      </c>
      <c r="AJ1402" s="2">
        <v>702</v>
      </c>
      <c r="AK1402" s="2">
        <v>461</v>
      </c>
      <c r="AL1402" s="2">
        <v>216</v>
      </c>
      <c r="AM1402" s="2">
        <v>43</v>
      </c>
      <c r="AN1402" s="2">
        <v>1</v>
      </c>
      <c r="AO1402" s="2">
        <v>0</v>
      </c>
      <c r="AP1402" s="2">
        <f t="shared" si="718"/>
        <v>5344</v>
      </c>
      <c r="AQ1402" s="2">
        <f t="shared" si="716"/>
        <v>364.032697547684</v>
      </c>
      <c r="AR1402" s="5">
        <f t="shared" si="717"/>
        <v>684.381471389646</v>
      </c>
    </row>
    <row r="1403" spans="1:44">
      <c r="A1403" s="2">
        <v>20260424</v>
      </c>
      <c r="B1403" s="2" t="s">
        <v>2848</v>
      </c>
      <c r="C1403" s="2" t="s">
        <v>2849</v>
      </c>
      <c r="D1403" s="2">
        <v>0</v>
      </c>
      <c r="E1403" s="2">
        <v>20</v>
      </c>
      <c r="F1403" s="2">
        <v>0</v>
      </c>
      <c r="G1403" s="2">
        <v>2</v>
      </c>
      <c r="H1403" s="2">
        <v>9</v>
      </c>
      <c r="I1403" s="3">
        <v>17</v>
      </c>
      <c r="J1403" s="2">
        <v>14</v>
      </c>
      <c r="K1403" s="2">
        <v>2</v>
      </c>
      <c r="L1403" s="2">
        <v>0</v>
      </c>
      <c r="M1403" s="2">
        <v>0</v>
      </c>
      <c r="N1403" s="2">
        <v>0</v>
      </c>
      <c r="O1403" s="2">
        <v>0</v>
      </c>
      <c r="P1403" s="3">
        <v>4</v>
      </c>
      <c r="Q1403" s="2">
        <v>0</v>
      </c>
      <c r="R1403" s="2">
        <v>66</v>
      </c>
      <c r="S1403" s="2">
        <v>3</v>
      </c>
      <c r="T1403" s="2">
        <v>3</v>
      </c>
      <c r="U1403" s="2">
        <v>1</v>
      </c>
      <c r="V1403" s="2">
        <f t="shared" si="715"/>
        <v>7</v>
      </c>
      <c r="W1403" s="2">
        <v>10</v>
      </c>
      <c r="X1403" s="2">
        <v>11</v>
      </c>
      <c r="Y1403" s="2">
        <v>0</v>
      </c>
      <c r="Z1403" s="2">
        <f t="shared" si="709"/>
        <v>22</v>
      </c>
      <c r="AA1403" s="2">
        <f t="shared" si="710"/>
        <v>52</v>
      </c>
      <c r="AB1403" s="2">
        <v>2906</v>
      </c>
      <c r="AC1403" s="20">
        <f t="shared" si="711"/>
        <v>1.78940123881624</v>
      </c>
      <c r="AD1403" s="2" t="s">
        <v>257</v>
      </c>
      <c r="AE1403" s="2">
        <v>188</v>
      </c>
      <c r="AF1403" s="21">
        <f t="shared" si="712"/>
        <v>1.78940123881624</v>
      </c>
      <c r="AG1403" s="4">
        <f t="shared" si="713"/>
        <v>0.240880935994494</v>
      </c>
      <c r="AH1403" s="4">
        <f t="shared" si="714"/>
        <v>0.75705437026841</v>
      </c>
      <c r="AI1403" s="2">
        <v>5104</v>
      </c>
      <c r="AJ1403" s="2">
        <v>437</v>
      </c>
      <c r="AK1403" s="2">
        <v>411</v>
      </c>
      <c r="AL1403" s="2">
        <v>22</v>
      </c>
      <c r="AM1403" s="2">
        <v>34</v>
      </c>
      <c r="AN1403" s="2">
        <v>13</v>
      </c>
      <c r="AO1403" s="2">
        <v>0</v>
      </c>
      <c r="AP1403" s="2">
        <f t="shared" si="718"/>
        <v>5576</v>
      </c>
      <c r="AQ1403" s="2">
        <f t="shared" si="716"/>
        <v>293.782929399368</v>
      </c>
      <c r="AR1403" s="5">
        <f t="shared" si="717"/>
        <v>552.311907270811</v>
      </c>
    </row>
    <row r="1404" spans="1:44">
      <c r="A1404" s="2">
        <v>20260425</v>
      </c>
      <c r="B1404" s="2" t="s">
        <v>2850</v>
      </c>
      <c r="C1404" s="2" t="s">
        <v>2851</v>
      </c>
      <c r="D1404" s="2">
        <v>13</v>
      </c>
      <c r="E1404" s="2">
        <v>0</v>
      </c>
      <c r="F1404" s="2">
        <v>96</v>
      </c>
      <c r="G1404" s="2">
        <v>29</v>
      </c>
      <c r="H1404" s="2">
        <v>10</v>
      </c>
      <c r="I1404" s="3">
        <v>36</v>
      </c>
      <c r="J1404" s="2">
        <v>98</v>
      </c>
      <c r="K1404" s="2">
        <v>0</v>
      </c>
      <c r="L1404" s="2">
        <v>2</v>
      </c>
      <c r="M1404" s="2">
        <v>2</v>
      </c>
      <c r="N1404" s="2">
        <v>79</v>
      </c>
      <c r="O1404" s="2">
        <v>60</v>
      </c>
      <c r="P1404" s="3">
        <v>2</v>
      </c>
      <c r="Q1404" s="2">
        <v>14</v>
      </c>
      <c r="R1404" s="2">
        <v>109</v>
      </c>
      <c r="S1404" s="2">
        <v>1</v>
      </c>
      <c r="T1404" s="2">
        <v>139</v>
      </c>
      <c r="U1404" s="2">
        <v>1</v>
      </c>
      <c r="V1404" s="2">
        <f t="shared" si="715"/>
        <v>155</v>
      </c>
      <c r="W1404" s="2">
        <v>6</v>
      </c>
      <c r="X1404" s="2">
        <v>0</v>
      </c>
      <c r="Y1404" s="2">
        <v>0</v>
      </c>
      <c r="Z1404" s="2">
        <f t="shared" si="709"/>
        <v>7</v>
      </c>
      <c r="AA1404" s="2">
        <f t="shared" si="710"/>
        <v>319</v>
      </c>
      <c r="AB1404" s="2">
        <v>1291</v>
      </c>
      <c r="AC1404" s="20">
        <f t="shared" si="711"/>
        <v>24.7095274980635</v>
      </c>
      <c r="AD1404" s="2" t="s">
        <v>257</v>
      </c>
      <c r="AE1404" s="2">
        <v>188</v>
      </c>
      <c r="AF1404" s="21">
        <f t="shared" si="712"/>
        <v>24.7095274980635</v>
      </c>
      <c r="AG1404" s="4">
        <f t="shared" si="713"/>
        <v>12.006196746708</v>
      </c>
      <c r="AH1404" s="4">
        <f t="shared" si="714"/>
        <v>0.542215336948102</v>
      </c>
      <c r="AI1404" s="2">
        <v>2774</v>
      </c>
      <c r="AJ1404" s="2">
        <v>757</v>
      </c>
      <c r="AK1404" s="2">
        <v>627</v>
      </c>
      <c r="AL1404" s="2">
        <v>2911</v>
      </c>
      <c r="AM1404" s="2">
        <v>3242</v>
      </c>
      <c r="AN1404" s="2">
        <v>21</v>
      </c>
      <c r="AO1404" s="2">
        <v>0</v>
      </c>
      <c r="AP1404" s="2">
        <f t="shared" si="718"/>
        <v>6463</v>
      </c>
      <c r="AQ1404" s="2">
        <f t="shared" si="716"/>
        <v>222.401927047488</v>
      </c>
      <c r="AR1404" s="5">
        <f t="shared" si="717"/>
        <v>418.115622849277</v>
      </c>
    </row>
    <row r="1405" spans="1:44">
      <c r="A1405" s="2">
        <v>20260425</v>
      </c>
      <c r="B1405" s="2" t="s">
        <v>2852</v>
      </c>
      <c r="C1405" s="2" t="s">
        <v>2853</v>
      </c>
      <c r="D1405" s="2">
        <v>0</v>
      </c>
      <c r="E1405" s="2">
        <v>0</v>
      </c>
      <c r="F1405" s="2">
        <v>8</v>
      </c>
      <c r="G1405" s="2">
        <v>5</v>
      </c>
      <c r="H1405" s="2">
        <v>8</v>
      </c>
      <c r="I1405" s="3">
        <v>39</v>
      </c>
      <c r="J1405" s="2">
        <v>169</v>
      </c>
      <c r="K1405" s="2">
        <v>0</v>
      </c>
      <c r="L1405" s="2">
        <v>0</v>
      </c>
      <c r="M1405" s="2">
        <v>2</v>
      </c>
      <c r="N1405" s="2">
        <v>4</v>
      </c>
      <c r="O1405" s="2">
        <v>0</v>
      </c>
      <c r="P1405" s="3">
        <v>1</v>
      </c>
      <c r="Q1405" s="2">
        <v>3</v>
      </c>
      <c r="R1405" s="2">
        <v>1398</v>
      </c>
      <c r="S1405" s="2">
        <v>0</v>
      </c>
      <c r="T1405" s="2">
        <v>1</v>
      </c>
      <c r="U1405" s="2">
        <v>0</v>
      </c>
      <c r="V1405" s="2">
        <f t="shared" si="715"/>
        <v>4</v>
      </c>
      <c r="W1405" s="2">
        <v>2</v>
      </c>
      <c r="X1405" s="2">
        <v>8</v>
      </c>
      <c r="Y1405" s="2">
        <v>0</v>
      </c>
      <c r="Z1405" s="2">
        <f t="shared" si="709"/>
        <v>10</v>
      </c>
      <c r="AA1405" s="2">
        <f t="shared" si="710"/>
        <v>225</v>
      </c>
      <c r="AB1405" s="2">
        <v>2011</v>
      </c>
      <c r="AC1405" s="20">
        <f t="shared" si="711"/>
        <v>11.1884634510194</v>
      </c>
      <c r="AD1405" s="2" t="s">
        <v>257</v>
      </c>
      <c r="AE1405" s="2">
        <v>188</v>
      </c>
      <c r="AF1405" s="21">
        <f t="shared" si="712"/>
        <v>11.1884634510194</v>
      </c>
      <c r="AG1405" s="4">
        <f t="shared" si="713"/>
        <v>0.198906016907011</v>
      </c>
      <c r="AH1405" s="4">
        <f t="shared" si="714"/>
        <v>0.497265042267529</v>
      </c>
      <c r="AO1405" s="2">
        <v>0</v>
      </c>
      <c r="AP1405" s="2">
        <f t="shared" si="718"/>
        <v>0</v>
      </c>
      <c r="AQ1405" s="2">
        <f t="shared" si="716"/>
        <v>0</v>
      </c>
      <c r="AR1405" s="5">
        <f t="shared" si="717"/>
        <v>0</v>
      </c>
    </row>
    <row r="1406" spans="1:44">
      <c r="A1406" s="2">
        <v>20260425</v>
      </c>
      <c r="B1406" s="2" t="s">
        <v>2854</v>
      </c>
      <c r="C1406" s="2" t="s">
        <v>2855</v>
      </c>
      <c r="D1406" s="2">
        <v>0</v>
      </c>
      <c r="E1406" s="2">
        <v>550</v>
      </c>
      <c r="F1406" s="2">
        <v>2</v>
      </c>
      <c r="G1406" s="2">
        <v>5</v>
      </c>
      <c r="H1406" s="2">
        <v>5</v>
      </c>
      <c r="I1406" s="3">
        <v>28</v>
      </c>
      <c r="J1406" s="2">
        <v>140</v>
      </c>
      <c r="K1406" s="2">
        <v>2</v>
      </c>
      <c r="L1406" s="2">
        <v>0</v>
      </c>
      <c r="M1406" s="2">
        <v>2</v>
      </c>
      <c r="N1406" s="2">
        <v>3</v>
      </c>
      <c r="O1406" s="2">
        <v>7</v>
      </c>
      <c r="P1406" s="3">
        <v>1</v>
      </c>
      <c r="Q1406" s="2">
        <v>0</v>
      </c>
      <c r="R1406" s="2">
        <v>528</v>
      </c>
      <c r="S1406" s="2">
        <v>0</v>
      </c>
      <c r="T1406" s="2">
        <v>1</v>
      </c>
      <c r="U1406" s="2">
        <v>0</v>
      </c>
      <c r="V1406" s="2">
        <f t="shared" si="715"/>
        <v>1</v>
      </c>
      <c r="W1406" s="2">
        <v>6</v>
      </c>
      <c r="X1406" s="2">
        <v>20</v>
      </c>
      <c r="Y1406" s="2">
        <v>0</v>
      </c>
      <c r="Z1406" s="2">
        <f t="shared" si="709"/>
        <v>26</v>
      </c>
      <c r="AA1406" s="2">
        <f t="shared" si="710"/>
        <v>184</v>
      </c>
      <c r="AB1406" s="2">
        <v>3115</v>
      </c>
      <c r="AC1406" s="20">
        <f t="shared" si="711"/>
        <v>5.90690208667737</v>
      </c>
      <c r="AD1406" s="2" t="s">
        <v>257</v>
      </c>
      <c r="AE1406" s="2">
        <v>188</v>
      </c>
      <c r="AF1406" s="21">
        <f t="shared" si="712"/>
        <v>5.90690208667737</v>
      </c>
      <c r="AG1406" s="4">
        <f t="shared" si="713"/>
        <v>0.0321027287319422</v>
      </c>
      <c r="AH1406" s="4">
        <f t="shared" si="714"/>
        <v>0.834670947030498</v>
      </c>
      <c r="AI1406" s="2">
        <v>6725</v>
      </c>
      <c r="AJ1406" s="2">
        <v>385</v>
      </c>
      <c r="AK1406" s="2">
        <v>246</v>
      </c>
      <c r="AL1406" s="2">
        <v>137</v>
      </c>
      <c r="AM1406" s="2">
        <v>67</v>
      </c>
      <c r="AN1406" s="2">
        <v>10</v>
      </c>
      <c r="AO1406" s="2">
        <v>0</v>
      </c>
      <c r="AP1406" s="2">
        <f t="shared" si="718"/>
        <v>7257</v>
      </c>
      <c r="AQ1406" s="2">
        <f t="shared" si="716"/>
        <v>360.865241173545</v>
      </c>
      <c r="AR1406" s="5">
        <f t="shared" si="717"/>
        <v>678.426653406265</v>
      </c>
    </row>
    <row r="1407" spans="1:44">
      <c r="A1407" s="2">
        <v>20260425</v>
      </c>
      <c r="B1407" s="2" t="s">
        <v>2856</v>
      </c>
      <c r="C1407" s="2" t="s">
        <v>2857</v>
      </c>
      <c r="D1407" s="2">
        <v>1</v>
      </c>
      <c r="E1407" s="2">
        <v>251</v>
      </c>
      <c r="F1407" s="2">
        <v>0</v>
      </c>
      <c r="G1407" s="2">
        <v>6</v>
      </c>
      <c r="H1407" s="2">
        <v>7</v>
      </c>
      <c r="I1407" s="3">
        <v>13</v>
      </c>
      <c r="J1407" s="2">
        <v>34</v>
      </c>
      <c r="K1407" s="2">
        <v>1</v>
      </c>
      <c r="L1407" s="2">
        <v>0</v>
      </c>
      <c r="M1407" s="2">
        <v>1</v>
      </c>
      <c r="N1407" s="2">
        <v>1</v>
      </c>
      <c r="O1407" s="2">
        <v>0</v>
      </c>
      <c r="P1407" s="3">
        <v>1</v>
      </c>
      <c r="Q1407" s="2">
        <v>0</v>
      </c>
      <c r="R1407" s="2">
        <v>155</v>
      </c>
      <c r="S1407" s="2">
        <v>1</v>
      </c>
      <c r="T1407" s="2">
        <v>2</v>
      </c>
      <c r="U1407" s="2">
        <v>0</v>
      </c>
      <c r="V1407" s="2">
        <f t="shared" si="715"/>
        <v>3</v>
      </c>
      <c r="W1407" s="2">
        <v>6</v>
      </c>
      <c r="X1407" s="2">
        <v>8</v>
      </c>
      <c r="Y1407" s="2">
        <v>1</v>
      </c>
      <c r="Z1407" s="2">
        <f t="shared" si="709"/>
        <v>15</v>
      </c>
      <c r="AA1407" s="2">
        <f t="shared" si="710"/>
        <v>65</v>
      </c>
      <c r="AB1407" s="2">
        <v>2905</v>
      </c>
      <c r="AC1407" s="20">
        <f t="shared" si="711"/>
        <v>2.23752151462995</v>
      </c>
      <c r="AD1407" s="2" t="s">
        <v>257</v>
      </c>
      <c r="AE1407" s="2">
        <v>188</v>
      </c>
      <c r="AF1407" s="21">
        <f t="shared" si="712"/>
        <v>2.23752151462995</v>
      </c>
      <c r="AG1407" s="4">
        <f t="shared" si="713"/>
        <v>0.103270223752151</v>
      </c>
      <c r="AH1407" s="4">
        <f t="shared" si="714"/>
        <v>0.516351118760757</v>
      </c>
      <c r="AI1407" s="2">
        <v>5530</v>
      </c>
      <c r="AJ1407" s="2">
        <v>249</v>
      </c>
      <c r="AK1407" s="2">
        <v>229</v>
      </c>
      <c r="AL1407" s="2">
        <v>57</v>
      </c>
      <c r="AM1407" s="2">
        <v>62</v>
      </c>
      <c r="AN1407" s="2">
        <v>27</v>
      </c>
      <c r="AO1407" s="2">
        <v>0</v>
      </c>
      <c r="AP1407" s="2">
        <f t="shared" si="718"/>
        <v>5863</v>
      </c>
      <c r="AQ1407" s="2">
        <f t="shared" si="716"/>
        <v>188.218298555377</v>
      </c>
      <c r="AR1407" s="5">
        <f t="shared" si="717"/>
        <v>353.850401284109</v>
      </c>
    </row>
    <row r="1408" spans="1:44">
      <c r="A1408" s="2">
        <v>20260425</v>
      </c>
      <c r="B1408" s="2" t="s">
        <v>2858</v>
      </c>
      <c r="C1408" s="2" t="s">
        <v>2859</v>
      </c>
      <c r="D1408" s="2">
        <v>0</v>
      </c>
      <c r="E1408" s="2">
        <v>401</v>
      </c>
      <c r="F1408" s="2">
        <v>0</v>
      </c>
      <c r="G1408" s="2">
        <v>6</v>
      </c>
      <c r="H1408" s="2">
        <v>2</v>
      </c>
      <c r="I1408" s="3">
        <v>16</v>
      </c>
      <c r="J1408" s="2">
        <v>18</v>
      </c>
      <c r="K1408" s="2">
        <v>0</v>
      </c>
      <c r="L1408" s="2">
        <v>0</v>
      </c>
      <c r="M1408" s="2">
        <v>1</v>
      </c>
      <c r="N1408" s="2">
        <v>2</v>
      </c>
      <c r="O1408" s="2">
        <v>0</v>
      </c>
      <c r="P1408" s="3">
        <v>3</v>
      </c>
      <c r="Q1408" s="2">
        <v>1</v>
      </c>
      <c r="R1408" s="2">
        <v>222</v>
      </c>
      <c r="S1408" s="2">
        <v>0</v>
      </c>
      <c r="T1408" s="2">
        <v>3</v>
      </c>
      <c r="U1408" s="2">
        <v>0</v>
      </c>
      <c r="V1408" s="2">
        <f t="shared" si="715"/>
        <v>4</v>
      </c>
      <c r="W1408" s="2">
        <v>17</v>
      </c>
      <c r="X1408" s="2">
        <v>9</v>
      </c>
      <c r="Y1408" s="2">
        <v>0</v>
      </c>
      <c r="Z1408" s="2">
        <f t="shared" si="709"/>
        <v>26</v>
      </c>
      <c r="AA1408" s="2">
        <f t="shared" si="710"/>
        <v>49</v>
      </c>
      <c r="AB1408" s="2">
        <v>2905</v>
      </c>
      <c r="AC1408" s="20">
        <f t="shared" si="711"/>
        <v>1.68674698795181</v>
      </c>
      <c r="AD1408" s="2" t="s">
        <v>257</v>
      </c>
      <c r="AE1408" s="2">
        <v>188</v>
      </c>
      <c r="AF1408" s="21">
        <f t="shared" si="712"/>
        <v>1.68674698795181</v>
      </c>
      <c r="AG1408" s="4">
        <f t="shared" si="713"/>
        <v>0.137693631669535</v>
      </c>
      <c r="AH1408" s="4">
        <f t="shared" si="714"/>
        <v>0.895008605851979</v>
      </c>
      <c r="AO1408" s="2">
        <v>0</v>
      </c>
      <c r="AP1408" s="2">
        <f t="shared" ref="AP1408:AP1425" si="719">AI1408+AJ1408+AL1408+AN1408</f>
        <v>0</v>
      </c>
      <c r="AQ1408" s="2">
        <f t="shared" ref="AQ1408:AQ1425" si="720">AP1408/AB1407*100</f>
        <v>0</v>
      </c>
      <c r="AR1408" s="5">
        <f t="shared" ref="AR1408:AR1425" si="721">AQ1408*1.88</f>
        <v>0</v>
      </c>
    </row>
    <row r="1409" spans="1:44">
      <c r="A1409" s="2">
        <v>20260425</v>
      </c>
      <c r="B1409" s="2" t="s">
        <v>2860</v>
      </c>
      <c r="C1409" s="2" t="s">
        <v>2861</v>
      </c>
      <c r="D1409" s="2">
        <v>0</v>
      </c>
      <c r="E1409" s="2">
        <v>71</v>
      </c>
      <c r="F1409" s="2">
        <v>0</v>
      </c>
      <c r="G1409" s="2">
        <v>2</v>
      </c>
      <c r="H1409" s="2">
        <v>6</v>
      </c>
      <c r="I1409" s="3">
        <v>12</v>
      </c>
      <c r="J1409" s="2">
        <v>19</v>
      </c>
      <c r="K1409" s="2">
        <v>0</v>
      </c>
      <c r="L1409" s="2">
        <v>0</v>
      </c>
      <c r="M1409" s="2">
        <v>3</v>
      </c>
      <c r="N1409" s="2">
        <v>0</v>
      </c>
      <c r="O1409" s="2">
        <v>0</v>
      </c>
      <c r="P1409" s="3">
        <v>7</v>
      </c>
      <c r="Q1409" s="2">
        <v>0</v>
      </c>
      <c r="R1409" s="2">
        <v>82</v>
      </c>
      <c r="S1409" s="2">
        <v>4</v>
      </c>
      <c r="T1409" s="2">
        <v>0</v>
      </c>
      <c r="U1409" s="2">
        <v>0</v>
      </c>
      <c r="V1409" s="2">
        <f t="shared" si="715"/>
        <v>4</v>
      </c>
      <c r="W1409" s="2">
        <v>25</v>
      </c>
      <c r="X1409" s="2">
        <v>7</v>
      </c>
      <c r="Y1409" s="2">
        <v>0</v>
      </c>
      <c r="Z1409" s="2">
        <f t="shared" si="709"/>
        <v>32</v>
      </c>
      <c r="AA1409" s="2">
        <f t="shared" si="710"/>
        <v>49</v>
      </c>
      <c r="AB1409" s="2">
        <v>2905</v>
      </c>
      <c r="AC1409" s="20">
        <f t="shared" si="711"/>
        <v>1.68674698795181</v>
      </c>
      <c r="AD1409" s="2" t="s">
        <v>257</v>
      </c>
      <c r="AE1409" s="2">
        <v>188</v>
      </c>
      <c r="AF1409" s="21">
        <f t="shared" si="712"/>
        <v>1.68674698795181</v>
      </c>
      <c r="AG1409" s="4">
        <f t="shared" si="713"/>
        <v>0.137693631669535</v>
      </c>
      <c r="AH1409" s="4">
        <f t="shared" si="714"/>
        <v>1.10154905335628</v>
      </c>
      <c r="AI1409" s="2">
        <v>5076</v>
      </c>
      <c r="AJ1409" s="2">
        <v>253</v>
      </c>
      <c r="AK1409" s="2">
        <v>310</v>
      </c>
      <c r="AL1409" s="2">
        <v>36</v>
      </c>
      <c r="AM1409" s="2">
        <v>46</v>
      </c>
      <c r="AN1409" s="2">
        <v>18</v>
      </c>
      <c r="AO1409" s="2">
        <v>0</v>
      </c>
      <c r="AP1409" s="2">
        <f t="shared" si="719"/>
        <v>5383</v>
      </c>
      <c r="AQ1409" s="2">
        <f t="shared" si="720"/>
        <v>185.301204819277</v>
      </c>
      <c r="AR1409" s="5">
        <f t="shared" si="721"/>
        <v>348.366265060241</v>
      </c>
    </row>
    <row r="1410" spans="1:44">
      <c r="A1410" s="2">
        <v>20260425</v>
      </c>
      <c r="B1410" s="2" t="s">
        <v>2862</v>
      </c>
      <c r="C1410" s="2" t="s">
        <v>2863</v>
      </c>
      <c r="D1410" s="2">
        <v>0</v>
      </c>
      <c r="E1410" s="2">
        <v>56</v>
      </c>
      <c r="F1410" s="2">
        <v>2</v>
      </c>
      <c r="G1410" s="2">
        <v>1</v>
      </c>
      <c r="H1410" s="2">
        <v>11</v>
      </c>
      <c r="I1410" s="3">
        <v>10</v>
      </c>
      <c r="J1410" s="2">
        <v>10</v>
      </c>
      <c r="K1410" s="2">
        <v>0</v>
      </c>
      <c r="L1410" s="2">
        <v>0</v>
      </c>
      <c r="M1410" s="2">
        <v>6</v>
      </c>
      <c r="N1410" s="2">
        <v>1</v>
      </c>
      <c r="O1410" s="2">
        <v>1</v>
      </c>
      <c r="P1410" s="3">
        <v>3</v>
      </c>
      <c r="Q1410" s="2">
        <v>0</v>
      </c>
      <c r="R1410" s="2">
        <v>102</v>
      </c>
      <c r="S1410" s="2">
        <v>0</v>
      </c>
      <c r="T1410" s="2">
        <v>1</v>
      </c>
      <c r="U1410" s="2">
        <v>0</v>
      </c>
      <c r="V1410" s="2">
        <f t="shared" si="715"/>
        <v>1</v>
      </c>
      <c r="W1410" s="2">
        <v>12</v>
      </c>
      <c r="X1410" s="2">
        <v>9</v>
      </c>
      <c r="Y1410" s="2">
        <v>0</v>
      </c>
      <c r="Z1410" s="2">
        <f t="shared" si="709"/>
        <v>21</v>
      </c>
      <c r="AA1410" s="2">
        <f t="shared" si="710"/>
        <v>42</v>
      </c>
      <c r="AB1410" s="2">
        <v>1468</v>
      </c>
      <c r="AC1410" s="20">
        <f t="shared" si="711"/>
        <v>2.86103542234332</v>
      </c>
      <c r="AD1410" s="2" t="s">
        <v>257</v>
      </c>
      <c r="AE1410" s="2">
        <v>188</v>
      </c>
      <c r="AF1410" s="21">
        <f t="shared" si="712"/>
        <v>2.86103542234332</v>
      </c>
      <c r="AG1410" s="4">
        <f t="shared" si="713"/>
        <v>0.0681198910081744</v>
      </c>
      <c r="AH1410" s="4">
        <f t="shared" si="714"/>
        <v>1.43051771117166</v>
      </c>
      <c r="AI1410" s="2">
        <v>4005</v>
      </c>
      <c r="AJ1410" s="2">
        <v>211</v>
      </c>
      <c r="AK1410" s="2">
        <v>165</v>
      </c>
      <c r="AL1410" s="2">
        <v>54</v>
      </c>
      <c r="AM1410" s="2">
        <v>67</v>
      </c>
      <c r="AN1410" s="2">
        <v>9</v>
      </c>
      <c r="AO1410" s="2">
        <v>0</v>
      </c>
      <c r="AP1410" s="2">
        <f t="shared" si="719"/>
        <v>4279</v>
      </c>
      <c r="AQ1410" s="2">
        <f t="shared" si="720"/>
        <v>147.297762478485</v>
      </c>
      <c r="AR1410" s="5">
        <f t="shared" si="721"/>
        <v>276.919793459552</v>
      </c>
    </row>
    <row r="1411" spans="1:44">
      <c r="A1411" s="2">
        <v>20260425</v>
      </c>
      <c r="B1411" s="2" t="s">
        <v>2864</v>
      </c>
      <c r="C1411" s="2" t="s">
        <v>2865</v>
      </c>
      <c r="D1411" s="2">
        <v>0</v>
      </c>
      <c r="E1411" s="2">
        <v>25</v>
      </c>
      <c r="F1411" s="2">
        <v>0</v>
      </c>
      <c r="G1411" s="2">
        <v>2</v>
      </c>
      <c r="H1411" s="2">
        <v>5</v>
      </c>
      <c r="I1411" s="3">
        <v>8</v>
      </c>
      <c r="J1411" s="2">
        <v>17</v>
      </c>
      <c r="K1411" s="2">
        <v>0</v>
      </c>
      <c r="L1411" s="2">
        <v>1</v>
      </c>
      <c r="M1411" s="2">
        <v>2</v>
      </c>
      <c r="N1411" s="2">
        <v>3</v>
      </c>
      <c r="O1411" s="2">
        <v>0</v>
      </c>
      <c r="P1411" s="3">
        <v>6</v>
      </c>
      <c r="Q1411" s="2">
        <v>0</v>
      </c>
      <c r="R1411" s="2">
        <v>135</v>
      </c>
      <c r="S1411" s="2">
        <v>0</v>
      </c>
      <c r="T1411" s="2">
        <v>2</v>
      </c>
      <c r="U1411" s="2">
        <v>0</v>
      </c>
      <c r="V1411" s="2">
        <f t="shared" si="715"/>
        <v>2</v>
      </c>
      <c r="W1411" s="2">
        <v>23</v>
      </c>
      <c r="X1411" s="2">
        <v>6</v>
      </c>
      <c r="Y1411" s="2">
        <v>0</v>
      </c>
      <c r="Z1411" s="2">
        <f t="shared" si="709"/>
        <v>29</v>
      </c>
      <c r="AA1411" s="2">
        <f t="shared" si="710"/>
        <v>43</v>
      </c>
      <c r="AB1411" s="2">
        <v>2107</v>
      </c>
      <c r="AC1411" s="20">
        <f t="shared" si="711"/>
        <v>2.04081632653061</v>
      </c>
      <c r="AD1411" s="2" t="s">
        <v>257</v>
      </c>
      <c r="AE1411" s="2">
        <v>188</v>
      </c>
      <c r="AF1411" s="21">
        <f t="shared" si="712"/>
        <v>2.04081632653061</v>
      </c>
      <c r="AG1411" s="4">
        <f t="shared" si="713"/>
        <v>0.094921689606075</v>
      </c>
      <c r="AH1411" s="4">
        <f t="shared" si="714"/>
        <v>1.37636449928809</v>
      </c>
      <c r="AI1411" s="2">
        <v>3760</v>
      </c>
      <c r="AJ1411" s="2">
        <v>232</v>
      </c>
      <c r="AK1411" s="2">
        <v>255</v>
      </c>
      <c r="AL1411" s="2">
        <v>78</v>
      </c>
      <c r="AM1411" s="2">
        <v>63</v>
      </c>
      <c r="AN1411" s="2">
        <v>12</v>
      </c>
      <c r="AO1411" s="2">
        <v>0</v>
      </c>
      <c r="AP1411" s="2">
        <f t="shared" si="719"/>
        <v>4082</v>
      </c>
      <c r="AQ1411" s="2">
        <f t="shared" si="720"/>
        <v>278.065395095368</v>
      </c>
      <c r="AR1411" s="5">
        <f t="shared" si="721"/>
        <v>522.762942779292</v>
      </c>
    </row>
    <row r="1412" spans="1:44">
      <c r="A1412" s="2">
        <v>20260425</v>
      </c>
      <c r="B1412" s="2" t="s">
        <v>2866</v>
      </c>
      <c r="C1412" s="2" t="s">
        <v>2867</v>
      </c>
      <c r="D1412" s="2">
        <v>0</v>
      </c>
      <c r="E1412" s="2">
        <v>350</v>
      </c>
      <c r="F1412" s="2">
        <v>1</v>
      </c>
      <c r="G1412" s="2">
        <v>0</v>
      </c>
      <c r="H1412" s="2">
        <v>0</v>
      </c>
      <c r="I1412" s="3">
        <v>7</v>
      </c>
      <c r="J1412" s="2">
        <v>11</v>
      </c>
      <c r="K1412" s="2">
        <v>0</v>
      </c>
      <c r="L1412" s="2">
        <v>0</v>
      </c>
      <c r="M1412" s="2">
        <v>0</v>
      </c>
      <c r="N1412" s="2">
        <v>1</v>
      </c>
      <c r="O1412" s="2">
        <v>0</v>
      </c>
      <c r="P1412" s="3">
        <v>0</v>
      </c>
      <c r="Q1412" s="2">
        <v>0</v>
      </c>
      <c r="R1412" s="2">
        <v>66</v>
      </c>
      <c r="S1412" s="2">
        <v>0</v>
      </c>
      <c r="T1412" s="2">
        <v>1</v>
      </c>
      <c r="U1412" s="2">
        <v>0</v>
      </c>
      <c r="V1412" s="2">
        <f t="shared" si="715"/>
        <v>1</v>
      </c>
      <c r="W1412" s="2">
        <v>2</v>
      </c>
      <c r="X1412" s="2">
        <v>1</v>
      </c>
      <c r="Y1412" s="2">
        <v>0</v>
      </c>
      <c r="Z1412" s="2">
        <f t="shared" si="709"/>
        <v>3</v>
      </c>
      <c r="AA1412" s="2">
        <f t="shared" si="710"/>
        <v>19</v>
      </c>
      <c r="AB1412" s="2">
        <v>1522</v>
      </c>
      <c r="AC1412" s="20">
        <f t="shared" si="711"/>
        <v>1.24835742444152</v>
      </c>
      <c r="AD1412" s="2" t="s">
        <v>257</v>
      </c>
      <c r="AE1412" s="2">
        <v>188</v>
      </c>
      <c r="AF1412" s="21">
        <f t="shared" si="712"/>
        <v>1.24835742444152</v>
      </c>
      <c r="AG1412" s="4">
        <f t="shared" si="713"/>
        <v>0.0657030223390276</v>
      </c>
      <c r="AH1412" s="4">
        <f t="shared" si="714"/>
        <v>0.197109067017083</v>
      </c>
      <c r="AI1412" s="2">
        <v>2460</v>
      </c>
      <c r="AJ1412" s="2">
        <v>128</v>
      </c>
      <c r="AK1412" s="2">
        <v>198</v>
      </c>
      <c r="AL1412" s="2">
        <v>15</v>
      </c>
      <c r="AM1412" s="2">
        <v>20</v>
      </c>
      <c r="AN1412" s="2">
        <v>4</v>
      </c>
      <c r="AO1412" s="2">
        <v>0</v>
      </c>
      <c r="AP1412" s="2">
        <f t="shared" si="719"/>
        <v>2607</v>
      </c>
      <c r="AQ1412" s="2">
        <f t="shared" si="720"/>
        <v>123.730422401519</v>
      </c>
      <c r="AR1412" s="5">
        <f t="shared" si="721"/>
        <v>232.613194114855</v>
      </c>
    </row>
    <row r="1413" spans="1:44">
      <c r="A1413" s="2">
        <v>20260425</v>
      </c>
      <c r="B1413" s="2" t="s">
        <v>2868</v>
      </c>
      <c r="C1413" s="2" t="s">
        <v>2869</v>
      </c>
      <c r="D1413" s="2">
        <v>1</v>
      </c>
      <c r="E1413" s="2">
        <v>809</v>
      </c>
      <c r="F1413" s="2">
        <v>6</v>
      </c>
      <c r="G1413" s="2">
        <v>3</v>
      </c>
      <c r="H1413" s="2">
        <v>21</v>
      </c>
      <c r="I1413" s="3">
        <v>935</v>
      </c>
      <c r="J1413" s="2">
        <v>0</v>
      </c>
      <c r="K1413" s="2">
        <v>0</v>
      </c>
      <c r="L1413" s="2">
        <v>1</v>
      </c>
      <c r="M1413" s="2">
        <v>0</v>
      </c>
      <c r="N1413" s="2">
        <v>0</v>
      </c>
      <c r="O1413" s="2">
        <v>5</v>
      </c>
      <c r="P1413" s="3">
        <v>0</v>
      </c>
      <c r="Q1413" s="2">
        <v>0</v>
      </c>
      <c r="R1413" s="2">
        <v>1316</v>
      </c>
      <c r="S1413" s="2">
        <v>4</v>
      </c>
      <c r="T1413" s="2">
        <v>0</v>
      </c>
      <c r="U1413" s="2">
        <v>0</v>
      </c>
      <c r="V1413" s="2">
        <f t="shared" si="715"/>
        <v>4</v>
      </c>
      <c r="W1413" s="2">
        <v>5</v>
      </c>
      <c r="X1413" s="2">
        <v>6</v>
      </c>
      <c r="Y1413" s="2">
        <v>0</v>
      </c>
      <c r="Z1413" s="2">
        <f t="shared" si="709"/>
        <v>11</v>
      </c>
      <c r="AA1413" s="2">
        <f t="shared" si="710"/>
        <v>960</v>
      </c>
      <c r="AB1413" s="2">
        <v>2561</v>
      </c>
      <c r="AC1413" s="20">
        <f t="shared" si="711"/>
        <v>37.4853572823116</v>
      </c>
      <c r="AD1413" s="2" t="s">
        <v>257</v>
      </c>
      <c r="AE1413" s="2">
        <v>188</v>
      </c>
      <c r="AF1413" s="21">
        <f t="shared" si="712"/>
        <v>37.4853572823116</v>
      </c>
      <c r="AG1413" s="4">
        <f t="shared" si="713"/>
        <v>0.156188988676298</v>
      </c>
      <c r="AH1413" s="4">
        <f t="shared" si="714"/>
        <v>0.42951971885982</v>
      </c>
      <c r="AI1413" s="2">
        <v>4120</v>
      </c>
      <c r="AJ1413" s="2">
        <v>206</v>
      </c>
      <c r="AK1413" s="2">
        <v>230</v>
      </c>
      <c r="AL1413" s="2">
        <v>41</v>
      </c>
      <c r="AM1413" s="2">
        <v>151</v>
      </c>
      <c r="AN1413" s="2">
        <v>13</v>
      </c>
      <c r="AO1413" s="2">
        <v>0</v>
      </c>
      <c r="AP1413" s="2">
        <f t="shared" si="719"/>
        <v>4380</v>
      </c>
      <c r="AQ1413" s="2">
        <f t="shared" si="720"/>
        <v>287.779237844941</v>
      </c>
      <c r="AR1413" s="5">
        <f t="shared" si="721"/>
        <v>541.024967148489</v>
      </c>
    </row>
    <row r="1414" spans="1:44">
      <c r="A1414" s="2">
        <v>20260425</v>
      </c>
      <c r="B1414" s="2" t="s">
        <v>2870</v>
      </c>
      <c r="C1414" s="2" t="s">
        <v>2871</v>
      </c>
      <c r="D1414" s="2">
        <v>0</v>
      </c>
      <c r="E1414" s="2">
        <v>1634</v>
      </c>
      <c r="F1414" s="2">
        <v>2</v>
      </c>
      <c r="G1414" s="2">
        <v>4</v>
      </c>
      <c r="H1414" s="2">
        <v>9</v>
      </c>
      <c r="I1414" s="3">
        <v>12</v>
      </c>
      <c r="J1414" s="2">
        <v>658</v>
      </c>
      <c r="K1414" s="2">
        <v>2</v>
      </c>
      <c r="L1414" s="2">
        <v>0</v>
      </c>
      <c r="M1414" s="2">
        <v>1</v>
      </c>
      <c r="N1414" s="2">
        <v>9</v>
      </c>
      <c r="O1414" s="2">
        <v>4</v>
      </c>
      <c r="P1414" s="3">
        <v>0</v>
      </c>
      <c r="Q1414" s="2">
        <v>0</v>
      </c>
      <c r="R1414" s="2">
        <v>938</v>
      </c>
      <c r="S1414" s="2">
        <v>2</v>
      </c>
      <c r="T1414" s="2">
        <v>0</v>
      </c>
      <c r="U1414" s="2">
        <v>0</v>
      </c>
      <c r="V1414" s="2">
        <f t="shared" si="715"/>
        <v>2</v>
      </c>
      <c r="W1414" s="2">
        <v>5</v>
      </c>
      <c r="X1414" s="2">
        <v>6</v>
      </c>
      <c r="Y1414" s="2">
        <v>0</v>
      </c>
      <c r="Z1414" s="2">
        <f t="shared" si="709"/>
        <v>11</v>
      </c>
      <c r="AA1414" s="2">
        <f t="shared" si="710"/>
        <v>686</v>
      </c>
      <c r="AB1414" s="2">
        <v>2097</v>
      </c>
      <c r="AC1414" s="20">
        <f t="shared" si="711"/>
        <v>32.7134000953743</v>
      </c>
      <c r="AD1414" s="2" t="s">
        <v>257</v>
      </c>
      <c r="AE1414" s="2">
        <v>188</v>
      </c>
      <c r="AF1414" s="21">
        <f t="shared" si="712"/>
        <v>32.7134000953743</v>
      </c>
      <c r="AG1414" s="4">
        <f t="shared" si="713"/>
        <v>0.0953743443013829</v>
      </c>
      <c r="AH1414" s="4">
        <f t="shared" si="714"/>
        <v>0.524558893657606</v>
      </c>
      <c r="AI1414" s="2">
        <v>3171</v>
      </c>
      <c r="AJ1414" s="2">
        <v>93</v>
      </c>
      <c r="AK1414" s="2">
        <v>228</v>
      </c>
      <c r="AL1414" s="2">
        <v>19</v>
      </c>
      <c r="AM1414" s="2">
        <v>41</v>
      </c>
      <c r="AN1414" s="2">
        <v>4</v>
      </c>
      <c r="AO1414" s="2">
        <v>0</v>
      </c>
      <c r="AP1414" s="2">
        <f t="shared" si="719"/>
        <v>3287</v>
      </c>
      <c r="AQ1414" s="2">
        <f t="shared" si="720"/>
        <v>128.348301444748</v>
      </c>
      <c r="AR1414" s="5">
        <f t="shared" si="721"/>
        <v>241.294806716126</v>
      </c>
    </row>
    <row r="1415" spans="1:44">
      <c r="A1415" s="2">
        <v>20260425</v>
      </c>
      <c r="B1415" s="2" t="s">
        <v>2872</v>
      </c>
      <c r="C1415" s="2" t="s">
        <v>2873</v>
      </c>
      <c r="D1415" s="2">
        <v>0</v>
      </c>
      <c r="E1415" s="2">
        <v>202</v>
      </c>
      <c r="F1415" s="2">
        <v>2</v>
      </c>
      <c r="G1415" s="2">
        <v>4</v>
      </c>
      <c r="H1415" s="2">
        <v>59</v>
      </c>
      <c r="I1415" s="3">
        <v>14</v>
      </c>
      <c r="J1415" s="2">
        <v>527</v>
      </c>
      <c r="K1415" s="2">
        <v>0</v>
      </c>
      <c r="L1415" s="2">
        <v>0</v>
      </c>
      <c r="M1415" s="2">
        <v>3</v>
      </c>
      <c r="N1415" s="2">
        <v>10</v>
      </c>
      <c r="O1415" s="2">
        <v>5</v>
      </c>
      <c r="P1415" s="3">
        <v>3</v>
      </c>
      <c r="Q1415" s="2">
        <v>0</v>
      </c>
      <c r="R1415" s="2">
        <v>1295</v>
      </c>
      <c r="S1415" s="2">
        <v>1</v>
      </c>
      <c r="T1415" s="2">
        <v>5</v>
      </c>
      <c r="U1415" s="2">
        <v>0</v>
      </c>
      <c r="V1415" s="2">
        <f t="shared" si="715"/>
        <v>6</v>
      </c>
      <c r="W1415" s="2">
        <v>20</v>
      </c>
      <c r="X1415" s="2">
        <v>4</v>
      </c>
      <c r="Y1415" s="2">
        <v>0</v>
      </c>
      <c r="Z1415" s="2">
        <f t="shared" si="709"/>
        <v>24</v>
      </c>
      <c r="AA1415" s="2">
        <f t="shared" si="710"/>
        <v>615</v>
      </c>
      <c r="AB1415" s="2">
        <v>2097</v>
      </c>
      <c r="AC1415" s="20">
        <f t="shared" si="711"/>
        <v>29.3276108726753</v>
      </c>
      <c r="AD1415" s="2" t="s">
        <v>257</v>
      </c>
      <c r="AE1415" s="2">
        <v>188</v>
      </c>
      <c r="AF1415" s="21">
        <f t="shared" si="712"/>
        <v>29.3276108726753</v>
      </c>
      <c r="AG1415" s="4">
        <f t="shared" si="713"/>
        <v>0.286123032904149</v>
      </c>
      <c r="AH1415" s="4">
        <f t="shared" si="714"/>
        <v>1.1444921316166</v>
      </c>
      <c r="AI1415" s="2">
        <v>4107</v>
      </c>
      <c r="AJ1415" s="2">
        <v>109</v>
      </c>
      <c r="AK1415" s="2">
        <v>216</v>
      </c>
      <c r="AL1415" s="2">
        <v>29</v>
      </c>
      <c r="AM1415" s="2">
        <v>39</v>
      </c>
      <c r="AN1415" s="2">
        <v>6</v>
      </c>
      <c r="AO1415" s="2">
        <v>0</v>
      </c>
      <c r="AP1415" s="2">
        <f t="shared" si="719"/>
        <v>4251</v>
      </c>
      <c r="AQ1415" s="2">
        <f t="shared" si="720"/>
        <v>202.718168812589</v>
      </c>
      <c r="AR1415" s="5">
        <f t="shared" si="721"/>
        <v>381.110157367668</v>
      </c>
    </row>
    <row r="1416" spans="1:44">
      <c r="A1416" s="2">
        <v>20260425</v>
      </c>
      <c r="B1416" s="2" t="s">
        <v>2874</v>
      </c>
      <c r="C1416" s="2" t="s">
        <v>2875</v>
      </c>
      <c r="D1416" s="2">
        <v>0</v>
      </c>
      <c r="E1416" s="2">
        <v>2</v>
      </c>
      <c r="F1416" s="2">
        <v>6</v>
      </c>
      <c r="G1416" s="2">
        <v>3</v>
      </c>
      <c r="H1416" s="2">
        <v>6</v>
      </c>
      <c r="I1416" s="3">
        <v>9</v>
      </c>
      <c r="J1416" s="2">
        <v>6</v>
      </c>
      <c r="K1416" s="2">
        <v>1</v>
      </c>
      <c r="L1416" s="2">
        <v>3</v>
      </c>
      <c r="M1416" s="2">
        <v>2</v>
      </c>
      <c r="N1416" s="2">
        <v>6</v>
      </c>
      <c r="O1416" s="2">
        <v>0</v>
      </c>
      <c r="P1416" s="3">
        <v>6</v>
      </c>
      <c r="Q1416" s="2">
        <v>1</v>
      </c>
      <c r="R1416" s="2">
        <v>21</v>
      </c>
      <c r="S1416" s="2">
        <v>0</v>
      </c>
      <c r="T1416" s="2">
        <v>4</v>
      </c>
      <c r="U1416" s="2">
        <v>0</v>
      </c>
      <c r="V1416" s="2">
        <f t="shared" si="715"/>
        <v>5</v>
      </c>
      <c r="W1416" s="2">
        <v>0</v>
      </c>
      <c r="X1416" s="2">
        <v>3</v>
      </c>
      <c r="Y1416" s="2">
        <v>0</v>
      </c>
      <c r="Z1416" s="2">
        <f t="shared" si="709"/>
        <v>3</v>
      </c>
      <c r="AA1416" s="2">
        <f t="shared" si="710"/>
        <v>40</v>
      </c>
      <c r="AB1416" s="2">
        <v>3115</v>
      </c>
      <c r="AC1416" s="20">
        <f t="shared" si="711"/>
        <v>1.28410914927769</v>
      </c>
      <c r="AD1416" s="2" t="s">
        <v>58</v>
      </c>
      <c r="AE1416" s="2">
        <v>100</v>
      </c>
      <c r="AF1416" s="21">
        <f t="shared" si="712"/>
        <v>2.41412520064205</v>
      </c>
      <c r="AG1416" s="4">
        <f t="shared" si="713"/>
        <v>0.160513643659711</v>
      </c>
      <c r="AH1416" s="4">
        <f t="shared" si="714"/>
        <v>0.0963081861958267</v>
      </c>
      <c r="AI1416" s="2">
        <v>35718</v>
      </c>
      <c r="AJ1416" s="2">
        <v>386</v>
      </c>
      <c r="AK1416" s="2">
        <v>907</v>
      </c>
      <c r="AL1416" s="2">
        <v>61</v>
      </c>
      <c r="AM1416" s="2">
        <v>56</v>
      </c>
      <c r="AN1416" s="2">
        <v>2</v>
      </c>
      <c r="AO1416" s="2">
        <v>0</v>
      </c>
      <c r="AP1416" s="2">
        <f t="shared" si="719"/>
        <v>36167</v>
      </c>
      <c r="AQ1416" s="2">
        <f t="shared" si="720"/>
        <v>1724.70195517406</v>
      </c>
      <c r="AR1416" s="5">
        <f t="shared" si="721"/>
        <v>3242.43967572723</v>
      </c>
    </row>
    <row r="1417" spans="1:44">
      <c r="A1417" s="2">
        <v>20260425</v>
      </c>
      <c r="B1417" s="2" t="s">
        <v>2876</v>
      </c>
      <c r="C1417" s="2" t="s">
        <v>2877</v>
      </c>
      <c r="D1417" s="2">
        <v>1</v>
      </c>
      <c r="E1417" s="2">
        <v>1</v>
      </c>
      <c r="F1417" s="2">
        <v>2</v>
      </c>
      <c r="G1417" s="2">
        <v>3</v>
      </c>
      <c r="H1417" s="2">
        <v>4</v>
      </c>
      <c r="I1417" s="3">
        <v>18</v>
      </c>
      <c r="J1417" s="2">
        <v>8</v>
      </c>
      <c r="K1417" s="2">
        <v>5</v>
      </c>
      <c r="L1417" s="2">
        <v>3</v>
      </c>
      <c r="M1417" s="2">
        <v>4</v>
      </c>
      <c r="N1417" s="2">
        <v>9</v>
      </c>
      <c r="O1417" s="2">
        <v>0</v>
      </c>
      <c r="P1417" s="3">
        <v>9</v>
      </c>
      <c r="Q1417" s="2">
        <v>0</v>
      </c>
      <c r="R1417" s="2">
        <v>58</v>
      </c>
      <c r="S1417" s="2">
        <v>0</v>
      </c>
      <c r="T1417" s="2">
        <v>8</v>
      </c>
      <c r="U1417" s="2">
        <v>1</v>
      </c>
      <c r="V1417" s="2">
        <f t="shared" si="715"/>
        <v>9</v>
      </c>
      <c r="W1417" s="2">
        <v>0</v>
      </c>
      <c r="X1417" s="2">
        <v>0</v>
      </c>
      <c r="Y1417" s="2">
        <v>1</v>
      </c>
      <c r="Z1417" s="2">
        <f t="shared" si="709"/>
        <v>2</v>
      </c>
      <c r="AA1417" s="2">
        <f t="shared" si="710"/>
        <v>63</v>
      </c>
      <c r="AB1417" s="2">
        <v>6252</v>
      </c>
      <c r="AC1417" s="20">
        <f t="shared" si="711"/>
        <v>1.00767754318618</v>
      </c>
      <c r="AD1417" s="2" t="s">
        <v>58</v>
      </c>
      <c r="AE1417" s="2">
        <v>100</v>
      </c>
      <c r="AF1417" s="21">
        <f t="shared" si="712"/>
        <v>1.89443378119002</v>
      </c>
      <c r="AG1417" s="4">
        <f t="shared" si="713"/>
        <v>0.143953934740883</v>
      </c>
      <c r="AH1417" s="4">
        <f t="shared" si="714"/>
        <v>0.0319897632757518</v>
      </c>
      <c r="AI1417" s="2">
        <v>55293</v>
      </c>
      <c r="AJ1417" s="2">
        <v>302</v>
      </c>
      <c r="AK1417" s="2">
        <v>1731</v>
      </c>
      <c r="AL1417" s="2">
        <v>52</v>
      </c>
      <c r="AM1417" s="2">
        <v>65</v>
      </c>
      <c r="AN1417" s="2">
        <v>0</v>
      </c>
      <c r="AO1417" s="2">
        <v>0</v>
      </c>
      <c r="AP1417" s="2">
        <f t="shared" si="719"/>
        <v>55647</v>
      </c>
      <c r="AQ1417" s="2">
        <f t="shared" si="720"/>
        <v>1786.42054574639</v>
      </c>
      <c r="AR1417" s="5">
        <f t="shared" si="721"/>
        <v>3358.47062600321</v>
      </c>
    </row>
    <row r="1418" spans="1:44">
      <c r="A1418" s="2">
        <v>20260426</v>
      </c>
      <c r="B1418" s="2" t="s">
        <v>2878</v>
      </c>
      <c r="C1418" s="2" t="s">
        <v>2879</v>
      </c>
      <c r="D1418" s="2">
        <v>0</v>
      </c>
      <c r="E1418" s="2">
        <v>2</v>
      </c>
      <c r="F1418" s="2">
        <v>0</v>
      </c>
      <c r="G1418" s="2">
        <v>2</v>
      </c>
      <c r="H1418" s="2">
        <v>3</v>
      </c>
      <c r="I1418" s="3">
        <v>11</v>
      </c>
      <c r="J1418" s="2">
        <v>3</v>
      </c>
      <c r="K1418" s="2">
        <v>2</v>
      </c>
      <c r="L1418" s="2">
        <v>0</v>
      </c>
      <c r="M1418" s="2">
        <v>3</v>
      </c>
      <c r="N1418" s="2">
        <v>10</v>
      </c>
      <c r="O1418" s="2">
        <v>0</v>
      </c>
      <c r="P1418" s="3">
        <v>7</v>
      </c>
      <c r="Q1418" s="2">
        <v>4</v>
      </c>
      <c r="R1418" s="2">
        <v>48</v>
      </c>
      <c r="S1418" s="2">
        <v>2</v>
      </c>
      <c r="T1418" s="2">
        <v>2</v>
      </c>
      <c r="U1418" s="2">
        <v>1</v>
      </c>
      <c r="V1418" s="2">
        <f t="shared" si="715"/>
        <v>9</v>
      </c>
      <c r="W1418" s="2">
        <v>2</v>
      </c>
      <c r="X1418" s="2">
        <v>0</v>
      </c>
      <c r="Y1418" s="2">
        <v>0</v>
      </c>
      <c r="Z1418" s="2">
        <f t="shared" si="709"/>
        <v>3</v>
      </c>
      <c r="AA1418" s="2">
        <f t="shared" si="710"/>
        <v>34</v>
      </c>
      <c r="AB1418" s="2">
        <v>6252</v>
      </c>
      <c r="AC1418" s="20">
        <f t="shared" si="711"/>
        <v>0.54382597568778</v>
      </c>
      <c r="AD1418" s="2" t="s">
        <v>58</v>
      </c>
      <c r="AE1418" s="2">
        <v>100</v>
      </c>
      <c r="AF1418" s="21">
        <f t="shared" si="712"/>
        <v>1.02239283429303</v>
      </c>
      <c r="AG1418" s="4">
        <f t="shared" si="713"/>
        <v>0.143953934740883</v>
      </c>
      <c r="AH1418" s="4">
        <f t="shared" si="714"/>
        <v>0.0479846449136276</v>
      </c>
      <c r="AI1418" s="2">
        <v>3570</v>
      </c>
      <c r="AJ1418" s="2">
        <v>258</v>
      </c>
      <c r="AK1418" s="2">
        <v>91</v>
      </c>
      <c r="AL1418" s="2">
        <v>94</v>
      </c>
      <c r="AM1418" s="2">
        <v>66</v>
      </c>
      <c r="AN1418" s="2">
        <v>0</v>
      </c>
      <c r="AO1418" s="2">
        <v>0</v>
      </c>
      <c r="AP1418" s="2">
        <f t="shared" si="719"/>
        <v>3922</v>
      </c>
      <c r="AQ1418" s="2">
        <f t="shared" si="720"/>
        <v>62.7319257837492</v>
      </c>
      <c r="AR1418" s="5">
        <f t="shared" si="721"/>
        <v>117.936020473448</v>
      </c>
    </row>
    <row r="1419" spans="1:44">
      <c r="A1419" s="2">
        <v>20260426</v>
      </c>
      <c r="B1419" s="2" t="s">
        <v>2880</v>
      </c>
      <c r="C1419" s="2" t="s">
        <v>2881</v>
      </c>
      <c r="D1419" s="2">
        <v>0</v>
      </c>
      <c r="E1419" s="2">
        <v>0</v>
      </c>
      <c r="F1419" s="2">
        <v>0</v>
      </c>
      <c r="G1419" s="2">
        <v>2</v>
      </c>
      <c r="H1419" s="2">
        <v>0</v>
      </c>
      <c r="I1419" s="3">
        <v>2</v>
      </c>
      <c r="J1419" s="2">
        <v>1</v>
      </c>
      <c r="K1419" s="2">
        <v>1</v>
      </c>
      <c r="L1419" s="2">
        <v>0</v>
      </c>
      <c r="M1419" s="2">
        <v>1</v>
      </c>
      <c r="N1419" s="2">
        <v>1</v>
      </c>
      <c r="O1419" s="2">
        <v>0</v>
      </c>
      <c r="P1419" s="3">
        <v>4</v>
      </c>
      <c r="Q1419" s="2">
        <v>0</v>
      </c>
      <c r="R1419" s="2">
        <v>2</v>
      </c>
      <c r="S1419" s="2">
        <v>0</v>
      </c>
      <c r="T1419" s="2">
        <v>0</v>
      </c>
      <c r="U1419" s="2">
        <v>0</v>
      </c>
      <c r="V1419" s="2">
        <f t="shared" si="715"/>
        <v>0</v>
      </c>
      <c r="W1419" s="2">
        <v>1</v>
      </c>
      <c r="X1419" s="2">
        <v>0</v>
      </c>
      <c r="Y1419" s="2">
        <v>0</v>
      </c>
      <c r="Z1419" s="2">
        <f t="shared" si="709"/>
        <v>1</v>
      </c>
      <c r="AA1419" s="2">
        <f t="shared" si="710"/>
        <v>11</v>
      </c>
      <c r="AB1419" s="2">
        <v>2191</v>
      </c>
      <c r="AC1419" s="20">
        <f t="shared" si="711"/>
        <v>0.502053856686445</v>
      </c>
      <c r="AD1419" s="2" t="s">
        <v>83</v>
      </c>
      <c r="AE1419" s="2">
        <v>125</v>
      </c>
      <c r="AF1419" s="21">
        <f t="shared" si="712"/>
        <v>0.755089000456413</v>
      </c>
      <c r="AG1419" s="4">
        <f t="shared" si="713"/>
        <v>0</v>
      </c>
      <c r="AH1419" s="4">
        <f t="shared" si="714"/>
        <v>0.0456412596987677</v>
      </c>
      <c r="AI1419" s="2">
        <v>44</v>
      </c>
      <c r="AJ1419" s="2">
        <v>2</v>
      </c>
      <c r="AK1419" s="2">
        <v>3</v>
      </c>
      <c r="AL1419" s="2">
        <v>0</v>
      </c>
      <c r="AM1419" s="2">
        <v>0</v>
      </c>
      <c r="AN1419" s="2">
        <v>0</v>
      </c>
      <c r="AO1419" s="2">
        <v>0</v>
      </c>
      <c r="AP1419" s="2">
        <f t="shared" si="719"/>
        <v>46</v>
      </c>
      <c r="AQ1419" s="2">
        <f t="shared" si="720"/>
        <v>0.73576455534229</v>
      </c>
      <c r="AR1419" s="5">
        <f t="shared" si="721"/>
        <v>1.38323736404351</v>
      </c>
    </row>
    <row r="1420" spans="1:44">
      <c r="A1420" s="2">
        <v>20260426</v>
      </c>
      <c r="B1420" s="2" t="s">
        <v>2882</v>
      </c>
      <c r="C1420" s="2" t="s">
        <v>2883</v>
      </c>
      <c r="D1420" s="2">
        <v>1</v>
      </c>
      <c r="E1420" s="2">
        <v>2</v>
      </c>
      <c r="F1420" s="2">
        <v>1</v>
      </c>
      <c r="G1420" s="2">
        <v>2</v>
      </c>
      <c r="H1420" s="2">
        <v>6</v>
      </c>
      <c r="I1420" s="3">
        <v>2</v>
      </c>
      <c r="J1420" s="2">
        <v>5</v>
      </c>
      <c r="K1420" s="2">
        <v>1</v>
      </c>
      <c r="L1420" s="2">
        <v>0</v>
      </c>
      <c r="M1420" s="2">
        <v>0</v>
      </c>
      <c r="N1420" s="2">
        <v>9</v>
      </c>
      <c r="O1420" s="2">
        <v>2</v>
      </c>
      <c r="P1420" s="3">
        <v>4</v>
      </c>
      <c r="Q1420" s="2">
        <v>7</v>
      </c>
      <c r="R1420" s="2">
        <v>6</v>
      </c>
      <c r="S1420" s="2">
        <v>2</v>
      </c>
      <c r="T1420" s="2">
        <v>4</v>
      </c>
      <c r="U1420" s="2">
        <v>1</v>
      </c>
      <c r="V1420" s="2">
        <f t="shared" si="715"/>
        <v>14</v>
      </c>
      <c r="W1420" s="2">
        <v>0</v>
      </c>
      <c r="X1420" s="2">
        <v>0</v>
      </c>
      <c r="Y1420" s="2">
        <v>1</v>
      </c>
      <c r="Z1420" s="2">
        <f t="shared" si="709"/>
        <v>2</v>
      </c>
      <c r="AA1420" s="2">
        <f t="shared" si="710"/>
        <v>25</v>
      </c>
      <c r="AB1420" s="2">
        <v>4239</v>
      </c>
      <c r="AC1420" s="20">
        <f t="shared" si="711"/>
        <v>0.589761736258552</v>
      </c>
      <c r="AD1420" s="2" t="s">
        <v>83</v>
      </c>
      <c r="AE1420" s="2">
        <v>125</v>
      </c>
      <c r="AF1420" s="21">
        <f t="shared" si="712"/>
        <v>0.887001651332862</v>
      </c>
      <c r="AG1420" s="4">
        <f t="shared" si="713"/>
        <v>0.330266572304789</v>
      </c>
      <c r="AH1420" s="4">
        <f t="shared" si="714"/>
        <v>0.0471809389006841</v>
      </c>
      <c r="AI1420" s="2">
        <v>5690</v>
      </c>
      <c r="AJ1420" s="2">
        <v>195</v>
      </c>
      <c r="AK1420" s="2">
        <v>659</v>
      </c>
      <c r="AL1420" s="2">
        <v>40</v>
      </c>
      <c r="AM1420" s="2">
        <v>25</v>
      </c>
      <c r="AN1420" s="2">
        <v>2</v>
      </c>
      <c r="AO1420" s="2">
        <v>0</v>
      </c>
      <c r="AP1420" s="2">
        <f t="shared" si="719"/>
        <v>5927</v>
      </c>
      <c r="AQ1420" s="2">
        <f t="shared" si="720"/>
        <v>270.515746234596</v>
      </c>
      <c r="AR1420" s="5">
        <f t="shared" si="721"/>
        <v>508.569602921041</v>
      </c>
    </row>
    <row r="1421" spans="1:44">
      <c r="A1421" s="2">
        <v>20260426</v>
      </c>
      <c r="B1421" s="2" t="s">
        <v>2884</v>
      </c>
      <c r="C1421" s="2" t="s">
        <v>2885</v>
      </c>
      <c r="D1421" s="2">
        <v>1</v>
      </c>
      <c r="E1421" s="2">
        <v>1</v>
      </c>
      <c r="F1421" s="2">
        <v>1</v>
      </c>
      <c r="G1421" s="2">
        <v>3</v>
      </c>
      <c r="H1421" s="2">
        <v>2</v>
      </c>
      <c r="I1421" s="3">
        <v>1</v>
      </c>
      <c r="J1421" s="2">
        <v>1</v>
      </c>
      <c r="K1421" s="2">
        <v>0</v>
      </c>
      <c r="L1421" s="2">
        <v>0</v>
      </c>
      <c r="M1421" s="2">
        <v>11</v>
      </c>
      <c r="N1421" s="2">
        <v>0</v>
      </c>
      <c r="O1421" s="2">
        <v>2</v>
      </c>
      <c r="P1421" s="3">
        <v>2</v>
      </c>
      <c r="Q1421" s="2">
        <v>4</v>
      </c>
      <c r="R1421" s="2">
        <v>0</v>
      </c>
      <c r="S1421" s="2">
        <v>5</v>
      </c>
      <c r="T1421" s="2">
        <v>0</v>
      </c>
      <c r="U1421" s="2">
        <v>0</v>
      </c>
      <c r="V1421" s="2">
        <f t="shared" si="715"/>
        <v>9</v>
      </c>
      <c r="W1421" s="2">
        <v>0</v>
      </c>
      <c r="X1421" s="2">
        <v>0</v>
      </c>
      <c r="Y1421" s="2">
        <v>0</v>
      </c>
      <c r="Z1421" s="2">
        <f t="shared" si="709"/>
        <v>0</v>
      </c>
      <c r="AA1421" s="2">
        <f t="shared" si="710"/>
        <v>20</v>
      </c>
      <c r="AB1421" s="2">
        <v>2391</v>
      </c>
      <c r="AC1421" s="20">
        <f t="shared" si="711"/>
        <v>0.836470096194061</v>
      </c>
      <c r="AD1421" s="2" t="s">
        <v>83</v>
      </c>
      <c r="AE1421" s="2">
        <v>125</v>
      </c>
      <c r="AF1421" s="21">
        <f t="shared" si="712"/>
        <v>1.25805102467587</v>
      </c>
      <c r="AG1421" s="4">
        <f t="shared" si="713"/>
        <v>0.376411543287327</v>
      </c>
      <c r="AH1421" s="4">
        <f t="shared" si="714"/>
        <v>0</v>
      </c>
      <c r="AI1421" s="2">
        <v>10095</v>
      </c>
      <c r="AJ1421" s="2">
        <v>207</v>
      </c>
      <c r="AK1421" s="2">
        <v>527</v>
      </c>
      <c r="AL1421" s="2">
        <v>28</v>
      </c>
      <c r="AM1421" s="2">
        <v>33</v>
      </c>
      <c r="AN1421" s="2">
        <v>0</v>
      </c>
      <c r="AO1421" s="2">
        <v>0</v>
      </c>
      <c r="AP1421" s="2">
        <f t="shared" si="719"/>
        <v>10330</v>
      </c>
      <c r="AQ1421" s="2">
        <f t="shared" si="720"/>
        <v>243.689549422034</v>
      </c>
      <c r="AR1421" s="5">
        <f t="shared" si="721"/>
        <v>458.136352913423</v>
      </c>
    </row>
    <row r="1422" spans="1:44">
      <c r="A1422" s="2">
        <v>20260426</v>
      </c>
      <c r="B1422" s="2" t="s">
        <v>2886</v>
      </c>
      <c r="C1422" s="2" t="s">
        <v>2887</v>
      </c>
      <c r="D1422" s="2">
        <v>1</v>
      </c>
      <c r="E1422" s="2">
        <v>1</v>
      </c>
      <c r="F1422" s="2">
        <v>0</v>
      </c>
      <c r="G1422" s="2">
        <v>1</v>
      </c>
      <c r="H1422" s="2">
        <v>9</v>
      </c>
      <c r="I1422" s="3">
        <v>9</v>
      </c>
      <c r="J1422" s="2">
        <v>1</v>
      </c>
      <c r="K1422" s="2">
        <v>2</v>
      </c>
      <c r="L1422" s="2">
        <v>0</v>
      </c>
      <c r="M1422" s="2">
        <v>2</v>
      </c>
      <c r="N1422" s="2">
        <v>9</v>
      </c>
      <c r="O1422" s="2">
        <v>1</v>
      </c>
      <c r="P1422" s="3">
        <v>3</v>
      </c>
      <c r="Q1422" s="2">
        <v>1</v>
      </c>
      <c r="R1422" s="2">
        <v>10</v>
      </c>
      <c r="S1422" s="2">
        <v>0</v>
      </c>
      <c r="T1422" s="2">
        <v>3</v>
      </c>
      <c r="U1422" s="2">
        <v>0</v>
      </c>
      <c r="V1422" s="2">
        <f t="shared" ref="V1422:V1466" si="722">U1422+T1422+S1422+Q1422</f>
        <v>4</v>
      </c>
      <c r="W1422" s="2">
        <v>0</v>
      </c>
      <c r="X1422" s="2">
        <v>1</v>
      </c>
      <c r="Y1422" s="2">
        <v>0</v>
      </c>
      <c r="Z1422" s="2">
        <f t="shared" ref="Z1422:Z1466" si="723">Y1422+X1422+W1422+U1422</f>
        <v>1</v>
      </c>
      <c r="AA1422" s="2">
        <f t="shared" ref="AA1422:AA1466" si="724">G1422+H1422+I1422+J1422+K1422+L1422+M1422+P1422+T1422+U1422</f>
        <v>30</v>
      </c>
      <c r="AB1422" s="2">
        <v>4239</v>
      </c>
      <c r="AC1422" s="20">
        <f t="shared" ref="AC1422:AC1466" si="725">AA1422/AB1422*100</f>
        <v>0.707714083510262</v>
      </c>
      <c r="AD1422" s="2" t="s">
        <v>83</v>
      </c>
      <c r="AE1422" s="2">
        <v>125</v>
      </c>
      <c r="AF1422" s="21">
        <f t="shared" ref="AF1422:AF1466" si="726">188/AE1422*AC1422</f>
        <v>1.06440198159943</v>
      </c>
      <c r="AG1422" s="4">
        <f t="shared" ref="AG1422:AG1466" si="727">V1422/AB1422*100</f>
        <v>0.0943618778013682</v>
      </c>
      <c r="AH1422" s="4">
        <f t="shared" ref="AH1422:AH1466" si="728">Z1422/AB1422*100</f>
        <v>0.0235904694503421</v>
      </c>
      <c r="AI1422" s="2">
        <v>5431</v>
      </c>
      <c r="AJ1422" s="2">
        <v>189</v>
      </c>
      <c r="AK1422" s="2">
        <v>893</v>
      </c>
      <c r="AL1422" s="2">
        <v>23</v>
      </c>
      <c r="AM1422" s="2">
        <v>38</v>
      </c>
      <c r="AN1422" s="2">
        <v>3</v>
      </c>
      <c r="AO1422" s="2">
        <v>0</v>
      </c>
      <c r="AP1422" s="2">
        <f t="shared" si="719"/>
        <v>5646</v>
      </c>
      <c r="AQ1422" s="2">
        <f t="shared" si="720"/>
        <v>236.135508155583</v>
      </c>
      <c r="AR1422" s="5">
        <f t="shared" si="721"/>
        <v>443.934755332497</v>
      </c>
    </row>
    <row r="1423" spans="1:44">
      <c r="A1423" s="2">
        <v>20260426</v>
      </c>
      <c r="B1423" s="2" t="s">
        <v>2888</v>
      </c>
      <c r="C1423" s="2" t="s">
        <v>2889</v>
      </c>
      <c r="D1423" s="2">
        <v>0</v>
      </c>
      <c r="E1423" s="2">
        <v>0</v>
      </c>
      <c r="F1423" s="2">
        <v>0</v>
      </c>
      <c r="G1423" s="2">
        <v>1</v>
      </c>
      <c r="H1423" s="2">
        <v>1</v>
      </c>
      <c r="I1423" s="3">
        <v>2</v>
      </c>
      <c r="J1423" s="2">
        <v>0</v>
      </c>
      <c r="K1423" s="2">
        <v>2</v>
      </c>
      <c r="L1423" s="2">
        <v>0</v>
      </c>
      <c r="M1423" s="2">
        <v>1</v>
      </c>
      <c r="N1423" s="2">
        <v>9</v>
      </c>
      <c r="O1423" s="2">
        <v>0</v>
      </c>
      <c r="P1423" s="3">
        <v>3</v>
      </c>
      <c r="Q1423" s="2">
        <v>5</v>
      </c>
      <c r="R1423" s="2">
        <v>5</v>
      </c>
      <c r="S1423" s="2">
        <v>2</v>
      </c>
      <c r="T1423" s="2">
        <v>1</v>
      </c>
      <c r="U1423" s="2">
        <v>0</v>
      </c>
      <c r="V1423" s="2">
        <f t="shared" si="722"/>
        <v>8</v>
      </c>
      <c r="W1423" s="2">
        <v>0</v>
      </c>
      <c r="X1423" s="2">
        <v>0</v>
      </c>
      <c r="Y1423" s="2">
        <v>0</v>
      </c>
      <c r="Z1423" s="2">
        <f t="shared" si="723"/>
        <v>0</v>
      </c>
      <c r="AA1423" s="2">
        <f t="shared" si="724"/>
        <v>11</v>
      </c>
      <c r="AB1423" s="2">
        <v>2192</v>
      </c>
      <c r="AC1423" s="20">
        <f t="shared" si="725"/>
        <v>0.501824817518248</v>
      </c>
      <c r="AD1423" s="2" t="s">
        <v>83</v>
      </c>
      <c r="AE1423" s="2">
        <v>125</v>
      </c>
      <c r="AF1423" s="21">
        <f t="shared" si="726"/>
        <v>0.754744525547445</v>
      </c>
      <c r="AG1423" s="4">
        <f t="shared" si="727"/>
        <v>0.364963503649635</v>
      </c>
      <c r="AH1423" s="4">
        <f t="shared" si="728"/>
        <v>0</v>
      </c>
      <c r="AI1423" s="2">
        <v>2776</v>
      </c>
      <c r="AJ1423" s="2">
        <v>98</v>
      </c>
      <c r="AK1423" s="2">
        <v>447</v>
      </c>
      <c r="AL1423" s="2">
        <v>12</v>
      </c>
      <c r="AM1423" s="2">
        <v>8</v>
      </c>
      <c r="AN1423" s="2">
        <v>0</v>
      </c>
      <c r="AO1423" s="2">
        <v>0</v>
      </c>
      <c r="AP1423" s="2">
        <f t="shared" ref="AP1423:AP1432" si="729">AI1423+AJ1423+AL1423+AN1423</f>
        <v>2886</v>
      </c>
      <c r="AQ1423" s="2">
        <f t="shared" ref="AQ1423:AQ1432" si="730">AP1423/AB1422*100</f>
        <v>68.0820948336872</v>
      </c>
      <c r="AR1423" s="5">
        <f t="shared" ref="AR1423:AR1432" si="731">AQ1423*1.88</f>
        <v>127.994338287332</v>
      </c>
    </row>
    <row r="1424" spans="1:44">
      <c r="A1424" s="2">
        <v>20260426</v>
      </c>
      <c r="B1424" s="2" t="s">
        <v>2890</v>
      </c>
      <c r="C1424" s="2" t="s">
        <v>2891</v>
      </c>
      <c r="D1424" s="2">
        <v>1</v>
      </c>
      <c r="E1424" s="2">
        <v>9</v>
      </c>
      <c r="F1424" s="2">
        <v>2</v>
      </c>
      <c r="G1424" s="2">
        <v>2</v>
      </c>
      <c r="H1424" s="2">
        <v>5</v>
      </c>
      <c r="I1424" s="3">
        <v>12</v>
      </c>
      <c r="J1424" s="2">
        <v>4</v>
      </c>
      <c r="K1424" s="2">
        <v>1</v>
      </c>
      <c r="L1424" s="2">
        <v>0</v>
      </c>
      <c r="M1424" s="2">
        <v>2</v>
      </c>
      <c r="N1424" s="2">
        <v>24</v>
      </c>
      <c r="O1424" s="2">
        <v>0</v>
      </c>
      <c r="P1424" s="3">
        <v>3</v>
      </c>
      <c r="Q1424" s="2">
        <v>11</v>
      </c>
      <c r="R1424" s="2">
        <v>7</v>
      </c>
      <c r="S1424" s="2">
        <v>4</v>
      </c>
      <c r="T1424" s="2">
        <v>8</v>
      </c>
      <c r="U1424" s="2">
        <v>0</v>
      </c>
      <c r="V1424" s="2">
        <f t="shared" si="722"/>
        <v>23</v>
      </c>
      <c r="W1424" s="2">
        <v>2</v>
      </c>
      <c r="X1424" s="2">
        <v>5</v>
      </c>
      <c r="Y1424" s="2">
        <v>0</v>
      </c>
      <c r="Z1424" s="2">
        <f t="shared" si="723"/>
        <v>7</v>
      </c>
      <c r="AA1424" s="2">
        <f t="shared" si="724"/>
        <v>37</v>
      </c>
      <c r="AB1424" s="2">
        <v>4249</v>
      </c>
      <c r="AC1424" s="20">
        <f t="shared" si="725"/>
        <v>0.870793127794775</v>
      </c>
      <c r="AD1424" s="2" t="s">
        <v>83</v>
      </c>
      <c r="AE1424" s="2">
        <v>125</v>
      </c>
      <c r="AF1424" s="21">
        <f t="shared" si="726"/>
        <v>1.30967286420334</v>
      </c>
      <c r="AG1424" s="4">
        <f t="shared" si="727"/>
        <v>0.541303836196752</v>
      </c>
      <c r="AH1424" s="4">
        <f t="shared" si="728"/>
        <v>0.164744645799012</v>
      </c>
      <c r="AI1424" s="2">
        <v>5830</v>
      </c>
      <c r="AJ1424" s="2">
        <v>205</v>
      </c>
      <c r="AK1424" s="2">
        <v>934</v>
      </c>
      <c r="AL1424" s="2">
        <v>54</v>
      </c>
      <c r="AM1424" s="2">
        <v>44</v>
      </c>
      <c r="AN1424" s="2">
        <v>1</v>
      </c>
      <c r="AO1424" s="2">
        <v>0</v>
      </c>
      <c r="AP1424" s="2">
        <f t="shared" si="729"/>
        <v>6090</v>
      </c>
      <c r="AQ1424" s="2">
        <f t="shared" si="730"/>
        <v>277.828467153285</v>
      </c>
      <c r="AR1424" s="5">
        <f t="shared" si="731"/>
        <v>522.317518248175</v>
      </c>
    </row>
    <row r="1425" spans="1:44">
      <c r="A1425" s="2">
        <v>20260426</v>
      </c>
      <c r="B1425" s="2" t="s">
        <v>2892</v>
      </c>
      <c r="C1425" s="2" t="s">
        <v>2893</v>
      </c>
      <c r="D1425" s="2">
        <v>2</v>
      </c>
      <c r="E1425" s="2">
        <v>3</v>
      </c>
      <c r="F1425" s="2">
        <v>4</v>
      </c>
      <c r="G1425" s="2">
        <v>4</v>
      </c>
      <c r="H1425" s="2">
        <v>3</v>
      </c>
      <c r="I1425" s="3">
        <v>16</v>
      </c>
      <c r="J1425" s="2">
        <v>5</v>
      </c>
      <c r="K1425" s="2">
        <v>0</v>
      </c>
      <c r="L1425" s="2">
        <v>2</v>
      </c>
      <c r="M1425" s="2">
        <v>5</v>
      </c>
      <c r="N1425" s="2">
        <v>7</v>
      </c>
      <c r="O1425" s="2">
        <v>2</v>
      </c>
      <c r="P1425" s="3">
        <v>8</v>
      </c>
      <c r="Q1425" s="2">
        <v>4</v>
      </c>
      <c r="R1425" s="2">
        <v>12</v>
      </c>
      <c r="S1425" s="2">
        <v>0</v>
      </c>
      <c r="T1425" s="2">
        <v>7</v>
      </c>
      <c r="U1425" s="2">
        <v>0</v>
      </c>
      <c r="V1425" s="2">
        <f t="shared" si="722"/>
        <v>11</v>
      </c>
      <c r="W1425" s="2">
        <v>1</v>
      </c>
      <c r="X1425" s="2">
        <v>9</v>
      </c>
      <c r="Y1425" s="2">
        <v>0</v>
      </c>
      <c r="Z1425" s="2">
        <f t="shared" si="723"/>
        <v>10</v>
      </c>
      <c r="AA1425" s="2">
        <f t="shared" si="724"/>
        <v>50</v>
      </c>
      <c r="AB1425" s="2">
        <v>4159</v>
      </c>
      <c r="AC1425" s="20">
        <f t="shared" si="725"/>
        <v>1.20221207020918</v>
      </c>
      <c r="AD1425" s="2" t="s">
        <v>83</v>
      </c>
      <c r="AE1425" s="2">
        <v>125</v>
      </c>
      <c r="AF1425" s="21">
        <f t="shared" si="726"/>
        <v>1.80812695359461</v>
      </c>
      <c r="AG1425" s="4">
        <f t="shared" si="727"/>
        <v>0.264486655446021</v>
      </c>
      <c r="AH1425" s="4">
        <f t="shared" si="728"/>
        <v>0.240442414041837</v>
      </c>
      <c r="AI1425" s="2">
        <v>6743</v>
      </c>
      <c r="AJ1425" s="2">
        <v>214</v>
      </c>
      <c r="AK1425" s="2">
        <v>935</v>
      </c>
      <c r="AL1425" s="2">
        <v>37</v>
      </c>
      <c r="AM1425" s="2">
        <v>39</v>
      </c>
      <c r="AN1425" s="2">
        <v>0</v>
      </c>
      <c r="AO1425" s="2">
        <v>0</v>
      </c>
      <c r="AP1425" s="2">
        <f t="shared" si="729"/>
        <v>6994</v>
      </c>
      <c r="AQ1425" s="2">
        <f t="shared" si="730"/>
        <v>164.603436102612</v>
      </c>
      <c r="AR1425" s="5">
        <f t="shared" si="731"/>
        <v>309.454459872911</v>
      </c>
    </row>
    <row r="1426" spans="1:44">
      <c r="A1426" s="2">
        <v>20260426</v>
      </c>
      <c r="B1426" s="2" t="s">
        <v>2894</v>
      </c>
      <c r="C1426" s="2" t="s">
        <v>2895</v>
      </c>
      <c r="D1426" s="2">
        <v>3</v>
      </c>
      <c r="E1426" s="2">
        <v>3</v>
      </c>
      <c r="F1426" s="2">
        <v>11</v>
      </c>
      <c r="G1426" s="2">
        <v>1</v>
      </c>
      <c r="H1426" s="2">
        <v>4</v>
      </c>
      <c r="I1426" s="3">
        <v>4</v>
      </c>
      <c r="J1426" s="2">
        <v>7</v>
      </c>
      <c r="K1426" s="2">
        <v>7</v>
      </c>
      <c r="L1426" s="2">
        <v>1</v>
      </c>
      <c r="M1426" s="2">
        <v>0</v>
      </c>
      <c r="N1426" s="2">
        <v>12</v>
      </c>
      <c r="O1426" s="2">
        <v>34</v>
      </c>
      <c r="P1426" s="3">
        <v>4</v>
      </c>
      <c r="Q1426" s="2">
        <v>12</v>
      </c>
      <c r="R1426" s="2">
        <v>12</v>
      </c>
      <c r="S1426" s="2">
        <v>1</v>
      </c>
      <c r="T1426" s="2">
        <v>5</v>
      </c>
      <c r="U1426" s="2">
        <v>2</v>
      </c>
      <c r="V1426" s="2">
        <f t="shared" si="722"/>
        <v>20</v>
      </c>
      <c r="W1426" s="2">
        <v>0</v>
      </c>
      <c r="X1426" s="2">
        <v>2</v>
      </c>
      <c r="Y1426" s="2">
        <v>0</v>
      </c>
      <c r="Z1426" s="2">
        <f t="shared" si="723"/>
        <v>4</v>
      </c>
      <c r="AA1426" s="2">
        <f t="shared" si="724"/>
        <v>35</v>
      </c>
      <c r="AB1426" s="2">
        <v>2562</v>
      </c>
      <c r="AC1426" s="20">
        <f t="shared" si="725"/>
        <v>1.36612021857923</v>
      </c>
      <c r="AD1426" s="2" t="s">
        <v>83</v>
      </c>
      <c r="AE1426" s="2">
        <v>125</v>
      </c>
      <c r="AF1426" s="21">
        <f t="shared" si="726"/>
        <v>2.05464480874317</v>
      </c>
      <c r="AG1426" s="4">
        <f t="shared" si="727"/>
        <v>0.78064012490242</v>
      </c>
      <c r="AH1426" s="4">
        <f t="shared" si="728"/>
        <v>0.156128024980484</v>
      </c>
      <c r="AI1426" s="2">
        <v>8188</v>
      </c>
      <c r="AJ1426" s="2">
        <v>443</v>
      </c>
      <c r="AK1426" s="2">
        <v>664</v>
      </c>
      <c r="AL1426" s="2">
        <v>176</v>
      </c>
      <c r="AM1426" s="2">
        <v>203</v>
      </c>
      <c r="AN1426" s="2">
        <v>0</v>
      </c>
      <c r="AO1426" s="2">
        <v>0</v>
      </c>
      <c r="AP1426" s="2">
        <f t="shared" si="729"/>
        <v>8807</v>
      </c>
      <c r="AQ1426" s="2">
        <f t="shared" si="730"/>
        <v>211.757634046646</v>
      </c>
      <c r="AR1426" s="5">
        <f t="shared" si="731"/>
        <v>398.104352007694</v>
      </c>
    </row>
    <row r="1427" spans="1:44">
      <c r="A1427" s="2">
        <v>20260426</v>
      </c>
      <c r="B1427" s="2" t="s">
        <v>2896</v>
      </c>
      <c r="C1427" s="2" t="s">
        <v>2897</v>
      </c>
      <c r="D1427" s="2">
        <v>2</v>
      </c>
      <c r="E1427" s="2">
        <v>7</v>
      </c>
      <c r="F1427" s="2">
        <v>3</v>
      </c>
      <c r="G1427" s="2">
        <v>2</v>
      </c>
      <c r="H1427" s="2">
        <v>5</v>
      </c>
      <c r="I1427" s="3">
        <v>6</v>
      </c>
      <c r="J1427" s="2">
        <v>8</v>
      </c>
      <c r="K1427" s="2">
        <v>3</v>
      </c>
      <c r="L1427" s="2">
        <v>0</v>
      </c>
      <c r="M1427" s="2">
        <v>1</v>
      </c>
      <c r="N1427" s="2">
        <v>11</v>
      </c>
      <c r="O1427" s="2">
        <v>16</v>
      </c>
      <c r="P1427" s="3">
        <v>8</v>
      </c>
      <c r="Q1427" s="2">
        <v>9</v>
      </c>
      <c r="R1427" s="2">
        <v>225</v>
      </c>
      <c r="S1427" s="2">
        <v>0</v>
      </c>
      <c r="T1427" s="2">
        <v>2</v>
      </c>
      <c r="U1427" s="2">
        <v>0</v>
      </c>
      <c r="V1427" s="2">
        <f t="shared" si="722"/>
        <v>11</v>
      </c>
      <c r="W1427" s="2">
        <v>0</v>
      </c>
      <c r="X1427" s="2">
        <v>2</v>
      </c>
      <c r="Y1427" s="2">
        <v>0</v>
      </c>
      <c r="Z1427" s="2">
        <f t="shared" si="723"/>
        <v>2</v>
      </c>
      <c r="AA1427" s="2">
        <f t="shared" si="724"/>
        <v>35</v>
      </c>
      <c r="AB1427" s="2">
        <v>2612</v>
      </c>
      <c r="AC1427" s="20">
        <f t="shared" si="725"/>
        <v>1.33996937212864</v>
      </c>
      <c r="AD1427" s="2" t="s">
        <v>83</v>
      </c>
      <c r="AE1427" s="2">
        <v>125</v>
      </c>
      <c r="AF1427" s="21">
        <f t="shared" si="726"/>
        <v>2.01531393568147</v>
      </c>
      <c r="AG1427" s="4">
        <f t="shared" si="727"/>
        <v>0.421133231240429</v>
      </c>
      <c r="AH1427" s="4">
        <f t="shared" si="728"/>
        <v>0.0765696784073507</v>
      </c>
      <c r="AI1427" s="2">
        <v>6015</v>
      </c>
      <c r="AJ1427" s="2">
        <v>130</v>
      </c>
      <c r="AK1427" s="2">
        <v>649</v>
      </c>
      <c r="AL1427" s="2">
        <v>21</v>
      </c>
      <c r="AM1427" s="2">
        <v>61</v>
      </c>
      <c r="AN1427" s="2">
        <v>0</v>
      </c>
      <c r="AO1427" s="2">
        <v>0</v>
      </c>
      <c r="AP1427" s="2">
        <f t="shared" si="729"/>
        <v>6166</v>
      </c>
      <c r="AQ1427" s="2">
        <f t="shared" si="730"/>
        <v>240.671350507416</v>
      </c>
      <c r="AR1427" s="5">
        <f t="shared" si="731"/>
        <v>452.462138953942</v>
      </c>
    </row>
    <row r="1428" spans="1:44">
      <c r="A1428" s="2">
        <v>20260426</v>
      </c>
      <c r="B1428" s="2" t="s">
        <v>2898</v>
      </c>
      <c r="C1428" s="2" t="s">
        <v>2899</v>
      </c>
      <c r="D1428" s="2">
        <v>0</v>
      </c>
      <c r="E1428" s="2">
        <v>2</v>
      </c>
      <c r="F1428" s="2">
        <v>0</v>
      </c>
      <c r="G1428" s="2">
        <v>1</v>
      </c>
      <c r="H1428" s="2">
        <v>4</v>
      </c>
      <c r="I1428" s="3">
        <v>6</v>
      </c>
      <c r="J1428" s="2">
        <v>2</v>
      </c>
      <c r="K1428" s="2">
        <v>1</v>
      </c>
      <c r="L1428" s="2">
        <v>0</v>
      </c>
      <c r="M1428" s="2">
        <v>4</v>
      </c>
      <c r="N1428" s="2">
        <v>14</v>
      </c>
      <c r="O1428" s="2">
        <v>0</v>
      </c>
      <c r="P1428" s="3">
        <v>3</v>
      </c>
      <c r="Q1428" s="2">
        <v>0</v>
      </c>
      <c r="R1428" s="2">
        <v>2</v>
      </c>
      <c r="S1428" s="2">
        <v>45</v>
      </c>
      <c r="T1428" s="2">
        <v>0</v>
      </c>
      <c r="U1428" s="2">
        <v>0</v>
      </c>
      <c r="V1428" s="2">
        <v>0</v>
      </c>
      <c r="W1428" s="2">
        <v>0</v>
      </c>
      <c r="X1428" s="2">
        <v>4</v>
      </c>
      <c r="Y1428" s="2">
        <v>0</v>
      </c>
      <c r="Z1428" s="2">
        <f t="shared" si="723"/>
        <v>4</v>
      </c>
      <c r="AA1428" s="2">
        <f t="shared" si="724"/>
        <v>21</v>
      </c>
      <c r="AB1428" s="2">
        <v>2445</v>
      </c>
      <c r="AC1428" s="20">
        <f t="shared" si="725"/>
        <v>0.858895705521472</v>
      </c>
      <c r="AD1428" s="2" t="s">
        <v>83</v>
      </c>
      <c r="AE1428" s="2">
        <v>125</v>
      </c>
      <c r="AF1428" s="21">
        <f t="shared" si="726"/>
        <v>1.29177914110429</v>
      </c>
      <c r="AG1428" s="4">
        <f t="shared" si="727"/>
        <v>0</v>
      </c>
      <c r="AH1428" s="4">
        <f t="shared" si="728"/>
        <v>0.16359918200409</v>
      </c>
      <c r="AI1428" s="2">
        <v>5889</v>
      </c>
      <c r="AJ1428" s="2">
        <v>176</v>
      </c>
      <c r="AK1428" s="2">
        <v>432</v>
      </c>
      <c r="AL1428" s="2">
        <v>71</v>
      </c>
      <c r="AM1428" s="2">
        <v>666</v>
      </c>
      <c r="AN1428" s="2">
        <v>0</v>
      </c>
      <c r="AO1428" s="2">
        <v>0</v>
      </c>
      <c r="AP1428" s="2">
        <f t="shared" si="729"/>
        <v>6136</v>
      </c>
      <c r="AQ1428" s="2">
        <f t="shared" si="730"/>
        <v>234.915773353752</v>
      </c>
      <c r="AR1428" s="5">
        <f t="shared" si="731"/>
        <v>441.641653905054</v>
      </c>
    </row>
    <row r="1429" spans="1:44">
      <c r="A1429" s="2">
        <v>20260426</v>
      </c>
      <c r="B1429" s="2" t="s">
        <v>2900</v>
      </c>
      <c r="C1429" s="2" t="s">
        <v>2901</v>
      </c>
      <c r="D1429" s="2">
        <v>0</v>
      </c>
      <c r="E1429" s="2">
        <v>7</v>
      </c>
      <c r="F1429" s="2">
        <v>6</v>
      </c>
      <c r="G1429" s="2">
        <v>12</v>
      </c>
      <c r="H1429" s="2">
        <v>14</v>
      </c>
      <c r="I1429" s="3">
        <v>5</v>
      </c>
      <c r="J1429" s="2">
        <v>24</v>
      </c>
      <c r="K1429" s="2">
        <v>11</v>
      </c>
      <c r="L1429" s="2">
        <v>0</v>
      </c>
      <c r="M1429" s="2">
        <v>0</v>
      </c>
      <c r="N1429" s="2">
        <v>18</v>
      </c>
      <c r="O1429" s="2">
        <v>3</v>
      </c>
      <c r="P1429" s="3">
        <v>5</v>
      </c>
      <c r="Q1429" s="2">
        <v>8</v>
      </c>
      <c r="R1429" s="2">
        <v>131</v>
      </c>
      <c r="S1429" s="2">
        <v>12</v>
      </c>
      <c r="T1429" s="2">
        <v>9</v>
      </c>
      <c r="U1429" s="2">
        <v>1</v>
      </c>
      <c r="V1429" s="2">
        <f t="shared" si="722"/>
        <v>30</v>
      </c>
      <c r="W1429" s="2">
        <v>0</v>
      </c>
      <c r="X1429" s="2">
        <v>1</v>
      </c>
      <c r="Y1429" s="2">
        <v>0</v>
      </c>
      <c r="Z1429" s="2">
        <f t="shared" si="723"/>
        <v>2</v>
      </c>
      <c r="AA1429" s="2">
        <f t="shared" si="724"/>
        <v>81</v>
      </c>
      <c r="AB1429" s="2">
        <v>4612</v>
      </c>
      <c r="AC1429" s="20">
        <f t="shared" si="725"/>
        <v>1.75628794449263</v>
      </c>
      <c r="AD1429" s="2" t="s">
        <v>83</v>
      </c>
      <c r="AE1429" s="2">
        <v>125</v>
      </c>
      <c r="AF1429" s="21">
        <f t="shared" si="726"/>
        <v>2.64145706851691</v>
      </c>
      <c r="AG1429" s="4">
        <f t="shared" si="727"/>
        <v>0.650477016478751</v>
      </c>
      <c r="AH1429" s="4">
        <f t="shared" si="728"/>
        <v>0.0433651344319167</v>
      </c>
      <c r="AI1429" s="2">
        <v>9581</v>
      </c>
      <c r="AJ1429" s="2">
        <v>328</v>
      </c>
      <c r="AK1429" s="2">
        <v>709</v>
      </c>
      <c r="AL1429" s="2">
        <v>126</v>
      </c>
      <c r="AM1429" s="2">
        <v>95</v>
      </c>
      <c r="AN1429" s="2">
        <v>2</v>
      </c>
      <c r="AO1429" s="2">
        <v>0</v>
      </c>
      <c r="AP1429" s="2">
        <f t="shared" si="729"/>
        <v>10037</v>
      </c>
      <c r="AQ1429" s="2">
        <f t="shared" si="730"/>
        <v>410.511247443763</v>
      </c>
      <c r="AR1429" s="5">
        <f t="shared" si="731"/>
        <v>771.761145194274</v>
      </c>
    </row>
    <row r="1430" spans="1:44">
      <c r="A1430" s="2">
        <v>20260426</v>
      </c>
      <c r="B1430" s="2" t="s">
        <v>2902</v>
      </c>
      <c r="C1430" s="2" t="s">
        <v>2903</v>
      </c>
      <c r="D1430" s="2">
        <v>9</v>
      </c>
      <c r="E1430" s="2">
        <v>1</v>
      </c>
      <c r="F1430" s="2">
        <v>8</v>
      </c>
      <c r="G1430" s="2">
        <v>1</v>
      </c>
      <c r="H1430" s="2">
        <v>8</v>
      </c>
      <c r="I1430" s="3">
        <v>8</v>
      </c>
      <c r="J1430" s="2">
        <v>3</v>
      </c>
      <c r="K1430" s="2">
        <v>16</v>
      </c>
      <c r="L1430" s="2">
        <v>1</v>
      </c>
      <c r="M1430" s="2">
        <v>0</v>
      </c>
      <c r="N1430" s="2">
        <v>21</v>
      </c>
      <c r="O1430" s="2">
        <v>26</v>
      </c>
      <c r="P1430" s="3">
        <v>4</v>
      </c>
      <c r="Q1430" s="2">
        <v>14</v>
      </c>
      <c r="R1430" s="2">
        <v>8</v>
      </c>
      <c r="S1430" s="2">
        <v>1</v>
      </c>
      <c r="T1430" s="2">
        <v>9</v>
      </c>
      <c r="U1430" s="2">
        <v>0</v>
      </c>
      <c r="V1430" s="2">
        <f t="shared" si="722"/>
        <v>24</v>
      </c>
      <c r="W1430" s="2">
        <v>1</v>
      </c>
      <c r="X1430" s="2">
        <v>3</v>
      </c>
      <c r="Y1430" s="2">
        <v>0</v>
      </c>
      <c r="Z1430" s="2">
        <f t="shared" si="723"/>
        <v>4</v>
      </c>
      <c r="AA1430" s="2">
        <f t="shared" si="724"/>
        <v>50</v>
      </c>
      <c r="AB1430" s="2">
        <v>2405</v>
      </c>
      <c r="AC1430" s="20">
        <f t="shared" si="725"/>
        <v>2.07900207900208</v>
      </c>
      <c r="AD1430" s="2" t="s">
        <v>83</v>
      </c>
      <c r="AE1430" s="2">
        <v>125</v>
      </c>
      <c r="AF1430" s="21">
        <f t="shared" si="726"/>
        <v>3.12681912681913</v>
      </c>
      <c r="AG1430" s="4">
        <f t="shared" si="727"/>
        <v>0.997920997920998</v>
      </c>
      <c r="AH1430" s="4">
        <f t="shared" si="728"/>
        <v>0.166320166320166</v>
      </c>
      <c r="AI1430" s="2">
        <v>5183</v>
      </c>
      <c r="AJ1430" s="2">
        <v>148</v>
      </c>
      <c r="AK1430" s="2">
        <v>367</v>
      </c>
      <c r="AL1430" s="2">
        <v>66</v>
      </c>
      <c r="AM1430" s="2">
        <v>106</v>
      </c>
      <c r="AN1430" s="2">
        <v>2</v>
      </c>
      <c r="AO1430" s="2">
        <v>0</v>
      </c>
      <c r="AP1430" s="2">
        <f t="shared" si="729"/>
        <v>5399</v>
      </c>
      <c r="AQ1430" s="2">
        <f t="shared" si="730"/>
        <v>117.064180398959</v>
      </c>
      <c r="AR1430" s="5">
        <f t="shared" si="731"/>
        <v>220.080659150043</v>
      </c>
    </row>
    <row r="1431" spans="1:44">
      <c r="A1431" s="2">
        <v>20260426</v>
      </c>
      <c r="B1431" s="2" t="s">
        <v>2904</v>
      </c>
      <c r="C1431" s="2" t="s">
        <v>2905</v>
      </c>
      <c r="D1431" s="2">
        <v>1</v>
      </c>
      <c r="E1431" s="2">
        <v>2</v>
      </c>
      <c r="F1431" s="2">
        <v>2</v>
      </c>
      <c r="G1431" s="2">
        <v>9</v>
      </c>
      <c r="H1431" s="2">
        <v>9</v>
      </c>
      <c r="I1431" s="3">
        <v>9</v>
      </c>
      <c r="J1431" s="2">
        <v>8</v>
      </c>
      <c r="K1431" s="2">
        <v>4</v>
      </c>
      <c r="L1431" s="2">
        <v>3</v>
      </c>
      <c r="M1431" s="2">
        <v>2</v>
      </c>
      <c r="N1431" s="2">
        <v>5</v>
      </c>
      <c r="O1431" s="2">
        <v>0</v>
      </c>
      <c r="P1431" s="3">
        <v>4</v>
      </c>
      <c r="Q1431" s="2">
        <v>4</v>
      </c>
      <c r="R1431" s="2">
        <v>46</v>
      </c>
      <c r="S1431" s="2">
        <v>2</v>
      </c>
      <c r="T1431" s="2">
        <v>2</v>
      </c>
      <c r="U1431" s="2">
        <v>1</v>
      </c>
      <c r="V1431" s="2">
        <f t="shared" si="722"/>
        <v>9</v>
      </c>
      <c r="W1431" s="2">
        <v>1</v>
      </c>
      <c r="X1431" s="2">
        <v>4</v>
      </c>
      <c r="Y1431" s="2">
        <v>0</v>
      </c>
      <c r="Z1431" s="2">
        <f t="shared" si="723"/>
        <v>6</v>
      </c>
      <c r="AA1431" s="2">
        <f t="shared" si="724"/>
        <v>51</v>
      </c>
      <c r="AB1431" s="2">
        <v>4462</v>
      </c>
      <c r="AC1431" s="20">
        <f t="shared" si="725"/>
        <v>1.14298520842671</v>
      </c>
      <c r="AD1431" s="2" t="s">
        <v>83</v>
      </c>
      <c r="AE1431" s="2">
        <v>125</v>
      </c>
      <c r="AF1431" s="21">
        <f t="shared" si="726"/>
        <v>1.71904975347378</v>
      </c>
      <c r="AG1431" s="4">
        <f t="shared" si="727"/>
        <v>0.201703272075303</v>
      </c>
      <c r="AH1431" s="4">
        <f t="shared" si="728"/>
        <v>0.134468848050202</v>
      </c>
      <c r="AI1431" s="2">
        <v>9305</v>
      </c>
      <c r="AJ1431" s="2">
        <v>274</v>
      </c>
      <c r="AK1431" s="2">
        <v>696</v>
      </c>
      <c r="AL1431" s="2">
        <v>54</v>
      </c>
      <c r="AM1431" s="2">
        <v>98</v>
      </c>
      <c r="AN1431" s="2">
        <v>3</v>
      </c>
      <c r="AO1431" s="2">
        <v>0</v>
      </c>
      <c r="AP1431" s="2">
        <f t="shared" si="729"/>
        <v>9636</v>
      </c>
      <c r="AQ1431" s="2">
        <f t="shared" si="730"/>
        <v>400.665280665281</v>
      </c>
      <c r="AR1431" s="5">
        <f t="shared" si="731"/>
        <v>753.250727650728</v>
      </c>
    </row>
    <row r="1432" spans="1:44">
      <c r="A1432" s="2">
        <v>20260426</v>
      </c>
      <c r="B1432" s="2" t="s">
        <v>2906</v>
      </c>
      <c r="C1432" s="2" t="s">
        <v>2907</v>
      </c>
      <c r="D1432" s="2">
        <v>1</v>
      </c>
      <c r="E1432" s="2">
        <v>0</v>
      </c>
      <c r="F1432" s="2">
        <v>4</v>
      </c>
      <c r="G1432" s="2">
        <v>2</v>
      </c>
      <c r="H1432" s="2">
        <v>0</v>
      </c>
      <c r="I1432" s="3">
        <v>3</v>
      </c>
      <c r="J1432" s="2">
        <v>3</v>
      </c>
      <c r="K1432" s="2">
        <v>3</v>
      </c>
      <c r="L1432" s="2">
        <v>0</v>
      </c>
      <c r="M1432" s="2">
        <v>0</v>
      </c>
      <c r="N1432" s="2">
        <v>10</v>
      </c>
      <c r="O1432" s="2">
        <v>0</v>
      </c>
      <c r="P1432" s="3">
        <v>2</v>
      </c>
      <c r="Q1432" s="2">
        <v>9</v>
      </c>
      <c r="R1432" s="2">
        <v>1</v>
      </c>
      <c r="S1432" s="2">
        <v>0</v>
      </c>
      <c r="T1432" s="2">
        <v>0</v>
      </c>
      <c r="U1432" s="2">
        <v>0</v>
      </c>
      <c r="V1432" s="2">
        <f t="shared" si="722"/>
        <v>9</v>
      </c>
      <c r="W1432" s="2">
        <v>1</v>
      </c>
      <c r="X1432" s="2">
        <v>3</v>
      </c>
      <c r="Y1432" s="2">
        <v>0</v>
      </c>
      <c r="Z1432" s="2">
        <f t="shared" si="723"/>
        <v>4</v>
      </c>
      <c r="AA1432" s="2">
        <f t="shared" si="724"/>
        <v>13</v>
      </c>
      <c r="AB1432" s="2">
        <v>2095</v>
      </c>
      <c r="AC1432" s="20">
        <f t="shared" si="725"/>
        <v>0.620525059665871</v>
      </c>
      <c r="AD1432" s="2" t="s">
        <v>83</v>
      </c>
      <c r="AE1432" s="2">
        <v>125</v>
      </c>
      <c r="AF1432" s="21">
        <f t="shared" si="726"/>
        <v>0.93326968973747</v>
      </c>
      <c r="AG1432" s="4">
        <f t="shared" si="727"/>
        <v>0.429594272076372</v>
      </c>
      <c r="AH1432" s="4">
        <f t="shared" si="728"/>
        <v>0.190930787589499</v>
      </c>
      <c r="AI1432" s="2">
        <v>3381</v>
      </c>
      <c r="AJ1432" s="2">
        <v>74</v>
      </c>
      <c r="AK1432" s="2">
        <v>220</v>
      </c>
      <c r="AL1432" s="2">
        <v>7</v>
      </c>
      <c r="AM1432" s="2">
        <v>12</v>
      </c>
      <c r="AN1432" s="2">
        <v>1</v>
      </c>
      <c r="AO1432" s="2">
        <v>0</v>
      </c>
      <c r="AP1432" s="2">
        <f t="shared" si="729"/>
        <v>3463</v>
      </c>
      <c r="AQ1432" s="2">
        <f t="shared" si="730"/>
        <v>77.6109367996414</v>
      </c>
      <c r="AR1432" s="5">
        <f t="shared" si="731"/>
        <v>145.908561183326</v>
      </c>
    </row>
    <row r="1433" spans="1:44">
      <c r="A1433" s="2">
        <v>20260426</v>
      </c>
      <c r="B1433" s="2" t="s">
        <v>2908</v>
      </c>
      <c r="C1433" s="2" t="s">
        <v>2909</v>
      </c>
      <c r="D1433" s="2">
        <v>2</v>
      </c>
      <c r="E1433" s="2">
        <v>1</v>
      </c>
      <c r="F1433" s="2">
        <v>1</v>
      </c>
      <c r="G1433" s="2">
        <v>2</v>
      </c>
      <c r="H1433" s="2">
        <v>7</v>
      </c>
      <c r="I1433" s="3">
        <v>3</v>
      </c>
      <c r="J1433" s="2">
        <v>5</v>
      </c>
      <c r="K1433" s="2">
        <v>2</v>
      </c>
      <c r="L1433" s="2">
        <v>1</v>
      </c>
      <c r="M1433" s="2">
        <v>2</v>
      </c>
      <c r="N1433" s="2">
        <v>10</v>
      </c>
      <c r="O1433" s="2">
        <v>0</v>
      </c>
      <c r="P1433" s="3">
        <v>3</v>
      </c>
      <c r="Q1433" s="2">
        <v>3</v>
      </c>
      <c r="R1433" s="2">
        <v>8</v>
      </c>
      <c r="S1433" s="2">
        <v>0</v>
      </c>
      <c r="T1433" s="2">
        <v>2</v>
      </c>
      <c r="U1433" s="2">
        <v>0</v>
      </c>
      <c r="V1433" s="2">
        <f t="shared" si="722"/>
        <v>5</v>
      </c>
      <c r="W1433" s="2">
        <v>2</v>
      </c>
      <c r="X1433" s="2">
        <v>6</v>
      </c>
      <c r="Y1433" s="2">
        <v>0</v>
      </c>
      <c r="Z1433" s="2">
        <f t="shared" si="723"/>
        <v>8</v>
      </c>
      <c r="AA1433" s="2">
        <f t="shared" si="724"/>
        <v>27</v>
      </c>
      <c r="AB1433" s="2">
        <v>3866</v>
      </c>
      <c r="AC1433" s="20">
        <f t="shared" si="725"/>
        <v>0.698396275219865</v>
      </c>
      <c r="AD1433" s="2" t="s">
        <v>83</v>
      </c>
      <c r="AE1433" s="2">
        <v>125</v>
      </c>
      <c r="AF1433" s="21">
        <f t="shared" si="726"/>
        <v>1.05038799793068</v>
      </c>
      <c r="AG1433" s="4">
        <f t="shared" si="727"/>
        <v>0.129332643559234</v>
      </c>
      <c r="AH1433" s="4">
        <f t="shared" si="728"/>
        <v>0.206932229694775</v>
      </c>
      <c r="AI1433" s="2">
        <v>4680</v>
      </c>
      <c r="AJ1433" s="2">
        <v>138</v>
      </c>
      <c r="AK1433" s="2">
        <v>453</v>
      </c>
      <c r="AL1433" s="2">
        <v>32</v>
      </c>
      <c r="AM1433" s="2">
        <v>33</v>
      </c>
      <c r="AN1433" s="2">
        <v>1</v>
      </c>
      <c r="AO1433" s="2">
        <v>0</v>
      </c>
      <c r="AP1433" s="2">
        <f t="shared" ref="AP1433:AP1454" si="732">AI1433+AJ1433+AL1433+AN1433</f>
        <v>4851</v>
      </c>
      <c r="AQ1433" s="2">
        <f t="shared" ref="AQ1433:AQ1454" si="733">AP1433/AB1432*100</f>
        <v>231.551312649165</v>
      </c>
      <c r="AR1433" s="5">
        <f t="shared" ref="AR1433:AR1454" si="734">AQ1433*1.88</f>
        <v>435.31646778043</v>
      </c>
    </row>
    <row r="1434" spans="1:44">
      <c r="A1434" s="2">
        <v>20260426</v>
      </c>
      <c r="B1434" s="2" t="s">
        <v>2910</v>
      </c>
      <c r="C1434" s="2" t="s">
        <v>2911</v>
      </c>
      <c r="D1434" s="2">
        <v>0</v>
      </c>
      <c r="E1434" s="2">
        <v>7</v>
      </c>
      <c r="F1434" s="2">
        <v>1</v>
      </c>
      <c r="G1434" s="2">
        <v>6</v>
      </c>
      <c r="H1434" s="2">
        <v>19</v>
      </c>
      <c r="I1434" s="3">
        <v>16</v>
      </c>
      <c r="J1434" s="2">
        <v>23</v>
      </c>
      <c r="K1434" s="2">
        <v>1</v>
      </c>
      <c r="L1434" s="2">
        <v>0</v>
      </c>
      <c r="M1434" s="2">
        <v>18</v>
      </c>
      <c r="N1434" s="2">
        <v>10</v>
      </c>
      <c r="O1434" s="2">
        <v>0</v>
      </c>
      <c r="P1434" s="3">
        <v>8</v>
      </c>
      <c r="Q1434" s="2">
        <v>1</v>
      </c>
      <c r="R1434" s="2">
        <v>966</v>
      </c>
      <c r="S1434" s="2">
        <v>1</v>
      </c>
      <c r="T1434" s="2">
        <v>5</v>
      </c>
      <c r="U1434" s="2">
        <v>1</v>
      </c>
      <c r="V1434" s="2">
        <f t="shared" si="722"/>
        <v>8</v>
      </c>
      <c r="W1434" s="2">
        <v>6</v>
      </c>
      <c r="X1434" s="2">
        <v>7</v>
      </c>
      <c r="Y1434" s="2">
        <v>0</v>
      </c>
      <c r="Z1434" s="2">
        <f t="shared" si="723"/>
        <v>14</v>
      </c>
      <c r="AA1434" s="2">
        <f t="shared" si="724"/>
        <v>97</v>
      </c>
      <c r="AB1434" s="2">
        <v>4392</v>
      </c>
      <c r="AC1434" s="20">
        <f t="shared" si="725"/>
        <v>2.20856102003643</v>
      </c>
      <c r="AD1434" s="2" t="s">
        <v>83</v>
      </c>
      <c r="AE1434" s="2">
        <v>125</v>
      </c>
      <c r="AF1434" s="21">
        <f t="shared" si="726"/>
        <v>3.32167577413479</v>
      </c>
      <c r="AG1434" s="4">
        <f t="shared" si="727"/>
        <v>0.182149362477231</v>
      </c>
      <c r="AH1434" s="4">
        <f t="shared" si="728"/>
        <v>0.318761384335155</v>
      </c>
      <c r="AI1434" s="2">
        <v>8057</v>
      </c>
      <c r="AJ1434" s="2">
        <v>321</v>
      </c>
      <c r="AK1434" s="2">
        <v>678</v>
      </c>
      <c r="AL1434" s="2">
        <v>126</v>
      </c>
      <c r="AM1434" s="2">
        <v>162</v>
      </c>
      <c r="AN1434" s="2">
        <v>11</v>
      </c>
      <c r="AO1434" s="2">
        <v>0</v>
      </c>
      <c r="AP1434" s="2">
        <f t="shared" si="732"/>
        <v>8515</v>
      </c>
      <c r="AQ1434" s="2">
        <f t="shared" si="733"/>
        <v>220.253491981376</v>
      </c>
      <c r="AR1434" s="5">
        <f t="shared" si="734"/>
        <v>414.076564924987</v>
      </c>
    </row>
    <row r="1435" spans="1:44">
      <c r="A1435" s="2">
        <v>20260426</v>
      </c>
      <c r="B1435" s="2" t="s">
        <v>2912</v>
      </c>
      <c r="C1435" s="2" t="s">
        <v>2913</v>
      </c>
      <c r="D1435" s="2">
        <v>3</v>
      </c>
      <c r="E1435" s="2">
        <v>1</v>
      </c>
      <c r="F1435" s="2">
        <v>2</v>
      </c>
      <c r="G1435" s="2">
        <v>0</v>
      </c>
      <c r="H1435" s="2">
        <v>2</v>
      </c>
      <c r="I1435" s="3">
        <v>3</v>
      </c>
      <c r="J1435" s="2">
        <v>3</v>
      </c>
      <c r="K1435" s="2">
        <v>3</v>
      </c>
      <c r="L1435" s="2">
        <v>0</v>
      </c>
      <c r="M1435" s="2">
        <v>0</v>
      </c>
      <c r="N1435" s="2">
        <v>13</v>
      </c>
      <c r="O1435" s="2">
        <v>0</v>
      </c>
      <c r="P1435" s="3">
        <v>2</v>
      </c>
      <c r="Q1435" s="2">
        <v>0</v>
      </c>
      <c r="R1435" s="2">
        <v>33</v>
      </c>
      <c r="S1435" s="2">
        <v>0</v>
      </c>
      <c r="T1435" s="2">
        <v>1</v>
      </c>
      <c r="U1435" s="2">
        <v>0</v>
      </c>
      <c r="V1435" s="2">
        <f t="shared" si="722"/>
        <v>1</v>
      </c>
      <c r="W1435" s="2">
        <v>1</v>
      </c>
      <c r="X1435" s="2">
        <v>3</v>
      </c>
      <c r="Y1435" s="2">
        <v>3</v>
      </c>
      <c r="Z1435" s="2">
        <f t="shared" si="723"/>
        <v>7</v>
      </c>
      <c r="AA1435" s="2">
        <f t="shared" si="724"/>
        <v>14</v>
      </c>
      <c r="AB1435" s="2">
        <v>2304</v>
      </c>
      <c r="AC1435" s="20">
        <f t="shared" si="725"/>
        <v>0.607638888888889</v>
      </c>
      <c r="AD1435" s="2" t="s">
        <v>83</v>
      </c>
      <c r="AE1435" s="2">
        <v>125</v>
      </c>
      <c r="AF1435" s="21">
        <f t="shared" si="726"/>
        <v>0.913888888888889</v>
      </c>
      <c r="AG1435" s="4">
        <f t="shared" si="727"/>
        <v>0.0434027777777778</v>
      </c>
      <c r="AH1435" s="4">
        <f t="shared" si="728"/>
        <v>0.303819444444444</v>
      </c>
      <c r="AI1435" s="2">
        <v>4159</v>
      </c>
      <c r="AJ1435" s="2">
        <v>135</v>
      </c>
      <c r="AK1435" s="2">
        <v>302</v>
      </c>
      <c r="AL1435" s="2">
        <v>15</v>
      </c>
      <c r="AM1435" s="2">
        <v>30</v>
      </c>
      <c r="AN1435" s="2">
        <v>0</v>
      </c>
      <c r="AO1435" s="2">
        <v>0</v>
      </c>
      <c r="AP1435" s="2">
        <f t="shared" si="732"/>
        <v>4309</v>
      </c>
      <c r="AQ1435" s="2">
        <f t="shared" si="733"/>
        <v>98.1102003642987</v>
      </c>
      <c r="AR1435" s="5">
        <f t="shared" si="734"/>
        <v>184.447176684882</v>
      </c>
    </row>
    <row r="1436" spans="1:44">
      <c r="A1436" s="2">
        <v>20260426</v>
      </c>
      <c r="B1436" s="2" t="s">
        <v>2914</v>
      </c>
      <c r="C1436" s="2" t="s">
        <v>2915</v>
      </c>
      <c r="D1436" s="2">
        <v>4</v>
      </c>
      <c r="E1436" s="2">
        <v>0</v>
      </c>
      <c r="F1436" s="2">
        <v>0</v>
      </c>
      <c r="G1436" s="2">
        <v>2</v>
      </c>
      <c r="H1436" s="2">
        <v>4</v>
      </c>
      <c r="I1436" s="3">
        <v>5</v>
      </c>
      <c r="J1436" s="2">
        <v>1</v>
      </c>
      <c r="K1436" s="2">
        <v>0</v>
      </c>
      <c r="L1436" s="2">
        <v>0</v>
      </c>
      <c r="M1436" s="2">
        <v>5</v>
      </c>
      <c r="N1436" s="2">
        <v>9</v>
      </c>
      <c r="O1436" s="2">
        <v>0</v>
      </c>
      <c r="P1436" s="2">
        <v>3</v>
      </c>
      <c r="Q1436" s="3">
        <v>0</v>
      </c>
      <c r="R1436" s="2">
        <v>13</v>
      </c>
      <c r="S1436" s="2">
        <v>0</v>
      </c>
      <c r="T1436" s="2">
        <v>2</v>
      </c>
      <c r="U1436" s="2">
        <v>0</v>
      </c>
      <c r="V1436" s="2">
        <f t="shared" si="722"/>
        <v>2</v>
      </c>
      <c r="W1436" s="2">
        <v>2</v>
      </c>
      <c r="X1436" s="2">
        <v>2</v>
      </c>
      <c r="Y1436" s="2">
        <v>2</v>
      </c>
      <c r="Z1436" s="2">
        <f t="shared" si="723"/>
        <v>6</v>
      </c>
      <c r="AA1436" s="2">
        <f t="shared" si="724"/>
        <v>22</v>
      </c>
      <c r="AB1436" s="2">
        <v>4162</v>
      </c>
      <c r="AC1436" s="20">
        <f t="shared" si="725"/>
        <v>0.528592023065834</v>
      </c>
      <c r="AD1436" s="2" t="s">
        <v>83</v>
      </c>
      <c r="AE1436" s="2">
        <v>125</v>
      </c>
      <c r="AF1436" s="21">
        <f t="shared" si="726"/>
        <v>0.795002402691014</v>
      </c>
      <c r="AG1436" s="4">
        <f t="shared" si="727"/>
        <v>0.0480538202787122</v>
      </c>
      <c r="AH1436" s="4">
        <f t="shared" si="728"/>
        <v>0.144161460836136</v>
      </c>
      <c r="AI1436" s="2">
        <v>5723</v>
      </c>
      <c r="AJ1436" s="2">
        <v>174</v>
      </c>
      <c r="AK1436" s="2">
        <v>539</v>
      </c>
      <c r="AL1436" s="2">
        <v>14</v>
      </c>
      <c r="AM1436" s="2">
        <v>28</v>
      </c>
      <c r="AN1436" s="2">
        <v>5</v>
      </c>
      <c r="AO1436" s="2">
        <v>0</v>
      </c>
      <c r="AP1436" s="2">
        <f t="shared" si="732"/>
        <v>5916</v>
      </c>
      <c r="AQ1436" s="2">
        <f t="shared" si="733"/>
        <v>256.770833333333</v>
      </c>
      <c r="AR1436" s="5">
        <f t="shared" si="734"/>
        <v>482.729166666667</v>
      </c>
    </row>
    <row r="1437" spans="1:44">
      <c r="A1437" s="2">
        <v>20260426</v>
      </c>
      <c r="B1437" s="2" t="s">
        <v>2916</v>
      </c>
      <c r="C1437" s="2" t="s">
        <v>2917</v>
      </c>
      <c r="D1437" s="2">
        <v>0</v>
      </c>
      <c r="E1437" s="2">
        <v>5</v>
      </c>
      <c r="F1437" s="2">
        <v>2</v>
      </c>
      <c r="G1437" s="2">
        <v>0</v>
      </c>
      <c r="H1437" s="2">
        <v>3</v>
      </c>
      <c r="I1437" s="3">
        <v>12</v>
      </c>
      <c r="J1437" s="2">
        <v>5</v>
      </c>
      <c r="K1437" s="2">
        <v>1</v>
      </c>
      <c r="L1437" s="2">
        <v>1</v>
      </c>
      <c r="M1437" s="2">
        <v>1</v>
      </c>
      <c r="N1437" s="2">
        <v>4</v>
      </c>
      <c r="O1437" s="2">
        <v>0</v>
      </c>
      <c r="P1437" s="3">
        <v>1</v>
      </c>
      <c r="Q1437" s="2">
        <v>4</v>
      </c>
      <c r="R1437" s="2">
        <v>18</v>
      </c>
      <c r="S1437" s="2">
        <v>4</v>
      </c>
      <c r="T1437" s="2">
        <v>4</v>
      </c>
      <c r="U1437" s="2">
        <v>2</v>
      </c>
      <c r="V1437" s="2">
        <f t="shared" si="722"/>
        <v>14</v>
      </c>
      <c r="W1437" s="2">
        <v>0</v>
      </c>
      <c r="X1437" s="2">
        <v>6</v>
      </c>
      <c r="Y1437" s="2">
        <v>0</v>
      </c>
      <c r="Z1437" s="2">
        <f t="shared" si="723"/>
        <v>8</v>
      </c>
      <c r="AA1437" s="2">
        <f t="shared" si="724"/>
        <v>30</v>
      </c>
      <c r="AB1437" s="2">
        <v>2604</v>
      </c>
      <c r="AC1437" s="20">
        <f t="shared" si="725"/>
        <v>1.15207373271889</v>
      </c>
      <c r="AD1437" s="2" t="s">
        <v>83</v>
      </c>
      <c r="AE1437" s="2">
        <v>125</v>
      </c>
      <c r="AF1437" s="21">
        <f t="shared" si="726"/>
        <v>1.73271889400922</v>
      </c>
      <c r="AG1437" s="4">
        <f t="shared" si="727"/>
        <v>0.537634408602151</v>
      </c>
      <c r="AH1437" s="4">
        <f t="shared" si="728"/>
        <v>0.307219662058372</v>
      </c>
      <c r="AO1437" s="2">
        <v>0</v>
      </c>
      <c r="AP1437" s="2">
        <f t="shared" si="732"/>
        <v>0</v>
      </c>
      <c r="AQ1437" s="2">
        <f t="shared" si="733"/>
        <v>0</v>
      </c>
      <c r="AR1437" s="5">
        <f t="shared" si="734"/>
        <v>0</v>
      </c>
    </row>
    <row r="1438" spans="1:44">
      <c r="A1438" s="2">
        <v>20260427</v>
      </c>
      <c r="B1438" s="2" t="s">
        <v>2918</v>
      </c>
      <c r="C1438" s="2" t="s">
        <v>2919</v>
      </c>
      <c r="D1438" s="2">
        <v>8</v>
      </c>
      <c r="E1438" s="2">
        <v>2</v>
      </c>
      <c r="F1438" s="2">
        <v>2</v>
      </c>
      <c r="G1438" s="2">
        <v>17</v>
      </c>
      <c r="H1438" s="2">
        <v>199</v>
      </c>
      <c r="I1438" s="3">
        <v>32</v>
      </c>
      <c r="J1438" s="2">
        <v>119</v>
      </c>
      <c r="K1438" s="2">
        <v>5</v>
      </c>
      <c r="L1438" s="2">
        <v>1</v>
      </c>
      <c r="M1438" s="2">
        <v>23</v>
      </c>
      <c r="N1438" s="2">
        <v>53</v>
      </c>
      <c r="O1438" s="2">
        <v>0</v>
      </c>
      <c r="P1438" s="3">
        <v>43</v>
      </c>
      <c r="Q1438" s="2">
        <v>0</v>
      </c>
      <c r="R1438" s="2">
        <v>14</v>
      </c>
      <c r="S1438" s="2">
        <v>4</v>
      </c>
      <c r="T1438" s="2">
        <v>174</v>
      </c>
      <c r="U1438" s="2">
        <v>3</v>
      </c>
      <c r="V1438" s="2">
        <f t="shared" si="722"/>
        <v>181</v>
      </c>
      <c r="W1438" s="2">
        <v>0</v>
      </c>
      <c r="X1438" s="2">
        <v>3</v>
      </c>
      <c r="Y1438" s="2">
        <v>0</v>
      </c>
      <c r="Z1438" s="2">
        <f t="shared" si="723"/>
        <v>6</v>
      </c>
      <c r="AA1438" s="2">
        <f t="shared" si="724"/>
        <v>616</v>
      </c>
      <c r="AB1438" s="2">
        <v>3206</v>
      </c>
      <c r="AC1438" s="20">
        <f t="shared" si="725"/>
        <v>19.2139737991266</v>
      </c>
      <c r="AD1438" s="2" t="s">
        <v>49</v>
      </c>
      <c r="AE1438" s="2">
        <v>125</v>
      </c>
      <c r="AF1438" s="21">
        <f t="shared" si="726"/>
        <v>28.8978165938865</v>
      </c>
      <c r="AG1438" s="4">
        <f t="shared" si="727"/>
        <v>5.64566437928883</v>
      </c>
      <c r="AH1438" s="4">
        <f t="shared" si="728"/>
        <v>0.187149095446039</v>
      </c>
      <c r="AI1438" s="2">
        <v>6502</v>
      </c>
      <c r="AJ1438" s="2">
        <v>5606</v>
      </c>
      <c r="AK1438" s="2">
        <v>337</v>
      </c>
      <c r="AL1438" s="2">
        <v>1364</v>
      </c>
      <c r="AM1438" s="2">
        <v>294</v>
      </c>
      <c r="AN1438" s="2">
        <v>17</v>
      </c>
      <c r="AO1438" s="2">
        <v>0</v>
      </c>
      <c r="AP1438" s="2">
        <f t="shared" si="732"/>
        <v>13489</v>
      </c>
      <c r="AQ1438" s="2">
        <f t="shared" si="733"/>
        <v>518.010752688172</v>
      </c>
      <c r="AR1438" s="5">
        <f t="shared" si="734"/>
        <v>973.860215053763</v>
      </c>
    </row>
    <row r="1439" spans="1:44">
      <c r="A1439" s="2">
        <v>20260427</v>
      </c>
      <c r="B1439" s="2" t="s">
        <v>2920</v>
      </c>
      <c r="C1439" s="2" t="s">
        <v>2921</v>
      </c>
      <c r="D1439" s="2">
        <v>4</v>
      </c>
      <c r="E1439" s="2">
        <v>237</v>
      </c>
      <c r="F1439" s="2">
        <v>6</v>
      </c>
      <c r="G1439" s="2">
        <v>4</v>
      </c>
      <c r="H1439" s="2">
        <v>17</v>
      </c>
      <c r="I1439" s="3">
        <v>18</v>
      </c>
      <c r="J1439" s="2">
        <v>28</v>
      </c>
      <c r="K1439" s="2">
        <v>5</v>
      </c>
      <c r="L1439" s="2">
        <v>0</v>
      </c>
      <c r="M1439" s="2">
        <v>10</v>
      </c>
      <c r="N1439" s="2">
        <v>29</v>
      </c>
      <c r="O1439" s="2">
        <v>3</v>
      </c>
      <c r="P1439" s="3">
        <v>13</v>
      </c>
      <c r="Q1439" s="2">
        <v>4</v>
      </c>
      <c r="R1439" s="2">
        <v>1056</v>
      </c>
      <c r="S1439" s="2">
        <v>3</v>
      </c>
      <c r="T1439" s="2">
        <v>32</v>
      </c>
      <c r="U1439" s="2">
        <v>0</v>
      </c>
      <c r="V1439" s="2">
        <f t="shared" si="722"/>
        <v>39</v>
      </c>
      <c r="W1439" s="2">
        <v>0</v>
      </c>
      <c r="X1439" s="2">
        <v>5</v>
      </c>
      <c r="Y1439" s="2">
        <v>0</v>
      </c>
      <c r="Z1439" s="2">
        <f t="shared" si="723"/>
        <v>5</v>
      </c>
      <c r="AA1439" s="2">
        <f t="shared" si="724"/>
        <v>127</v>
      </c>
      <c r="AB1439" s="2">
        <v>3722</v>
      </c>
      <c r="AC1439" s="20">
        <f t="shared" si="725"/>
        <v>3.41214400859753</v>
      </c>
      <c r="AD1439" s="2" t="s">
        <v>49</v>
      </c>
      <c r="AE1439" s="2">
        <v>125</v>
      </c>
      <c r="AF1439" s="21">
        <f t="shared" si="726"/>
        <v>5.13186458893068</v>
      </c>
      <c r="AG1439" s="4">
        <f t="shared" si="727"/>
        <v>1.04782375067168</v>
      </c>
      <c r="AH1439" s="4">
        <f t="shared" si="728"/>
        <v>0.134336378291241</v>
      </c>
      <c r="AI1439" s="2">
        <v>3683</v>
      </c>
      <c r="AJ1439" s="2">
        <v>824</v>
      </c>
      <c r="AK1439" s="2">
        <v>331</v>
      </c>
      <c r="AL1439" s="2">
        <v>215</v>
      </c>
      <c r="AM1439" s="2">
        <v>96</v>
      </c>
      <c r="AN1439" s="2">
        <v>10</v>
      </c>
      <c r="AO1439" s="2">
        <v>0</v>
      </c>
      <c r="AP1439" s="2">
        <f t="shared" si="732"/>
        <v>4732</v>
      </c>
      <c r="AQ1439" s="2">
        <f t="shared" si="733"/>
        <v>147.598253275109</v>
      </c>
      <c r="AR1439" s="5">
        <f t="shared" si="734"/>
        <v>277.484716157205</v>
      </c>
    </row>
    <row r="1440" spans="1:44">
      <c r="A1440" s="2">
        <v>20260427</v>
      </c>
      <c r="B1440" s="2" t="s">
        <v>2922</v>
      </c>
      <c r="C1440" s="2" t="s">
        <v>2923</v>
      </c>
      <c r="D1440" s="2">
        <v>1</v>
      </c>
      <c r="E1440" s="2">
        <v>20</v>
      </c>
      <c r="F1440" s="2">
        <v>1</v>
      </c>
      <c r="G1440" s="2">
        <v>6</v>
      </c>
      <c r="H1440" s="2">
        <v>58</v>
      </c>
      <c r="I1440" s="3">
        <v>31</v>
      </c>
      <c r="J1440" s="2">
        <v>38</v>
      </c>
      <c r="K1440" s="2">
        <v>2</v>
      </c>
      <c r="L1440" s="2">
        <v>0</v>
      </c>
      <c r="M1440" s="2">
        <v>11</v>
      </c>
      <c r="N1440" s="2">
        <v>21</v>
      </c>
      <c r="O1440" s="2">
        <v>1</v>
      </c>
      <c r="P1440" s="3">
        <v>28</v>
      </c>
      <c r="Q1440" s="2">
        <v>1</v>
      </c>
      <c r="R1440" s="2">
        <v>2054</v>
      </c>
      <c r="S1440" s="2">
        <v>2</v>
      </c>
      <c r="T1440" s="2">
        <v>29</v>
      </c>
      <c r="U1440" s="2">
        <v>0</v>
      </c>
      <c r="V1440" s="2">
        <f t="shared" si="722"/>
        <v>32</v>
      </c>
      <c r="W1440" s="2">
        <v>0</v>
      </c>
      <c r="X1440" s="2">
        <v>10</v>
      </c>
      <c r="Y1440" s="2">
        <v>2</v>
      </c>
      <c r="Z1440" s="2">
        <f t="shared" si="723"/>
        <v>12</v>
      </c>
      <c r="AA1440" s="2">
        <f t="shared" si="724"/>
        <v>203</v>
      </c>
      <c r="AB1440" s="2">
        <v>2602</v>
      </c>
      <c r="AC1440" s="20">
        <f t="shared" si="725"/>
        <v>7.80169100691776</v>
      </c>
      <c r="AD1440" s="2" t="s">
        <v>49</v>
      </c>
      <c r="AE1440" s="2">
        <v>125</v>
      </c>
      <c r="AF1440" s="21">
        <f t="shared" si="726"/>
        <v>11.7337432744043</v>
      </c>
      <c r="AG1440" s="4">
        <f t="shared" si="727"/>
        <v>1.22982321291314</v>
      </c>
      <c r="AH1440" s="4">
        <f t="shared" si="728"/>
        <v>0.461183704842429</v>
      </c>
      <c r="AI1440" s="2">
        <v>5074</v>
      </c>
      <c r="AJ1440" s="2">
        <v>2446</v>
      </c>
      <c r="AK1440" s="2">
        <v>281</v>
      </c>
      <c r="AL1440" s="2">
        <v>489</v>
      </c>
      <c r="AM1440" s="2">
        <v>163</v>
      </c>
      <c r="AN1440" s="2">
        <v>8</v>
      </c>
      <c r="AO1440" s="2">
        <v>0</v>
      </c>
      <c r="AP1440" s="2">
        <f t="shared" si="732"/>
        <v>8017</v>
      </c>
      <c r="AQ1440" s="2">
        <f t="shared" si="733"/>
        <v>215.394948952176</v>
      </c>
      <c r="AR1440" s="5">
        <f t="shared" si="734"/>
        <v>404.942504030091</v>
      </c>
    </row>
    <row r="1441" spans="1:44">
      <c r="A1441" s="2">
        <v>20260427</v>
      </c>
      <c r="B1441" s="2" t="s">
        <v>2924</v>
      </c>
      <c r="C1441" s="2" t="s">
        <v>2925</v>
      </c>
      <c r="D1441" s="2">
        <v>1</v>
      </c>
      <c r="E1441" s="2">
        <v>5</v>
      </c>
      <c r="F1441" s="2">
        <v>3</v>
      </c>
      <c r="G1441" s="2">
        <v>5</v>
      </c>
      <c r="H1441" s="2">
        <v>17</v>
      </c>
      <c r="I1441" s="3">
        <v>14</v>
      </c>
      <c r="J1441" s="2">
        <v>13</v>
      </c>
      <c r="K1441" s="2">
        <v>1</v>
      </c>
      <c r="L1441" s="2">
        <v>0</v>
      </c>
      <c r="M1441" s="2">
        <v>10</v>
      </c>
      <c r="N1441" s="2">
        <v>11</v>
      </c>
      <c r="O1441" s="2">
        <v>2</v>
      </c>
      <c r="P1441" s="3">
        <v>5</v>
      </c>
      <c r="Q1441" s="2">
        <v>2</v>
      </c>
      <c r="R1441" s="2">
        <v>1768</v>
      </c>
      <c r="S1441" s="2">
        <v>2</v>
      </c>
      <c r="T1441" s="2">
        <v>8</v>
      </c>
      <c r="U1441" s="2">
        <v>0</v>
      </c>
      <c r="V1441" s="2">
        <f t="shared" si="722"/>
        <v>12</v>
      </c>
      <c r="W1441" s="2">
        <v>3</v>
      </c>
      <c r="X1441" s="2">
        <v>1</v>
      </c>
      <c r="Y1441" s="2">
        <v>0</v>
      </c>
      <c r="Z1441" s="2">
        <f t="shared" si="723"/>
        <v>4</v>
      </c>
      <c r="AA1441" s="2">
        <f t="shared" si="724"/>
        <v>73</v>
      </c>
      <c r="AB1441" s="2">
        <v>3623</v>
      </c>
      <c r="AC1441" s="20">
        <f t="shared" si="725"/>
        <v>2.0149047750483</v>
      </c>
      <c r="AD1441" s="2" t="s">
        <v>49</v>
      </c>
      <c r="AE1441" s="2">
        <v>125</v>
      </c>
      <c r="AF1441" s="21">
        <f t="shared" si="726"/>
        <v>3.03041678167265</v>
      </c>
      <c r="AG1441" s="4">
        <f t="shared" si="727"/>
        <v>0.331217223295611</v>
      </c>
      <c r="AH1441" s="4">
        <f t="shared" si="728"/>
        <v>0.110405741098537</v>
      </c>
      <c r="AI1441" s="2">
        <v>2758</v>
      </c>
      <c r="AJ1441" s="2">
        <v>393</v>
      </c>
      <c r="AK1441" s="2">
        <v>284</v>
      </c>
      <c r="AL1441" s="2">
        <v>70</v>
      </c>
      <c r="AM1441" s="2">
        <v>54</v>
      </c>
      <c r="AN1441" s="2">
        <v>6</v>
      </c>
      <c r="AO1441" s="2">
        <v>0</v>
      </c>
      <c r="AP1441" s="2">
        <f t="shared" si="732"/>
        <v>3227</v>
      </c>
      <c r="AQ1441" s="2">
        <f t="shared" si="733"/>
        <v>124.01998462721</v>
      </c>
      <c r="AR1441" s="5">
        <f t="shared" si="734"/>
        <v>233.157571099154</v>
      </c>
    </row>
    <row r="1442" spans="1:44">
      <c r="A1442" s="2">
        <v>20260427</v>
      </c>
      <c r="B1442" s="2" t="s">
        <v>2926</v>
      </c>
      <c r="C1442" s="2" t="s">
        <v>2927</v>
      </c>
      <c r="D1442" s="2">
        <v>0</v>
      </c>
      <c r="E1442" s="2">
        <v>2</v>
      </c>
      <c r="F1442" s="2">
        <v>5</v>
      </c>
      <c r="G1442" s="2">
        <v>1</v>
      </c>
      <c r="H1442" s="2">
        <v>5</v>
      </c>
      <c r="I1442" s="3">
        <v>4</v>
      </c>
      <c r="J1442" s="2">
        <v>3</v>
      </c>
      <c r="K1442" s="2">
        <v>0</v>
      </c>
      <c r="L1442" s="2">
        <v>0</v>
      </c>
      <c r="M1442" s="2">
        <v>4</v>
      </c>
      <c r="N1442" s="2">
        <v>6</v>
      </c>
      <c r="O1442" s="2">
        <v>1</v>
      </c>
      <c r="P1442" s="3">
        <v>1</v>
      </c>
      <c r="Q1442" s="2">
        <v>6</v>
      </c>
      <c r="R1442" s="2">
        <v>937</v>
      </c>
      <c r="S1442" s="2">
        <v>3</v>
      </c>
      <c r="T1442" s="2">
        <v>1</v>
      </c>
      <c r="U1442" s="2">
        <v>0</v>
      </c>
      <c r="V1442" s="2">
        <f t="shared" si="722"/>
        <v>10</v>
      </c>
      <c r="W1442" s="2">
        <v>3</v>
      </c>
      <c r="X1442" s="2">
        <v>3</v>
      </c>
      <c r="Y1442" s="2">
        <v>0</v>
      </c>
      <c r="Z1442" s="2">
        <f t="shared" si="723"/>
        <v>6</v>
      </c>
      <c r="AA1442" s="2">
        <f t="shared" si="724"/>
        <v>19</v>
      </c>
      <c r="AB1442" s="2">
        <v>3203</v>
      </c>
      <c r="AC1442" s="20">
        <f t="shared" si="725"/>
        <v>0.593193880736809</v>
      </c>
      <c r="AD1442" s="2" t="s">
        <v>49</v>
      </c>
      <c r="AE1442" s="2">
        <v>125</v>
      </c>
      <c r="AF1442" s="21">
        <f t="shared" si="726"/>
        <v>0.892163596628161</v>
      </c>
      <c r="AG1442" s="4">
        <f t="shared" si="727"/>
        <v>0.312207305650952</v>
      </c>
      <c r="AH1442" s="4">
        <f t="shared" si="728"/>
        <v>0.187324383390571</v>
      </c>
      <c r="AI1442" s="2">
        <v>2341</v>
      </c>
      <c r="AJ1442" s="2">
        <v>90</v>
      </c>
      <c r="AK1442" s="2">
        <v>287</v>
      </c>
      <c r="AL1442" s="2">
        <v>49</v>
      </c>
      <c r="AM1442" s="2">
        <v>32</v>
      </c>
      <c r="AN1442" s="2">
        <v>2</v>
      </c>
      <c r="AO1442" s="2">
        <v>0</v>
      </c>
      <c r="AP1442" s="2">
        <f t="shared" si="732"/>
        <v>2482</v>
      </c>
      <c r="AQ1442" s="2">
        <f t="shared" si="733"/>
        <v>68.5067623516423</v>
      </c>
      <c r="AR1442" s="5">
        <f t="shared" si="734"/>
        <v>128.792713221087</v>
      </c>
    </row>
    <row r="1443" spans="1:44">
      <c r="A1443" s="2">
        <v>20260427</v>
      </c>
      <c r="B1443" s="2" t="s">
        <v>2928</v>
      </c>
      <c r="C1443" s="2" t="s">
        <v>2929</v>
      </c>
      <c r="D1443" s="2">
        <v>1</v>
      </c>
      <c r="E1443" s="2">
        <v>7</v>
      </c>
      <c r="F1443" s="2">
        <v>3</v>
      </c>
      <c r="G1443" s="2">
        <v>0</v>
      </c>
      <c r="H1443" s="2">
        <v>5</v>
      </c>
      <c r="I1443" s="3">
        <v>4</v>
      </c>
      <c r="J1443" s="2">
        <v>3</v>
      </c>
      <c r="K1443" s="2">
        <v>1</v>
      </c>
      <c r="L1443" s="2">
        <v>0</v>
      </c>
      <c r="M1443" s="2">
        <v>3</v>
      </c>
      <c r="N1443" s="2">
        <v>4</v>
      </c>
      <c r="O1443" s="2">
        <v>1</v>
      </c>
      <c r="P1443" s="3">
        <v>5</v>
      </c>
      <c r="Q1443" s="2">
        <v>119</v>
      </c>
      <c r="R1443" s="2">
        <v>2</v>
      </c>
      <c r="S1443" s="2">
        <v>1</v>
      </c>
      <c r="T1443" s="2">
        <v>0</v>
      </c>
      <c r="U1443" s="2">
        <v>0</v>
      </c>
      <c r="V1443" s="2">
        <f t="shared" si="722"/>
        <v>120</v>
      </c>
      <c r="W1443" s="2">
        <v>7</v>
      </c>
      <c r="X1443" s="2">
        <v>3</v>
      </c>
      <c r="Y1443" s="2">
        <v>0</v>
      </c>
      <c r="Z1443" s="2">
        <f t="shared" si="723"/>
        <v>10</v>
      </c>
      <c r="AA1443" s="2">
        <f t="shared" si="724"/>
        <v>21</v>
      </c>
      <c r="AB1443" s="2">
        <v>3651</v>
      </c>
      <c r="AC1443" s="20">
        <f t="shared" si="725"/>
        <v>0.57518488085456</v>
      </c>
      <c r="AD1443" s="2" t="s">
        <v>49</v>
      </c>
      <c r="AE1443" s="2">
        <v>125</v>
      </c>
      <c r="AF1443" s="21">
        <f t="shared" si="726"/>
        <v>0.865078060805259</v>
      </c>
      <c r="AG1443" s="4">
        <f t="shared" si="727"/>
        <v>3.28677074774035</v>
      </c>
      <c r="AH1443" s="4">
        <f t="shared" si="728"/>
        <v>0.273897562311695</v>
      </c>
      <c r="AI1443" s="2">
        <v>3447</v>
      </c>
      <c r="AJ1443" s="2">
        <v>97</v>
      </c>
      <c r="AK1443" s="2">
        <v>376</v>
      </c>
      <c r="AL1443" s="2">
        <v>113</v>
      </c>
      <c r="AM1443" s="2">
        <v>82</v>
      </c>
      <c r="AN1443" s="2">
        <v>2</v>
      </c>
      <c r="AO1443" s="2">
        <v>0</v>
      </c>
      <c r="AP1443" s="2">
        <f t="shared" si="732"/>
        <v>3659</v>
      </c>
      <c r="AQ1443" s="2">
        <f t="shared" si="733"/>
        <v>114.236653137683</v>
      </c>
      <c r="AR1443" s="5">
        <f t="shared" si="734"/>
        <v>214.764907898845</v>
      </c>
    </row>
    <row r="1444" spans="1:44">
      <c r="A1444" s="2">
        <v>20260427</v>
      </c>
      <c r="B1444" s="2" t="s">
        <v>2930</v>
      </c>
      <c r="C1444" s="2" t="s">
        <v>2931</v>
      </c>
      <c r="D1444" s="2">
        <v>10</v>
      </c>
      <c r="E1444" s="2">
        <v>6</v>
      </c>
      <c r="F1444" s="2">
        <v>2</v>
      </c>
      <c r="G1444" s="2">
        <v>18</v>
      </c>
      <c r="H1444" s="2">
        <v>109</v>
      </c>
      <c r="I1444" s="3">
        <v>18</v>
      </c>
      <c r="J1444" s="2">
        <v>73</v>
      </c>
      <c r="K1444" s="2">
        <v>16</v>
      </c>
      <c r="L1444" s="2">
        <v>6</v>
      </c>
      <c r="M1444" s="2">
        <v>59</v>
      </c>
      <c r="N1444" s="2">
        <v>29</v>
      </c>
      <c r="O1444" s="2">
        <v>1</v>
      </c>
      <c r="P1444" s="3">
        <v>19</v>
      </c>
      <c r="Q1444" s="2">
        <v>11</v>
      </c>
      <c r="R1444" s="2">
        <v>1272</v>
      </c>
      <c r="S1444" s="2">
        <v>0</v>
      </c>
      <c r="T1444" s="2">
        <v>13</v>
      </c>
      <c r="U1444" s="2">
        <v>5</v>
      </c>
      <c r="V1444" s="2">
        <f t="shared" si="722"/>
        <v>29</v>
      </c>
      <c r="W1444" s="2">
        <v>2</v>
      </c>
      <c r="X1444" s="2">
        <v>2</v>
      </c>
      <c r="Y1444" s="2">
        <v>0</v>
      </c>
      <c r="Z1444" s="2">
        <f t="shared" si="723"/>
        <v>9</v>
      </c>
      <c r="AA1444" s="2">
        <f t="shared" si="724"/>
        <v>336</v>
      </c>
      <c r="AB1444" s="2">
        <v>3206</v>
      </c>
      <c r="AC1444" s="20">
        <f t="shared" si="725"/>
        <v>10.4803493449782</v>
      </c>
      <c r="AD1444" s="2" t="s">
        <v>49</v>
      </c>
      <c r="AE1444" s="2">
        <v>125</v>
      </c>
      <c r="AF1444" s="21">
        <f t="shared" si="726"/>
        <v>15.7624454148472</v>
      </c>
      <c r="AG1444" s="4">
        <f t="shared" si="727"/>
        <v>0.90455396132252</v>
      </c>
      <c r="AH1444" s="4">
        <f t="shared" si="728"/>
        <v>0.280723643169058</v>
      </c>
      <c r="AI1444" s="2">
        <v>4959</v>
      </c>
      <c r="AJ1444" s="2">
        <v>4094</v>
      </c>
      <c r="AK1444" s="2">
        <v>298</v>
      </c>
      <c r="AL1444" s="2">
        <v>769</v>
      </c>
      <c r="AM1444" s="2">
        <v>135</v>
      </c>
      <c r="AN1444" s="2">
        <v>47</v>
      </c>
      <c r="AO1444" s="2">
        <v>0</v>
      </c>
      <c r="AP1444" s="2">
        <f t="shared" si="732"/>
        <v>9869</v>
      </c>
      <c r="AQ1444" s="2">
        <f t="shared" si="733"/>
        <v>270.309504245412</v>
      </c>
      <c r="AR1444" s="5">
        <f t="shared" si="734"/>
        <v>508.181867981375</v>
      </c>
    </row>
    <row r="1445" spans="1:44">
      <c r="A1445" s="2">
        <v>20260427</v>
      </c>
      <c r="B1445" s="2" t="s">
        <v>2932</v>
      </c>
      <c r="C1445" s="2" t="s">
        <v>2933</v>
      </c>
      <c r="D1445" s="2">
        <v>2</v>
      </c>
      <c r="E1445" s="2">
        <v>13</v>
      </c>
      <c r="F1445" s="2">
        <v>4</v>
      </c>
      <c r="G1445" s="2">
        <v>2</v>
      </c>
      <c r="H1445" s="2">
        <v>10</v>
      </c>
      <c r="I1445" s="3">
        <v>20</v>
      </c>
      <c r="J1445" s="2">
        <v>14</v>
      </c>
      <c r="K1445" s="2">
        <v>7</v>
      </c>
      <c r="L1445" s="2">
        <v>0</v>
      </c>
      <c r="M1445" s="2">
        <v>13</v>
      </c>
      <c r="N1445" s="2">
        <v>5</v>
      </c>
      <c r="O1445" s="2">
        <v>3</v>
      </c>
      <c r="P1445" s="3">
        <v>2</v>
      </c>
      <c r="Q1445" s="2">
        <v>4</v>
      </c>
      <c r="R1445" s="2">
        <v>1661</v>
      </c>
      <c r="S1445" s="2">
        <v>6</v>
      </c>
      <c r="T1445" s="2">
        <v>4</v>
      </c>
      <c r="U1445" s="2">
        <v>0</v>
      </c>
      <c r="V1445" s="2">
        <f t="shared" si="722"/>
        <v>14</v>
      </c>
      <c r="W1445" s="2">
        <v>2</v>
      </c>
      <c r="X1445" s="2">
        <v>3</v>
      </c>
      <c r="Y1445" s="2">
        <v>0</v>
      </c>
      <c r="Z1445" s="2">
        <f t="shared" si="723"/>
        <v>5</v>
      </c>
      <c r="AA1445" s="2">
        <f t="shared" si="724"/>
        <v>72</v>
      </c>
      <c r="AB1445" s="2">
        <v>3703</v>
      </c>
      <c r="AC1445" s="20">
        <f t="shared" si="725"/>
        <v>1.94436943019174</v>
      </c>
      <c r="AD1445" s="2" t="s">
        <v>49</v>
      </c>
      <c r="AE1445" s="2">
        <v>125</v>
      </c>
      <c r="AF1445" s="21">
        <f t="shared" si="726"/>
        <v>2.92433162300837</v>
      </c>
      <c r="AG1445" s="4">
        <f t="shared" si="727"/>
        <v>0.378071833648393</v>
      </c>
      <c r="AH1445" s="4">
        <f t="shared" si="728"/>
        <v>0.135025654874426</v>
      </c>
      <c r="AI1445" s="2">
        <v>7238</v>
      </c>
      <c r="AJ1445" s="2">
        <v>1414</v>
      </c>
      <c r="AK1445" s="2">
        <v>342</v>
      </c>
      <c r="AL1445" s="2">
        <v>249</v>
      </c>
      <c r="AM1445" s="2">
        <v>110</v>
      </c>
      <c r="AN1445" s="2">
        <v>18</v>
      </c>
      <c r="AO1445" s="2">
        <v>0</v>
      </c>
      <c r="AP1445" s="2">
        <f t="shared" si="732"/>
        <v>8919</v>
      </c>
      <c r="AQ1445" s="2">
        <f t="shared" si="733"/>
        <v>278.197130380536</v>
      </c>
      <c r="AR1445" s="5">
        <f t="shared" si="734"/>
        <v>523.010605115409</v>
      </c>
    </row>
    <row r="1446" spans="1:44">
      <c r="A1446" s="2">
        <v>20260427</v>
      </c>
      <c r="B1446" s="2" t="s">
        <v>2934</v>
      </c>
      <c r="C1446" s="2" t="s">
        <v>2935</v>
      </c>
      <c r="D1446" s="2">
        <v>0</v>
      </c>
      <c r="E1446" s="2">
        <v>4</v>
      </c>
      <c r="F1446" s="2">
        <v>0</v>
      </c>
      <c r="G1446" s="2">
        <v>0</v>
      </c>
      <c r="H1446" s="2">
        <v>2</v>
      </c>
      <c r="I1446" s="3">
        <v>2</v>
      </c>
      <c r="J1446" s="2">
        <v>4</v>
      </c>
      <c r="K1446" s="2">
        <v>0</v>
      </c>
      <c r="L1446" s="2">
        <v>0</v>
      </c>
      <c r="M1446" s="2">
        <v>1</v>
      </c>
      <c r="N1446" s="2">
        <v>3</v>
      </c>
      <c r="O1446" s="2">
        <v>1</v>
      </c>
      <c r="P1446" s="3">
        <v>2</v>
      </c>
      <c r="Q1446" s="2">
        <v>0</v>
      </c>
      <c r="R1446" s="2">
        <v>1685</v>
      </c>
      <c r="S1446" s="2">
        <v>0</v>
      </c>
      <c r="T1446" s="2">
        <v>0</v>
      </c>
      <c r="U1446" s="2">
        <v>0</v>
      </c>
      <c r="V1446" s="2">
        <f t="shared" si="722"/>
        <v>0</v>
      </c>
      <c r="W1446" s="2">
        <v>0</v>
      </c>
      <c r="X1446" s="2">
        <v>0</v>
      </c>
      <c r="Y1446" s="2">
        <v>0</v>
      </c>
      <c r="Z1446" s="2">
        <f t="shared" si="723"/>
        <v>0</v>
      </c>
      <c r="AA1446" s="2">
        <f t="shared" si="724"/>
        <v>11</v>
      </c>
      <c r="AB1446" s="2">
        <v>3202</v>
      </c>
      <c r="AC1446" s="20">
        <f t="shared" si="725"/>
        <v>0.343535290443473</v>
      </c>
      <c r="AD1446" s="2" t="s">
        <v>49</v>
      </c>
      <c r="AE1446" s="2">
        <v>125</v>
      </c>
      <c r="AF1446" s="21">
        <f t="shared" si="726"/>
        <v>0.516677076826983</v>
      </c>
      <c r="AG1446" s="4">
        <f t="shared" si="727"/>
        <v>0</v>
      </c>
      <c r="AH1446" s="4">
        <f t="shared" si="728"/>
        <v>0</v>
      </c>
      <c r="AI1446" s="2">
        <v>4414</v>
      </c>
      <c r="AJ1446" s="2">
        <v>138</v>
      </c>
      <c r="AK1446" s="2">
        <v>447</v>
      </c>
      <c r="AL1446" s="2">
        <v>24</v>
      </c>
      <c r="AM1446" s="2">
        <v>36</v>
      </c>
      <c r="AN1446" s="2">
        <v>2</v>
      </c>
      <c r="AO1446" s="2">
        <v>0</v>
      </c>
      <c r="AP1446" s="2">
        <f t="shared" si="732"/>
        <v>4578</v>
      </c>
      <c r="AQ1446" s="2">
        <f t="shared" si="733"/>
        <v>123.629489603025</v>
      </c>
      <c r="AR1446" s="5">
        <f t="shared" si="734"/>
        <v>232.423440453686</v>
      </c>
    </row>
    <row r="1447" spans="1:44">
      <c r="A1447" s="2">
        <v>20260427</v>
      </c>
      <c r="B1447" s="2" t="s">
        <v>2936</v>
      </c>
      <c r="C1447" s="2" t="s">
        <v>2937</v>
      </c>
      <c r="D1447" s="2">
        <v>1</v>
      </c>
      <c r="E1447" s="2">
        <v>9</v>
      </c>
      <c r="F1447" s="2">
        <v>4</v>
      </c>
      <c r="G1447" s="2">
        <v>3</v>
      </c>
      <c r="H1447" s="2">
        <v>6</v>
      </c>
      <c r="I1447" s="3">
        <v>10</v>
      </c>
      <c r="J1447" s="2">
        <v>12</v>
      </c>
      <c r="K1447" s="2">
        <v>8</v>
      </c>
      <c r="L1447" s="2">
        <v>2</v>
      </c>
      <c r="M1447" s="2">
        <v>3</v>
      </c>
      <c r="N1447" s="2">
        <v>17</v>
      </c>
      <c r="O1447" s="2">
        <v>2</v>
      </c>
      <c r="P1447" s="3">
        <v>0</v>
      </c>
      <c r="Q1447" s="2">
        <v>7</v>
      </c>
      <c r="R1447" s="2">
        <v>949</v>
      </c>
      <c r="S1447" s="2">
        <v>6</v>
      </c>
      <c r="T1447" s="2">
        <v>0</v>
      </c>
      <c r="U1447" s="2">
        <v>1</v>
      </c>
      <c r="V1447" s="2">
        <f t="shared" si="722"/>
        <v>14</v>
      </c>
      <c r="W1447" s="2">
        <v>1</v>
      </c>
      <c r="X1447" s="2">
        <v>0</v>
      </c>
      <c r="Y1447" s="2">
        <v>1</v>
      </c>
      <c r="Z1447" s="2">
        <f t="shared" si="723"/>
        <v>3</v>
      </c>
      <c r="AA1447" s="2">
        <f t="shared" si="724"/>
        <v>45</v>
      </c>
      <c r="AB1447" s="2">
        <v>4091</v>
      </c>
      <c r="AC1447" s="20">
        <f t="shared" si="725"/>
        <v>1.09997555609875</v>
      </c>
      <c r="AD1447" s="2" t="s">
        <v>49</v>
      </c>
      <c r="AE1447" s="2">
        <v>125</v>
      </c>
      <c r="AF1447" s="21">
        <f t="shared" si="726"/>
        <v>1.65436323637253</v>
      </c>
      <c r="AG1447" s="4">
        <f t="shared" si="727"/>
        <v>0.342214617452945</v>
      </c>
      <c r="AH1447" s="4">
        <f t="shared" si="728"/>
        <v>0.0733317037399169</v>
      </c>
      <c r="AI1447" s="2">
        <v>3323</v>
      </c>
      <c r="AJ1447" s="2">
        <v>177</v>
      </c>
      <c r="AK1447" s="2">
        <v>542</v>
      </c>
      <c r="AL1447" s="2">
        <v>22</v>
      </c>
      <c r="AM1447" s="2">
        <v>11</v>
      </c>
      <c r="AN1447" s="2">
        <v>0</v>
      </c>
      <c r="AO1447" s="2">
        <v>0</v>
      </c>
      <c r="AP1447" s="2">
        <f t="shared" si="732"/>
        <v>3522</v>
      </c>
      <c r="AQ1447" s="2">
        <f t="shared" si="733"/>
        <v>109.99375390381</v>
      </c>
      <c r="AR1447" s="5">
        <f t="shared" si="734"/>
        <v>206.788257339163</v>
      </c>
    </row>
    <row r="1448" spans="1:44">
      <c r="A1448" s="2">
        <v>20260427</v>
      </c>
      <c r="B1448" s="2" t="s">
        <v>2938</v>
      </c>
      <c r="C1448" s="2" t="s">
        <v>2939</v>
      </c>
      <c r="D1448" s="2">
        <v>0</v>
      </c>
      <c r="E1448" s="2">
        <v>1</v>
      </c>
      <c r="F1448" s="2">
        <v>4</v>
      </c>
      <c r="G1448" s="2">
        <v>2</v>
      </c>
      <c r="H1448" s="2">
        <v>6</v>
      </c>
      <c r="I1448" s="3">
        <v>14</v>
      </c>
      <c r="J1448" s="2">
        <v>4</v>
      </c>
      <c r="K1448" s="2">
        <v>1</v>
      </c>
      <c r="L1448" s="2">
        <v>0</v>
      </c>
      <c r="M1448" s="2">
        <v>3</v>
      </c>
      <c r="N1448" s="2">
        <v>2</v>
      </c>
      <c r="O1448" s="2">
        <v>0</v>
      </c>
      <c r="P1448" s="3">
        <v>5</v>
      </c>
      <c r="Q1448" s="2">
        <v>1</v>
      </c>
      <c r="R1448" s="2">
        <v>1738</v>
      </c>
      <c r="S1448" s="2">
        <v>1</v>
      </c>
      <c r="T1448" s="2">
        <v>1</v>
      </c>
      <c r="U1448" s="2">
        <v>0</v>
      </c>
      <c r="V1448" s="2">
        <f t="shared" si="722"/>
        <v>3</v>
      </c>
      <c r="W1448" s="2">
        <v>1</v>
      </c>
      <c r="X1448" s="2">
        <v>4</v>
      </c>
      <c r="Y1448" s="2">
        <v>0</v>
      </c>
      <c r="Z1448" s="2">
        <f t="shared" si="723"/>
        <v>5</v>
      </c>
      <c r="AA1448" s="2">
        <f t="shared" si="724"/>
        <v>36</v>
      </c>
      <c r="AB1448" s="2">
        <v>3691</v>
      </c>
      <c r="AC1448" s="20">
        <f t="shared" si="725"/>
        <v>0.975345434841506</v>
      </c>
      <c r="AD1448" s="2" t="s">
        <v>49</v>
      </c>
      <c r="AE1448" s="2">
        <v>125</v>
      </c>
      <c r="AF1448" s="21">
        <f t="shared" si="726"/>
        <v>1.46691953400163</v>
      </c>
      <c r="AG1448" s="4">
        <f t="shared" si="727"/>
        <v>0.0812787862367922</v>
      </c>
      <c r="AH1448" s="4">
        <f t="shared" si="728"/>
        <v>0.135464643727987</v>
      </c>
      <c r="AI1448" s="2">
        <v>3144</v>
      </c>
      <c r="AJ1448" s="2">
        <v>148</v>
      </c>
      <c r="AK1448" s="2">
        <v>425</v>
      </c>
      <c r="AL1448" s="2">
        <v>53</v>
      </c>
      <c r="AM1448" s="2">
        <v>61</v>
      </c>
      <c r="AN1448" s="2">
        <v>2</v>
      </c>
      <c r="AO1448" s="2">
        <v>0</v>
      </c>
      <c r="AP1448" s="2">
        <f t="shared" si="732"/>
        <v>3347</v>
      </c>
      <c r="AQ1448" s="2">
        <f t="shared" si="733"/>
        <v>81.8137374725006</v>
      </c>
      <c r="AR1448" s="5">
        <f t="shared" si="734"/>
        <v>153.809826448301</v>
      </c>
    </row>
    <row r="1449" spans="1:44">
      <c r="A1449" s="2">
        <v>20260427</v>
      </c>
      <c r="B1449" s="2" t="s">
        <v>2940</v>
      </c>
      <c r="C1449" s="2" t="s">
        <v>2941</v>
      </c>
      <c r="D1449" s="2">
        <v>0</v>
      </c>
      <c r="E1449" s="2">
        <v>2</v>
      </c>
      <c r="F1449" s="2">
        <v>3</v>
      </c>
      <c r="G1449" s="2">
        <v>1</v>
      </c>
      <c r="H1449" s="2">
        <v>2</v>
      </c>
      <c r="I1449" s="3">
        <v>5</v>
      </c>
      <c r="J1449" s="2">
        <v>7</v>
      </c>
      <c r="K1449" s="2">
        <v>4</v>
      </c>
      <c r="L1449" s="2">
        <v>0</v>
      </c>
      <c r="M1449" s="2">
        <v>1</v>
      </c>
      <c r="N1449" s="2">
        <v>18</v>
      </c>
      <c r="O1449" s="2">
        <v>0</v>
      </c>
      <c r="P1449" s="3">
        <v>0</v>
      </c>
      <c r="Q1449" s="2">
        <v>1</v>
      </c>
      <c r="R1449" s="2">
        <v>876</v>
      </c>
      <c r="S1449" s="2">
        <v>2</v>
      </c>
      <c r="T1449" s="2">
        <v>0</v>
      </c>
      <c r="U1449" s="2">
        <v>0</v>
      </c>
      <c r="V1449" s="2">
        <f t="shared" si="722"/>
        <v>3</v>
      </c>
      <c r="W1449" s="2">
        <v>1</v>
      </c>
      <c r="X1449" s="2">
        <v>0</v>
      </c>
      <c r="Y1449" s="2">
        <v>0</v>
      </c>
      <c r="Z1449" s="2">
        <f t="shared" si="723"/>
        <v>1</v>
      </c>
      <c r="AA1449" s="2">
        <f t="shared" si="724"/>
        <v>20</v>
      </c>
      <c r="AB1449" s="2">
        <v>3521</v>
      </c>
      <c r="AC1449" s="20">
        <f t="shared" si="725"/>
        <v>0.568020448736154</v>
      </c>
      <c r="AD1449" s="2" t="s">
        <v>49</v>
      </c>
      <c r="AE1449" s="2">
        <v>125</v>
      </c>
      <c r="AF1449" s="21">
        <f t="shared" si="726"/>
        <v>0.854302754899176</v>
      </c>
      <c r="AG1449" s="4">
        <f t="shared" si="727"/>
        <v>0.0852030673104232</v>
      </c>
      <c r="AH1449" s="4">
        <f t="shared" si="728"/>
        <v>0.0284010224368077</v>
      </c>
      <c r="AI1449" s="2">
        <v>286</v>
      </c>
      <c r="AJ1449" s="2">
        <v>46</v>
      </c>
      <c r="AK1449" s="2">
        <v>26</v>
      </c>
      <c r="AL1449" s="2">
        <v>15</v>
      </c>
      <c r="AM1449" s="2">
        <v>14</v>
      </c>
      <c r="AN1449" s="2">
        <v>0</v>
      </c>
      <c r="AO1449" s="2">
        <v>0</v>
      </c>
      <c r="AP1449" s="2">
        <f t="shared" si="732"/>
        <v>347</v>
      </c>
      <c r="AQ1449" s="2">
        <f t="shared" si="733"/>
        <v>9.4012462747223</v>
      </c>
      <c r="AR1449" s="5">
        <f t="shared" si="734"/>
        <v>17.6743429964779</v>
      </c>
    </row>
    <row r="1450" spans="1:44">
      <c r="A1450" s="2">
        <v>20260427</v>
      </c>
      <c r="B1450" s="2" t="s">
        <v>2942</v>
      </c>
      <c r="C1450" s="2" t="s">
        <v>2943</v>
      </c>
      <c r="D1450" s="2">
        <v>2</v>
      </c>
      <c r="E1450" s="2">
        <v>2</v>
      </c>
      <c r="F1450" s="2">
        <v>2</v>
      </c>
      <c r="G1450" s="2">
        <v>0</v>
      </c>
      <c r="H1450" s="2">
        <v>3</v>
      </c>
      <c r="I1450" s="3">
        <v>12</v>
      </c>
      <c r="J1450" s="2">
        <v>3</v>
      </c>
      <c r="K1450" s="2">
        <v>5</v>
      </c>
      <c r="L1450" s="2">
        <v>0</v>
      </c>
      <c r="M1450" s="2">
        <v>1</v>
      </c>
      <c r="N1450" s="2">
        <v>1</v>
      </c>
      <c r="O1450" s="2">
        <v>4</v>
      </c>
      <c r="P1450" s="3">
        <v>4</v>
      </c>
      <c r="Q1450" s="2">
        <v>4</v>
      </c>
      <c r="R1450" s="2">
        <v>782</v>
      </c>
      <c r="S1450" s="2">
        <v>3</v>
      </c>
      <c r="T1450" s="2">
        <v>0</v>
      </c>
      <c r="U1450" s="2">
        <v>0</v>
      </c>
      <c r="V1450" s="2">
        <f t="shared" si="722"/>
        <v>7</v>
      </c>
      <c r="W1450" s="2">
        <v>1</v>
      </c>
      <c r="X1450" s="2">
        <v>3</v>
      </c>
      <c r="Y1450" s="2">
        <v>1</v>
      </c>
      <c r="Z1450" s="2">
        <f t="shared" si="723"/>
        <v>5</v>
      </c>
      <c r="AA1450" s="2">
        <f t="shared" si="724"/>
        <v>28</v>
      </c>
      <c r="AB1450" s="2">
        <v>3542</v>
      </c>
      <c r="AC1450" s="20">
        <f t="shared" si="725"/>
        <v>0.790513833992095</v>
      </c>
      <c r="AD1450" s="2" t="s">
        <v>49</v>
      </c>
      <c r="AE1450" s="2">
        <v>125</v>
      </c>
      <c r="AF1450" s="21">
        <f t="shared" si="726"/>
        <v>1.18893280632411</v>
      </c>
      <c r="AG1450" s="4">
        <f t="shared" si="727"/>
        <v>0.197628458498024</v>
      </c>
      <c r="AH1450" s="4">
        <f t="shared" si="728"/>
        <v>0.141163184641446</v>
      </c>
      <c r="AI1450" s="2">
        <v>2650</v>
      </c>
      <c r="AJ1450" s="2">
        <v>140</v>
      </c>
      <c r="AK1450" s="2">
        <v>426</v>
      </c>
      <c r="AL1450" s="2">
        <v>34</v>
      </c>
      <c r="AM1450" s="2">
        <v>46</v>
      </c>
      <c r="AN1450" s="2">
        <v>1</v>
      </c>
      <c r="AO1450" s="2">
        <v>0</v>
      </c>
      <c r="AP1450" s="2">
        <f t="shared" si="732"/>
        <v>2825</v>
      </c>
      <c r="AQ1450" s="2">
        <f t="shared" si="733"/>
        <v>80.2328883839818</v>
      </c>
      <c r="AR1450" s="5">
        <f t="shared" si="734"/>
        <v>150.837830161886</v>
      </c>
    </row>
    <row r="1451" spans="1:44">
      <c r="A1451" s="2">
        <v>20260427</v>
      </c>
      <c r="B1451" s="2" t="s">
        <v>2944</v>
      </c>
      <c r="C1451" s="2" t="s">
        <v>2945</v>
      </c>
      <c r="D1451" s="2">
        <v>0</v>
      </c>
      <c r="E1451" s="2">
        <v>6</v>
      </c>
      <c r="F1451" s="2">
        <v>7</v>
      </c>
      <c r="G1451" s="2">
        <v>3</v>
      </c>
      <c r="H1451" s="2">
        <v>8</v>
      </c>
      <c r="I1451" s="3">
        <v>7</v>
      </c>
      <c r="J1451" s="2">
        <v>6</v>
      </c>
      <c r="K1451" s="2">
        <v>1</v>
      </c>
      <c r="L1451" s="2">
        <v>0</v>
      </c>
      <c r="M1451" s="2">
        <v>2</v>
      </c>
      <c r="N1451" s="2">
        <v>4</v>
      </c>
      <c r="O1451" s="2">
        <v>0</v>
      </c>
      <c r="P1451" s="3">
        <v>4</v>
      </c>
      <c r="Q1451" s="2">
        <v>0</v>
      </c>
      <c r="R1451" s="2">
        <v>968</v>
      </c>
      <c r="S1451" s="2">
        <v>0</v>
      </c>
      <c r="T1451" s="2">
        <v>2</v>
      </c>
      <c r="U1451" s="2">
        <v>0</v>
      </c>
      <c r="V1451" s="2">
        <f t="shared" si="722"/>
        <v>2</v>
      </c>
      <c r="W1451" s="2">
        <v>0</v>
      </c>
      <c r="X1451" s="2">
        <v>2</v>
      </c>
      <c r="Y1451" s="2">
        <v>0</v>
      </c>
      <c r="Z1451" s="2">
        <f t="shared" si="723"/>
        <v>2</v>
      </c>
      <c r="AA1451" s="2">
        <f t="shared" si="724"/>
        <v>33</v>
      </c>
      <c r="AB1451" s="2">
        <v>3342</v>
      </c>
      <c r="AC1451" s="20">
        <f t="shared" si="725"/>
        <v>0.987432675044883</v>
      </c>
      <c r="AD1451" s="2" t="s">
        <v>49</v>
      </c>
      <c r="AE1451" s="2">
        <v>125</v>
      </c>
      <c r="AF1451" s="21">
        <f t="shared" si="726"/>
        <v>1.4850987432675</v>
      </c>
      <c r="AG1451" s="4">
        <f t="shared" si="727"/>
        <v>0.0598444045481747</v>
      </c>
      <c r="AH1451" s="4">
        <f t="shared" si="728"/>
        <v>0.0598444045481747</v>
      </c>
      <c r="AI1451" s="2">
        <v>2496</v>
      </c>
      <c r="AJ1451" s="2">
        <v>94</v>
      </c>
      <c r="AK1451" s="2">
        <v>389</v>
      </c>
      <c r="AL1451" s="2">
        <v>15</v>
      </c>
      <c r="AM1451" s="2">
        <v>49</v>
      </c>
      <c r="AN1451" s="2">
        <v>7</v>
      </c>
      <c r="AO1451" s="2">
        <v>0</v>
      </c>
      <c r="AP1451" s="2">
        <f t="shared" si="732"/>
        <v>2612</v>
      </c>
      <c r="AQ1451" s="2">
        <f t="shared" ref="AQ1451:AQ1458" si="735">AP1451/AB1450*100</f>
        <v>73.7436476566911</v>
      </c>
      <c r="AR1451" s="5">
        <f t="shared" ref="AR1451:AR1458" si="736">AQ1451*1.88</f>
        <v>138.638057594579</v>
      </c>
    </row>
    <row r="1452" spans="1:44">
      <c r="A1452" s="2">
        <v>20260427</v>
      </c>
      <c r="B1452" s="2" t="s">
        <v>2946</v>
      </c>
      <c r="C1452" s="2" t="s">
        <v>2947</v>
      </c>
      <c r="D1452" s="2">
        <v>9</v>
      </c>
      <c r="E1452" s="2">
        <v>2</v>
      </c>
      <c r="F1452" s="2">
        <v>0</v>
      </c>
      <c r="G1452" s="2">
        <v>1</v>
      </c>
      <c r="H1452" s="2">
        <v>4</v>
      </c>
      <c r="I1452" s="3">
        <v>70</v>
      </c>
      <c r="J1452" s="2">
        <v>4</v>
      </c>
      <c r="K1452" s="2">
        <v>0</v>
      </c>
      <c r="L1452" s="2">
        <v>0</v>
      </c>
      <c r="M1452" s="2">
        <v>4</v>
      </c>
      <c r="N1452" s="2">
        <v>3</v>
      </c>
      <c r="O1452" s="2">
        <v>0</v>
      </c>
      <c r="P1452" s="3">
        <v>3</v>
      </c>
      <c r="Q1452" s="2">
        <v>0</v>
      </c>
      <c r="R1452" s="2">
        <v>864</v>
      </c>
      <c r="S1452" s="2">
        <v>0</v>
      </c>
      <c r="T1452" s="2">
        <v>2</v>
      </c>
      <c r="U1452" s="2">
        <v>0</v>
      </c>
      <c r="V1452" s="2">
        <f t="shared" ref="V1452:V1466" si="737">U1452+T1452+S1452+Q1452</f>
        <v>2</v>
      </c>
      <c r="W1452" s="2">
        <v>0</v>
      </c>
      <c r="X1452" s="2">
        <v>2</v>
      </c>
      <c r="Y1452" s="2">
        <v>0</v>
      </c>
      <c r="Z1452" s="2">
        <f t="shared" si="723"/>
        <v>2</v>
      </c>
      <c r="AA1452" s="2">
        <f t="shared" si="724"/>
        <v>88</v>
      </c>
      <c r="AB1452" s="2">
        <v>3291</v>
      </c>
      <c r="AC1452" s="20">
        <f t="shared" si="725"/>
        <v>2.67395928289274</v>
      </c>
      <c r="AD1452" s="2" t="s">
        <v>49</v>
      </c>
      <c r="AE1452" s="2">
        <v>125</v>
      </c>
      <c r="AF1452" s="21">
        <f t="shared" si="726"/>
        <v>4.02163476147068</v>
      </c>
      <c r="AG1452" s="4">
        <f t="shared" si="727"/>
        <v>0.0607718018839259</v>
      </c>
      <c r="AH1452" s="4">
        <f t="shared" si="728"/>
        <v>0.0607718018839259</v>
      </c>
      <c r="AI1452" s="2">
        <v>2613</v>
      </c>
      <c r="AJ1452" s="2">
        <v>205</v>
      </c>
      <c r="AK1452" s="2">
        <v>318</v>
      </c>
      <c r="AL1452" s="2">
        <v>272</v>
      </c>
      <c r="AM1452" s="2">
        <v>58</v>
      </c>
      <c r="AN1452" s="2">
        <v>5</v>
      </c>
      <c r="AO1452" s="2">
        <v>0</v>
      </c>
      <c r="AP1452" s="2">
        <f t="shared" si="732"/>
        <v>3095</v>
      </c>
      <c r="AQ1452" s="2">
        <f t="shared" si="735"/>
        <v>92.6092160383004</v>
      </c>
      <c r="AR1452" s="5">
        <f t="shared" si="736"/>
        <v>174.105326152005</v>
      </c>
    </row>
    <row r="1453" spans="1:44">
      <c r="A1453" s="2">
        <v>20260427</v>
      </c>
      <c r="B1453" s="2" t="s">
        <v>2948</v>
      </c>
      <c r="C1453" s="2" t="s">
        <v>2949</v>
      </c>
      <c r="D1453" s="2">
        <v>0</v>
      </c>
      <c r="E1453" s="2">
        <v>4</v>
      </c>
      <c r="F1453" s="2">
        <v>1</v>
      </c>
      <c r="G1453" s="2">
        <v>2</v>
      </c>
      <c r="H1453" s="2">
        <v>4</v>
      </c>
      <c r="I1453" s="3">
        <v>8</v>
      </c>
      <c r="J1453" s="2">
        <v>5</v>
      </c>
      <c r="K1453" s="2">
        <v>1</v>
      </c>
      <c r="L1453" s="2">
        <v>1</v>
      </c>
      <c r="M1453" s="2">
        <v>3</v>
      </c>
      <c r="N1453" s="2">
        <v>3</v>
      </c>
      <c r="O1453" s="2">
        <v>4</v>
      </c>
      <c r="P1453" s="3">
        <v>1</v>
      </c>
      <c r="Q1453" s="2">
        <v>5</v>
      </c>
      <c r="R1453" s="2">
        <v>1010</v>
      </c>
      <c r="S1453" s="2">
        <v>2</v>
      </c>
      <c r="T1453" s="2">
        <v>0</v>
      </c>
      <c r="U1453" s="2">
        <v>1</v>
      </c>
      <c r="V1453" s="2">
        <f t="shared" si="737"/>
        <v>8</v>
      </c>
      <c r="W1453" s="2">
        <v>1</v>
      </c>
      <c r="X1453" s="2">
        <v>1</v>
      </c>
      <c r="Y1453" s="2">
        <v>0</v>
      </c>
      <c r="Z1453" s="2">
        <f t="shared" si="723"/>
        <v>3</v>
      </c>
      <c r="AA1453" s="2">
        <f t="shared" si="724"/>
        <v>26</v>
      </c>
      <c r="AB1453" s="2">
        <v>3191</v>
      </c>
      <c r="AC1453" s="20">
        <f t="shared" si="725"/>
        <v>0.814791601378878</v>
      </c>
      <c r="AD1453" s="2" t="s">
        <v>49</v>
      </c>
      <c r="AE1453" s="2">
        <v>125</v>
      </c>
      <c r="AF1453" s="21">
        <f t="shared" si="726"/>
        <v>1.22544656847383</v>
      </c>
      <c r="AG1453" s="4">
        <f t="shared" si="727"/>
        <v>0.250705108116578</v>
      </c>
      <c r="AH1453" s="4">
        <f t="shared" si="728"/>
        <v>0.0940144155437167</v>
      </c>
      <c r="AI1453" s="2">
        <v>2421</v>
      </c>
      <c r="AJ1453" s="2">
        <v>88</v>
      </c>
      <c r="AK1453" s="2">
        <v>372</v>
      </c>
      <c r="AL1453" s="2">
        <v>49</v>
      </c>
      <c r="AM1453" s="2">
        <v>51</v>
      </c>
      <c r="AN1453" s="2">
        <v>2</v>
      </c>
      <c r="AO1453" s="2">
        <v>0</v>
      </c>
      <c r="AP1453" s="2">
        <f t="shared" si="732"/>
        <v>2560</v>
      </c>
      <c r="AQ1453" s="2">
        <f t="shared" si="735"/>
        <v>77.7879064114251</v>
      </c>
      <c r="AR1453" s="5">
        <f t="shared" si="736"/>
        <v>146.241264053479</v>
      </c>
    </row>
    <row r="1454" spans="1:44">
      <c r="A1454" s="2">
        <v>20260427</v>
      </c>
      <c r="B1454" s="2" t="s">
        <v>2950</v>
      </c>
      <c r="C1454" s="2" t="s">
        <v>2951</v>
      </c>
      <c r="D1454" s="2">
        <v>2</v>
      </c>
      <c r="E1454" s="2">
        <v>3</v>
      </c>
      <c r="F1454" s="2">
        <v>1</v>
      </c>
      <c r="G1454" s="2">
        <v>1</v>
      </c>
      <c r="H1454" s="2">
        <v>3</v>
      </c>
      <c r="I1454" s="3">
        <v>17</v>
      </c>
      <c r="J1454" s="2">
        <v>7</v>
      </c>
      <c r="K1454" s="2">
        <v>2</v>
      </c>
      <c r="L1454" s="2">
        <v>0</v>
      </c>
      <c r="M1454" s="2">
        <v>4</v>
      </c>
      <c r="N1454" s="2">
        <v>6</v>
      </c>
      <c r="O1454" s="2">
        <v>1</v>
      </c>
      <c r="P1454" s="3">
        <v>1</v>
      </c>
      <c r="Q1454" s="2">
        <v>4</v>
      </c>
      <c r="R1454" s="2">
        <v>501</v>
      </c>
      <c r="S1454" s="2">
        <v>1</v>
      </c>
      <c r="T1454" s="2">
        <v>1</v>
      </c>
      <c r="U1454" s="2">
        <v>0</v>
      </c>
      <c r="V1454" s="2">
        <f t="shared" si="737"/>
        <v>6</v>
      </c>
      <c r="W1454" s="2">
        <v>9</v>
      </c>
      <c r="X1454" s="2">
        <v>5</v>
      </c>
      <c r="Y1454" s="2">
        <v>0</v>
      </c>
      <c r="Z1454" s="2">
        <f t="shared" si="723"/>
        <v>14</v>
      </c>
      <c r="AA1454" s="2">
        <f t="shared" si="724"/>
        <v>36</v>
      </c>
      <c r="AB1454" s="2">
        <v>3201</v>
      </c>
      <c r="AC1454" s="20">
        <f t="shared" si="725"/>
        <v>1.12464854732896</v>
      </c>
      <c r="AD1454" s="2" t="s">
        <v>49</v>
      </c>
      <c r="AE1454" s="2">
        <v>125</v>
      </c>
      <c r="AF1454" s="21">
        <f t="shared" si="726"/>
        <v>1.69147141518276</v>
      </c>
      <c r="AG1454" s="4">
        <f t="shared" si="727"/>
        <v>0.187441424554827</v>
      </c>
      <c r="AH1454" s="4">
        <f t="shared" si="728"/>
        <v>0.437363323961262</v>
      </c>
      <c r="AI1454" s="2">
        <v>3351</v>
      </c>
      <c r="AJ1454" s="2">
        <v>90</v>
      </c>
      <c r="AK1454" s="2">
        <v>355</v>
      </c>
      <c r="AL1454" s="2">
        <v>52</v>
      </c>
      <c r="AM1454" s="2">
        <v>52</v>
      </c>
      <c r="AN1454" s="2">
        <v>4</v>
      </c>
      <c r="AO1454" s="2">
        <v>0</v>
      </c>
      <c r="AP1454" s="2">
        <f t="shared" si="732"/>
        <v>3497</v>
      </c>
      <c r="AQ1454" s="2">
        <f t="shared" si="735"/>
        <v>109.589470385459</v>
      </c>
      <c r="AR1454" s="5">
        <f t="shared" si="736"/>
        <v>206.028204324663</v>
      </c>
    </row>
    <row r="1455" spans="1:44">
      <c r="A1455" s="2">
        <v>20260427</v>
      </c>
      <c r="B1455" s="2" t="s">
        <v>2952</v>
      </c>
      <c r="C1455" s="2" t="s">
        <v>2953</v>
      </c>
      <c r="D1455" s="2">
        <v>0</v>
      </c>
      <c r="E1455" s="2">
        <v>0</v>
      </c>
      <c r="F1455" s="2">
        <v>2</v>
      </c>
      <c r="G1455" s="2">
        <v>1</v>
      </c>
      <c r="H1455" s="3">
        <v>2</v>
      </c>
      <c r="I1455" s="2">
        <v>7</v>
      </c>
      <c r="J1455" s="2">
        <v>6</v>
      </c>
      <c r="K1455" s="2">
        <v>2</v>
      </c>
      <c r="L1455" s="2">
        <v>0</v>
      </c>
      <c r="M1455" s="2">
        <v>5</v>
      </c>
      <c r="N1455" s="2">
        <v>8</v>
      </c>
      <c r="O1455" s="3">
        <v>2</v>
      </c>
      <c r="P1455" s="2">
        <v>1</v>
      </c>
      <c r="Q1455" s="2">
        <v>1</v>
      </c>
      <c r="R1455" s="2">
        <v>638</v>
      </c>
      <c r="S1455" s="2">
        <v>0</v>
      </c>
      <c r="T1455" s="2">
        <v>0</v>
      </c>
      <c r="U1455" s="2">
        <v>0</v>
      </c>
      <c r="V1455" s="2">
        <f t="shared" si="737"/>
        <v>1</v>
      </c>
      <c r="W1455" s="2">
        <v>3</v>
      </c>
      <c r="X1455" s="2">
        <v>2</v>
      </c>
      <c r="Y1455" s="2">
        <v>0</v>
      </c>
      <c r="Z1455" s="2">
        <f t="shared" si="723"/>
        <v>5</v>
      </c>
      <c r="AA1455" s="2">
        <f t="shared" si="724"/>
        <v>24</v>
      </c>
      <c r="AB1455" s="2">
        <v>3202</v>
      </c>
      <c r="AC1455" s="20">
        <f t="shared" si="725"/>
        <v>0.749531542785759</v>
      </c>
      <c r="AD1455" s="2" t="s">
        <v>49</v>
      </c>
      <c r="AE1455" s="2">
        <v>125</v>
      </c>
      <c r="AF1455" s="21">
        <f t="shared" si="726"/>
        <v>1.12729544034978</v>
      </c>
      <c r="AG1455" s="4">
        <f t="shared" si="727"/>
        <v>0.0312304809494066</v>
      </c>
      <c r="AH1455" s="4">
        <f t="shared" si="728"/>
        <v>0.156152404747033</v>
      </c>
      <c r="AI1455" s="2">
        <v>2792</v>
      </c>
      <c r="AJ1455" s="2">
        <v>65</v>
      </c>
      <c r="AK1455" s="2">
        <v>418</v>
      </c>
      <c r="AL1455" s="2">
        <v>38</v>
      </c>
      <c r="AM1455" s="2">
        <v>60</v>
      </c>
      <c r="AN1455" s="2">
        <v>0</v>
      </c>
      <c r="AO1455" s="2">
        <v>0</v>
      </c>
      <c r="AP1455" s="2">
        <f t="shared" ref="AP1455:AP1463" si="738">AI1455+AJ1455+AL1455+AN1455</f>
        <v>2895</v>
      </c>
      <c r="AQ1455" s="2">
        <f t="shared" ref="AQ1455:AQ1463" si="739">AP1455/AB1454*100</f>
        <v>90.4404873477039</v>
      </c>
      <c r="AR1455" s="5">
        <f t="shared" si="736"/>
        <v>170.028116213683</v>
      </c>
    </row>
    <row r="1456" spans="1:44">
      <c r="A1456" s="2">
        <v>20260427</v>
      </c>
      <c r="B1456" s="2" t="s">
        <v>2954</v>
      </c>
      <c r="C1456" s="2" t="s">
        <v>2955</v>
      </c>
      <c r="D1456" s="2">
        <v>0</v>
      </c>
      <c r="E1456" s="2">
        <v>13</v>
      </c>
      <c r="F1456" s="2">
        <v>0</v>
      </c>
      <c r="G1456" s="2">
        <v>5</v>
      </c>
      <c r="H1456" s="2">
        <v>6</v>
      </c>
      <c r="I1456" s="3">
        <v>15</v>
      </c>
      <c r="J1456" s="2">
        <v>4</v>
      </c>
      <c r="K1456" s="2">
        <v>2</v>
      </c>
      <c r="L1456" s="2">
        <v>0</v>
      </c>
      <c r="M1456" s="2">
        <v>6</v>
      </c>
      <c r="N1456" s="2">
        <v>3</v>
      </c>
      <c r="O1456" s="2">
        <v>0</v>
      </c>
      <c r="P1456" s="3">
        <v>2</v>
      </c>
      <c r="Q1456" s="2">
        <v>0</v>
      </c>
      <c r="R1456" s="2">
        <v>482</v>
      </c>
      <c r="S1456" s="2">
        <v>4</v>
      </c>
      <c r="T1456" s="2">
        <v>4</v>
      </c>
      <c r="U1456" s="2">
        <v>0</v>
      </c>
      <c r="V1456" s="2">
        <f t="shared" si="737"/>
        <v>8</v>
      </c>
      <c r="W1456" s="2">
        <v>9</v>
      </c>
      <c r="X1456" s="2">
        <v>6</v>
      </c>
      <c r="Y1456" s="2">
        <v>0</v>
      </c>
      <c r="Z1456" s="2">
        <f t="shared" si="723"/>
        <v>15</v>
      </c>
      <c r="AA1456" s="2">
        <f t="shared" si="724"/>
        <v>44</v>
      </c>
      <c r="AB1456" s="2">
        <v>3751</v>
      </c>
      <c r="AC1456" s="20">
        <f t="shared" si="725"/>
        <v>1.17302052785924</v>
      </c>
      <c r="AD1456" s="2" t="s">
        <v>49</v>
      </c>
      <c r="AE1456" s="2">
        <v>125</v>
      </c>
      <c r="AF1456" s="21">
        <f t="shared" si="726"/>
        <v>1.76422287390029</v>
      </c>
      <c r="AG1456" s="4">
        <f t="shared" si="727"/>
        <v>0.21327645961077</v>
      </c>
      <c r="AH1456" s="4">
        <f t="shared" si="728"/>
        <v>0.399893361770195</v>
      </c>
      <c r="AI1456" s="2">
        <v>3117</v>
      </c>
      <c r="AJ1456" s="2">
        <v>119</v>
      </c>
      <c r="AK1456" s="2">
        <v>438</v>
      </c>
      <c r="AL1456" s="2">
        <v>47</v>
      </c>
      <c r="AM1456" s="2">
        <v>95</v>
      </c>
      <c r="AN1456" s="2">
        <v>8</v>
      </c>
      <c r="AO1456" s="2">
        <v>0</v>
      </c>
      <c r="AP1456" s="2">
        <f t="shared" si="738"/>
        <v>3291</v>
      </c>
      <c r="AQ1456" s="2">
        <f t="shared" si="739"/>
        <v>102.779512804497</v>
      </c>
      <c r="AR1456" s="5">
        <f t="shared" si="736"/>
        <v>193.225484072455</v>
      </c>
    </row>
    <row r="1457" spans="1:44">
      <c r="A1457" s="2">
        <v>20260427</v>
      </c>
      <c r="B1457" s="2" t="s">
        <v>2956</v>
      </c>
      <c r="C1457" s="2" t="s">
        <v>2957</v>
      </c>
      <c r="D1457" s="2">
        <v>0</v>
      </c>
      <c r="E1457" s="2">
        <v>13</v>
      </c>
      <c r="F1457" s="2">
        <v>2</v>
      </c>
      <c r="G1457" s="2">
        <v>1</v>
      </c>
      <c r="H1457" s="2">
        <v>3</v>
      </c>
      <c r="I1457" s="3">
        <v>9</v>
      </c>
      <c r="J1457" s="2">
        <v>9</v>
      </c>
      <c r="K1457" s="2">
        <v>2</v>
      </c>
      <c r="L1457" s="2">
        <v>0</v>
      </c>
      <c r="M1457" s="2">
        <v>7</v>
      </c>
      <c r="N1457" s="2">
        <v>9</v>
      </c>
      <c r="O1457" s="2">
        <v>0</v>
      </c>
      <c r="P1457" s="3">
        <v>1</v>
      </c>
      <c r="Q1457" s="2">
        <v>3</v>
      </c>
      <c r="R1457" s="2">
        <v>1285</v>
      </c>
      <c r="S1457" s="2">
        <v>1</v>
      </c>
      <c r="T1457" s="2">
        <v>0</v>
      </c>
      <c r="U1457" s="2">
        <v>0</v>
      </c>
      <c r="V1457" s="2">
        <f t="shared" si="737"/>
        <v>4</v>
      </c>
      <c r="W1457" s="2">
        <v>3</v>
      </c>
      <c r="X1457" s="2">
        <v>3</v>
      </c>
      <c r="Y1457" s="2">
        <v>0</v>
      </c>
      <c r="Z1457" s="2">
        <f t="shared" si="723"/>
        <v>6</v>
      </c>
      <c r="AA1457" s="2">
        <f t="shared" si="724"/>
        <v>32</v>
      </c>
      <c r="AB1457" s="2">
        <v>3671</v>
      </c>
      <c r="AC1457" s="20">
        <f t="shared" si="725"/>
        <v>0.871697085262871</v>
      </c>
      <c r="AD1457" s="2" t="s">
        <v>49</v>
      </c>
      <c r="AE1457" s="2">
        <v>125</v>
      </c>
      <c r="AF1457" s="21">
        <f t="shared" si="726"/>
        <v>1.31103241623536</v>
      </c>
      <c r="AG1457" s="4">
        <f t="shared" si="727"/>
        <v>0.108962135657859</v>
      </c>
      <c r="AH1457" s="4">
        <f t="shared" si="728"/>
        <v>0.163443203486788</v>
      </c>
      <c r="AI1457" s="2">
        <v>4263</v>
      </c>
      <c r="AJ1457" s="2">
        <v>154</v>
      </c>
      <c r="AK1457" s="2">
        <v>488</v>
      </c>
      <c r="AL1457" s="2">
        <v>91</v>
      </c>
      <c r="AM1457" s="2">
        <v>118</v>
      </c>
      <c r="AN1457" s="2">
        <v>8</v>
      </c>
      <c r="AO1457" s="2">
        <v>0</v>
      </c>
      <c r="AP1457" s="2">
        <f t="shared" si="738"/>
        <v>4516</v>
      </c>
      <c r="AQ1457" s="2">
        <f t="shared" si="739"/>
        <v>120.39456145028</v>
      </c>
      <c r="AR1457" s="5">
        <f t="shared" si="736"/>
        <v>226.341775526526</v>
      </c>
    </row>
    <row r="1458" spans="1:44">
      <c r="A1458" s="2">
        <v>20260428</v>
      </c>
      <c r="B1458" s="2" t="s">
        <v>2958</v>
      </c>
      <c r="C1458" s="2" t="s">
        <v>2959</v>
      </c>
      <c r="D1458" s="2">
        <v>1</v>
      </c>
      <c r="E1458" s="2">
        <v>2</v>
      </c>
      <c r="F1458" s="2">
        <v>2</v>
      </c>
      <c r="G1458" s="2">
        <v>4</v>
      </c>
      <c r="H1458" s="2">
        <v>6</v>
      </c>
      <c r="I1458" s="3">
        <v>7</v>
      </c>
      <c r="J1458" s="2">
        <v>12</v>
      </c>
      <c r="K1458" s="2">
        <v>0</v>
      </c>
      <c r="L1458" s="2">
        <v>1</v>
      </c>
      <c r="M1458" s="2">
        <v>4</v>
      </c>
      <c r="N1458" s="2">
        <v>5</v>
      </c>
      <c r="O1458" s="2">
        <v>2</v>
      </c>
      <c r="P1458" s="3">
        <v>1</v>
      </c>
      <c r="Q1458" s="2">
        <v>2</v>
      </c>
      <c r="R1458" s="2">
        <v>979</v>
      </c>
      <c r="S1458" s="2">
        <v>0</v>
      </c>
      <c r="T1458" s="2">
        <v>1</v>
      </c>
      <c r="U1458" s="2">
        <v>0</v>
      </c>
      <c r="V1458" s="2">
        <f t="shared" si="737"/>
        <v>3</v>
      </c>
      <c r="W1458" s="2">
        <v>3</v>
      </c>
      <c r="X1458" s="2">
        <v>3</v>
      </c>
      <c r="Y1458" s="2">
        <v>0</v>
      </c>
      <c r="Z1458" s="2">
        <f t="shared" si="723"/>
        <v>6</v>
      </c>
      <c r="AA1458" s="2">
        <f t="shared" si="724"/>
        <v>36</v>
      </c>
      <c r="AB1458" s="2">
        <v>3202</v>
      </c>
      <c r="AC1458" s="20">
        <f t="shared" si="725"/>
        <v>1.12429731417864</v>
      </c>
      <c r="AD1458" s="2" t="s">
        <v>49</v>
      </c>
      <c r="AE1458" s="2">
        <v>125</v>
      </c>
      <c r="AF1458" s="21">
        <f t="shared" si="726"/>
        <v>1.69094316052467</v>
      </c>
      <c r="AG1458" s="4">
        <f t="shared" si="727"/>
        <v>0.0936914428482199</v>
      </c>
      <c r="AH1458" s="4">
        <f t="shared" si="728"/>
        <v>0.18738288569644</v>
      </c>
      <c r="AI1458" s="2">
        <v>2479</v>
      </c>
      <c r="AJ1458" s="2">
        <v>101</v>
      </c>
      <c r="AK1458" s="2">
        <v>374</v>
      </c>
      <c r="AL1458" s="2">
        <v>15</v>
      </c>
      <c r="AM1458" s="2">
        <v>63</v>
      </c>
      <c r="AN1458" s="2">
        <v>3</v>
      </c>
      <c r="AO1458" s="2">
        <v>0</v>
      </c>
      <c r="AP1458" s="2">
        <f t="shared" si="738"/>
        <v>2598</v>
      </c>
      <c r="AQ1458" s="2">
        <f t="shared" si="739"/>
        <v>70.7709071097793</v>
      </c>
      <c r="AR1458" s="5">
        <f t="shared" ref="AR1458:AR1465" si="740">AQ1458*1.88</f>
        <v>133.049305366385</v>
      </c>
    </row>
    <row r="1459" spans="1:44">
      <c r="A1459" s="2">
        <v>20260428</v>
      </c>
      <c r="B1459" s="2" t="s">
        <v>2960</v>
      </c>
      <c r="C1459" s="2" t="s">
        <v>2961</v>
      </c>
      <c r="D1459" s="2">
        <v>1</v>
      </c>
      <c r="E1459" s="2">
        <v>1</v>
      </c>
      <c r="F1459" s="2">
        <v>0</v>
      </c>
      <c r="G1459" s="2">
        <v>3</v>
      </c>
      <c r="H1459" s="2">
        <v>29</v>
      </c>
      <c r="I1459" s="3">
        <v>28</v>
      </c>
      <c r="J1459" s="2">
        <v>64</v>
      </c>
      <c r="K1459" s="2">
        <v>2</v>
      </c>
      <c r="L1459" s="2">
        <v>0</v>
      </c>
      <c r="M1459" s="2">
        <v>15</v>
      </c>
      <c r="N1459" s="2">
        <v>1</v>
      </c>
      <c r="O1459" s="2">
        <v>0</v>
      </c>
      <c r="P1459" s="3">
        <v>17</v>
      </c>
      <c r="Q1459" s="2">
        <v>0</v>
      </c>
      <c r="R1459" s="2">
        <v>853</v>
      </c>
      <c r="S1459" s="2">
        <v>2</v>
      </c>
      <c r="T1459" s="2">
        <v>12</v>
      </c>
      <c r="U1459" s="2">
        <v>0</v>
      </c>
      <c r="V1459" s="2">
        <f t="shared" si="737"/>
        <v>14</v>
      </c>
      <c r="W1459" s="2">
        <v>3</v>
      </c>
      <c r="X1459" s="2">
        <v>1</v>
      </c>
      <c r="Y1459" s="2">
        <v>0</v>
      </c>
      <c r="Z1459" s="2">
        <f t="shared" si="723"/>
        <v>4</v>
      </c>
      <c r="AA1459" s="2">
        <f t="shared" si="724"/>
        <v>170</v>
      </c>
      <c r="AB1459" s="2">
        <v>3302</v>
      </c>
      <c r="AC1459" s="20">
        <f t="shared" si="725"/>
        <v>5.14839491217444</v>
      </c>
      <c r="AD1459" s="2" t="s">
        <v>49</v>
      </c>
      <c r="AE1459" s="2">
        <v>125</v>
      </c>
      <c r="AF1459" s="21">
        <f t="shared" si="726"/>
        <v>7.74318594791036</v>
      </c>
      <c r="AG1459" s="4">
        <f t="shared" si="727"/>
        <v>0.423985463355542</v>
      </c>
      <c r="AH1459" s="4">
        <f t="shared" si="728"/>
        <v>0.121138703815869</v>
      </c>
      <c r="AI1459" s="2">
        <v>3916</v>
      </c>
      <c r="AJ1459" s="2">
        <v>1070</v>
      </c>
      <c r="AK1459" s="2">
        <v>311</v>
      </c>
      <c r="AL1459" s="2">
        <v>77</v>
      </c>
      <c r="AM1459" s="2">
        <v>56</v>
      </c>
      <c r="AN1459" s="2">
        <v>8</v>
      </c>
      <c r="AO1459" s="2">
        <v>0</v>
      </c>
      <c r="AP1459" s="2">
        <f t="shared" si="738"/>
        <v>5071</v>
      </c>
      <c r="AQ1459" s="2">
        <f t="shared" si="739"/>
        <v>158.369768894441</v>
      </c>
      <c r="AR1459" s="5">
        <f t="shared" si="740"/>
        <v>297.735165521549</v>
      </c>
    </row>
    <row r="1460" spans="1:44">
      <c r="A1460" s="2">
        <v>20260428</v>
      </c>
      <c r="B1460" s="2" t="s">
        <v>2962</v>
      </c>
      <c r="C1460" s="2" t="s">
        <v>2963</v>
      </c>
      <c r="D1460" s="2">
        <v>23</v>
      </c>
      <c r="E1460" s="2">
        <v>5</v>
      </c>
      <c r="F1460" s="2">
        <v>7</v>
      </c>
      <c r="G1460" s="2">
        <v>23</v>
      </c>
      <c r="H1460" s="2">
        <v>169</v>
      </c>
      <c r="I1460" s="3">
        <v>64</v>
      </c>
      <c r="J1460" s="2">
        <v>157</v>
      </c>
      <c r="K1460" s="2">
        <v>12</v>
      </c>
      <c r="L1460" s="2">
        <v>1</v>
      </c>
      <c r="M1460" s="2">
        <v>32</v>
      </c>
      <c r="N1460" s="2">
        <v>103</v>
      </c>
      <c r="O1460" s="2">
        <v>12</v>
      </c>
      <c r="P1460" s="3">
        <v>46</v>
      </c>
      <c r="Q1460" s="2">
        <v>6</v>
      </c>
      <c r="R1460" s="2">
        <v>1094</v>
      </c>
      <c r="S1460" s="2">
        <v>3</v>
      </c>
      <c r="T1460" s="2">
        <v>71</v>
      </c>
      <c r="U1460" s="2">
        <v>3</v>
      </c>
      <c r="V1460" s="2">
        <f t="shared" si="737"/>
        <v>83</v>
      </c>
      <c r="W1460" s="2">
        <v>3</v>
      </c>
      <c r="X1460" s="2">
        <v>1</v>
      </c>
      <c r="Y1460" s="2">
        <v>0</v>
      </c>
      <c r="Z1460" s="2">
        <f t="shared" si="723"/>
        <v>7</v>
      </c>
      <c r="AA1460" s="2">
        <f t="shared" si="724"/>
        <v>578</v>
      </c>
      <c r="AB1460" s="2">
        <v>3362</v>
      </c>
      <c r="AC1460" s="20">
        <f t="shared" si="725"/>
        <v>17.1921475312314</v>
      </c>
      <c r="AD1460" s="2" t="s">
        <v>49</v>
      </c>
      <c r="AE1460" s="2">
        <v>125</v>
      </c>
      <c r="AF1460" s="21">
        <f t="shared" si="726"/>
        <v>25.856989886972</v>
      </c>
      <c r="AG1460" s="4">
        <f t="shared" si="727"/>
        <v>2.46876859012493</v>
      </c>
      <c r="AH1460" s="4">
        <f t="shared" si="728"/>
        <v>0.208209399167162</v>
      </c>
      <c r="AI1460" s="2">
        <v>5473</v>
      </c>
      <c r="AJ1460" s="2">
        <v>4004</v>
      </c>
      <c r="AK1460" s="2">
        <v>356</v>
      </c>
      <c r="AL1460" s="2">
        <v>568</v>
      </c>
      <c r="AM1460" s="2">
        <v>89</v>
      </c>
      <c r="AN1460" s="2">
        <v>13</v>
      </c>
      <c r="AO1460" s="2">
        <v>0</v>
      </c>
      <c r="AP1460" s="2">
        <f t="shared" si="738"/>
        <v>10058</v>
      </c>
      <c r="AQ1460" s="2">
        <f t="shared" si="739"/>
        <v>304.603270745003</v>
      </c>
      <c r="AR1460" s="5">
        <f t="shared" si="740"/>
        <v>572.654149000606</v>
      </c>
    </row>
    <row r="1461" spans="1:44">
      <c r="A1461" s="2">
        <v>20260428</v>
      </c>
      <c r="B1461" s="2" t="s">
        <v>2964</v>
      </c>
      <c r="C1461" s="2" t="s">
        <v>2965</v>
      </c>
      <c r="D1461" s="2">
        <v>1</v>
      </c>
      <c r="E1461" s="2">
        <v>8</v>
      </c>
      <c r="F1461" s="2">
        <v>6</v>
      </c>
      <c r="G1461" s="2">
        <v>9</v>
      </c>
      <c r="H1461" s="2">
        <v>9</v>
      </c>
      <c r="I1461" s="3">
        <v>10</v>
      </c>
      <c r="J1461" s="2">
        <v>13</v>
      </c>
      <c r="K1461" s="2">
        <v>4</v>
      </c>
      <c r="L1461" s="2">
        <v>0</v>
      </c>
      <c r="M1461" s="2">
        <v>12</v>
      </c>
      <c r="N1461" s="2">
        <v>9</v>
      </c>
      <c r="O1461" s="2">
        <v>1</v>
      </c>
      <c r="P1461" s="3">
        <v>1</v>
      </c>
      <c r="Q1461" s="2">
        <v>3</v>
      </c>
      <c r="R1461" s="2">
        <v>1070</v>
      </c>
      <c r="S1461" s="2">
        <v>4</v>
      </c>
      <c r="T1461" s="2">
        <v>0</v>
      </c>
      <c r="U1461" s="2">
        <v>1</v>
      </c>
      <c r="V1461" s="2">
        <f t="shared" si="737"/>
        <v>8</v>
      </c>
      <c r="W1461" s="2">
        <v>12</v>
      </c>
      <c r="X1461" s="2">
        <v>4</v>
      </c>
      <c r="Y1461" s="2">
        <v>0</v>
      </c>
      <c r="Z1461" s="2">
        <f t="shared" si="723"/>
        <v>17</v>
      </c>
      <c r="AA1461" s="2">
        <f t="shared" si="724"/>
        <v>59</v>
      </c>
      <c r="AB1461" s="2">
        <v>3701</v>
      </c>
      <c r="AC1461" s="20">
        <f t="shared" si="725"/>
        <v>1.59416373952986</v>
      </c>
      <c r="AD1461" s="2" t="s">
        <v>49</v>
      </c>
      <c r="AE1461" s="2">
        <v>125</v>
      </c>
      <c r="AF1461" s="21">
        <f t="shared" si="726"/>
        <v>2.3976222642529</v>
      </c>
      <c r="AG1461" s="4">
        <f t="shared" si="727"/>
        <v>0.216157795190489</v>
      </c>
      <c r="AH1461" s="4">
        <f t="shared" si="728"/>
        <v>0.459335314779789</v>
      </c>
      <c r="AI1461" s="2">
        <v>4271</v>
      </c>
      <c r="AJ1461" s="2">
        <v>275</v>
      </c>
      <c r="AK1461" s="2">
        <v>376</v>
      </c>
      <c r="AL1461" s="2">
        <v>129</v>
      </c>
      <c r="AM1461" s="2">
        <v>124</v>
      </c>
      <c r="AN1461" s="2">
        <v>5</v>
      </c>
      <c r="AO1461" s="2">
        <v>0</v>
      </c>
      <c r="AP1461" s="2">
        <f t="shared" si="738"/>
        <v>4680</v>
      </c>
      <c r="AQ1461" s="2">
        <f t="shared" si="739"/>
        <v>139.202855443189</v>
      </c>
      <c r="AR1461" s="5">
        <f t="shared" si="740"/>
        <v>261.701368233195</v>
      </c>
    </row>
    <row r="1462" spans="1:44">
      <c r="A1462" s="2">
        <v>20260428</v>
      </c>
      <c r="B1462" s="2" t="s">
        <v>2966</v>
      </c>
      <c r="C1462" s="2" t="s">
        <v>2967</v>
      </c>
      <c r="D1462" s="2">
        <v>2</v>
      </c>
      <c r="E1462" s="2">
        <v>7</v>
      </c>
      <c r="F1462" s="2">
        <v>1</v>
      </c>
      <c r="G1462" s="2">
        <v>4</v>
      </c>
      <c r="H1462" s="2">
        <v>6</v>
      </c>
      <c r="I1462" s="3">
        <v>13</v>
      </c>
      <c r="J1462" s="2">
        <v>13</v>
      </c>
      <c r="K1462" s="2">
        <v>0</v>
      </c>
      <c r="L1462" s="2">
        <v>0</v>
      </c>
      <c r="M1462" s="2">
        <v>5</v>
      </c>
      <c r="N1462" s="2">
        <v>6</v>
      </c>
      <c r="O1462" s="2">
        <v>0</v>
      </c>
      <c r="P1462" s="3">
        <v>3</v>
      </c>
      <c r="Q1462" s="2">
        <v>5</v>
      </c>
      <c r="R1462" s="2">
        <v>671</v>
      </c>
      <c r="S1462" s="2">
        <v>1</v>
      </c>
      <c r="T1462" s="2">
        <v>3</v>
      </c>
      <c r="U1462" s="2">
        <v>0</v>
      </c>
      <c r="V1462" s="2">
        <f t="shared" si="737"/>
        <v>9</v>
      </c>
      <c r="W1462" s="2">
        <v>11</v>
      </c>
      <c r="X1462" s="2">
        <v>12</v>
      </c>
      <c r="Y1462" s="2">
        <v>0</v>
      </c>
      <c r="Z1462" s="2">
        <f t="shared" si="723"/>
        <v>23</v>
      </c>
      <c r="AA1462" s="2">
        <f t="shared" si="724"/>
        <v>47</v>
      </c>
      <c r="AB1462" s="2">
        <v>3303</v>
      </c>
      <c r="AC1462" s="20">
        <f t="shared" si="725"/>
        <v>1.42294883439298</v>
      </c>
      <c r="AD1462" s="2" t="s">
        <v>49</v>
      </c>
      <c r="AE1462" s="2">
        <v>125</v>
      </c>
      <c r="AF1462" s="21">
        <f t="shared" si="726"/>
        <v>2.14011504692704</v>
      </c>
      <c r="AG1462" s="4">
        <f t="shared" si="727"/>
        <v>0.272479564032698</v>
      </c>
      <c r="AH1462" s="4">
        <f t="shared" si="728"/>
        <v>0.696336663639116</v>
      </c>
      <c r="AI1462" s="2">
        <v>3918</v>
      </c>
      <c r="AJ1462" s="2">
        <v>300</v>
      </c>
      <c r="AK1462" s="2">
        <v>200</v>
      </c>
      <c r="AL1462" s="2">
        <v>155</v>
      </c>
      <c r="AM1462" s="2">
        <v>68</v>
      </c>
      <c r="AN1462" s="2">
        <v>5</v>
      </c>
      <c r="AO1462" s="2">
        <v>0</v>
      </c>
      <c r="AP1462" s="2">
        <f t="shared" si="738"/>
        <v>4378</v>
      </c>
      <c r="AQ1462" s="2">
        <f t="shared" si="739"/>
        <v>118.292353417995</v>
      </c>
      <c r="AR1462" s="5">
        <f t="shared" si="740"/>
        <v>222.389624425831</v>
      </c>
    </row>
    <row r="1463" spans="1:44">
      <c r="A1463" s="2">
        <v>20260428</v>
      </c>
      <c r="B1463" s="2" t="s">
        <v>2968</v>
      </c>
      <c r="C1463" s="2" t="s">
        <v>2969</v>
      </c>
      <c r="D1463" s="2">
        <v>0</v>
      </c>
      <c r="E1463" s="2">
        <v>9</v>
      </c>
      <c r="F1463" s="2">
        <v>0</v>
      </c>
      <c r="G1463" s="2">
        <v>5</v>
      </c>
      <c r="H1463" s="2">
        <v>3</v>
      </c>
      <c r="I1463" s="3">
        <v>4</v>
      </c>
      <c r="J1463" s="2">
        <v>7</v>
      </c>
      <c r="K1463" s="2">
        <v>1</v>
      </c>
      <c r="L1463" s="2">
        <v>0</v>
      </c>
      <c r="M1463" s="2">
        <v>6</v>
      </c>
      <c r="N1463" s="2">
        <v>5</v>
      </c>
      <c r="O1463" s="2">
        <v>1</v>
      </c>
      <c r="P1463" s="3">
        <v>1</v>
      </c>
      <c r="Q1463" s="2">
        <v>0</v>
      </c>
      <c r="R1463" s="2">
        <v>681</v>
      </c>
      <c r="S1463" s="2">
        <v>2</v>
      </c>
      <c r="T1463" s="2">
        <v>2</v>
      </c>
      <c r="U1463" s="2">
        <v>0</v>
      </c>
      <c r="V1463" s="2">
        <f t="shared" si="737"/>
        <v>4</v>
      </c>
      <c r="W1463" s="2">
        <v>12</v>
      </c>
      <c r="X1463" s="2">
        <v>3</v>
      </c>
      <c r="Y1463" s="2">
        <v>0</v>
      </c>
      <c r="Z1463" s="2">
        <f t="shared" si="723"/>
        <v>15</v>
      </c>
      <c r="AA1463" s="2">
        <f t="shared" si="724"/>
        <v>29</v>
      </c>
      <c r="AB1463" s="2">
        <v>3303</v>
      </c>
      <c r="AC1463" s="20">
        <f t="shared" si="725"/>
        <v>0.877989706327581</v>
      </c>
      <c r="AD1463" s="2" t="s">
        <v>49</v>
      </c>
      <c r="AE1463" s="2">
        <v>125</v>
      </c>
      <c r="AF1463" s="21">
        <f t="shared" si="726"/>
        <v>1.32049651831668</v>
      </c>
      <c r="AG1463" s="4">
        <f t="shared" si="727"/>
        <v>0.121102028458977</v>
      </c>
      <c r="AH1463" s="4">
        <f t="shared" si="728"/>
        <v>0.454132606721163</v>
      </c>
      <c r="AI1463" s="2">
        <v>2868</v>
      </c>
      <c r="AJ1463" s="2">
        <v>86</v>
      </c>
      <c r="AK1463" s="2">
        <v>298</v>
      </c>
      <c r="AL1463" s="2">
        <v>41</v>
      </c>
      <c r="AM1463" s="2">
        <v>53</v>
      </c>
      <c r="AN1463" s="2">
        <v>5</v>
      </c>
      <c r="AO1463" s="2">
        <v>0</v>
      </c>
      <c r="AP1463" s="2">
        <f t="shared" si="738"/>
        <v>3000</v>
      </c>
      <c r="AQ1463" s="2">
        <f t="shared" si="739"/>
        <v>90.8265213442325</v>
      </c>
      <c r="AR1463" s="5">
        <f t="shared" si="740"/>
        <v>170.753860127157</v>
      </c>
    </row>
    <row r="1464" spans="1:44">
      <c r="A1464" s="2">
        <v>20260428</v>
      </c>
      <c r="B1464" s="2" t="s">
        <v>2970</v>
      </c>
      <c r="C1464" s="2" t="s">
        <v>2971</v>
      </c>
      <c r="D1464" s="2">
        <v>2</v>
      </c>
      <c r="E1464" s="2">
        <v>6</v>
      </c>
      <c r="F1464" s="2">
        <v>0</v>
      </c>
      <c r="G1464" s="2">
        <v>2</v>
      </c>
      <c r="H1464" s="2">
        <v>14</v>
      </c>
      <c r="I1464" s="3">
        <v>26</v>
      </c>
      <c r="J1464" s="2">
        <v>6</v>
      </c>
      <c r="K1464" s="2">
        <v>10</v>
      </c>
      <c r="L1464" s="2">
        <v>1</v>
      </c>
      <c r="M1464" s="2">
        <v>12</v>
      </c>
      <c r="N1464" s="2">
        <v>5</v>
      </c>
      <c r="O1464" s="2">
        <v>1</v>
      </c>
      <c r="P1464" s="3">
        <v>4</v>
      </c>
      <c r="Q1464" s="2">
        <v>2</v>
      </c>
      <c r="R1464" s="2">
        <v>701</v>
      </c>
      <c r="S1464" s="2">
        <v>6</v>
      </c>
      <c r="T1464" s="2">
        <v>4</v>
      </c>
      <c r="U1464" s="2">
        <v>2</v>
      </c>
      <c r="V1464" s="2">
        <f t="shared" si="737"/>
        <v>14</v>
      </c>
      <c r="W1464" s="2">
        <v>11</v>
      </c>
      <c r="X1464" s="2">
        <v>10</v>
      </c>
      <c r="Y1464" s="2">
        <v>0</v>
      </c>
      <c r="Z1464" s="2">
        <f t="shared" si="723"/>
        <v>23</v>
      </c>
      <c r="AA1464" s="2">
        <f t="shared" si="724"/>
        <v>81</v>
      </c>
      <c r="AB1464" s="2">
        <v>3533</v>
      </c>
      <c r="AC1464" s="20">
        <f t="shared" si="725"/>
        <v>2.29266911972828</v>
      </c>
      <c r="AD1464" s="2" t="s">
        <v>49</v>
      </c>
      <c r="AE1464" s="2">
        <v>125</v>
      </c>
      <c r="AF1464" s="21">
        <f t="shared" si="726"/>
        <v>3.44817435607133</v>
      </c>
      <c r="AG1464" s="4">
        <f t="shared" si="727"/>
        <v>0.396263798471554</v>
      </c>
      <c r="AH1464" s="4">
        <f t="shared" si="728"/>
        <v>0.651004811774696</v>
      </c>
      <c r="AP1464" s="2">
        <f t="shared" ref="AP1464:AP1482" si="741">AI1464+AJ1464+AL1464+AN1464</f>
        <v>0</v>
      </c>
      <c r="AQ1464" s="2">
        <f t="shared" ref="AQ1464:AQ1482" si="742">AP1464/AB1463*100</f>
        <v>0</v>
      </c>
      <c r="AR1464" s="5">
        <f t="shared" ref="AR1464:AR1482" si="743">AQ1464*1.88</f>
        <v>0</v>
      </c>
    </row>
    <row r="1465" spans="1:44">
      <c r="A1465" s="2">
        <v>20260428</v>
      </c>
      <c r="B1465" s="2" t="s">
        <v>2972</v>
      </c>
      <c r="C1465" s="2" t="s">
        <v>2973</v>
      </c>
      <c r="D1465" s="2">
        <v>4</v>
      </c>
      <c r="E1465" s="2">
        <v>13</v>
      </c>
      <c r="F1465" s="2">
        <v>57</v>
      </c>
      <c r="G1465" s="2">
        <v>56</v>
      </c>
      <c r="H1465" s="2">
        <v>114</v>
      </c>
      <c r="I1465" s="3">
        <v>244</v>
      </c>
      <c r="J1465" s="2">
        <v>299</v>
      </c>
      <c r="K1465" s="2">
        <v>27</v>
      </c>
      <c r="L1465" s="2">
        <v>21</v>
      </c>
      <c r="M1465" s="2">
        <v>176</v>
      </c>
      <c r="N1465" s="2">
        <v>44</v>
      </c>
      <c r="O1465" s="2">
        <v>13</v>
      </c>
      <c r="P1465" s="3">
        <v>45</v>
      </c>
      <c r="Q1465" s="2">
        <v>27</v>
      </c>
      <c r="R1465" s="2">
        <v>1269</v>
      </c>
      <c r="S1465" s="2">
        <v>20</v>
      </c>
      <c r="T1465" s="2">
        <v>21</v>
      </c>
      <c r="U1465" s="2">
        <v>31</v>
      </c>
      <c r="V1465" s="2">
        <f t="shared" si="737"/>
        <v>99</v>
      </c>
      <c r="W1465" s="2">
        <v>1</v>
      </c>
      <c r="X1465" s="2">
        <v>3</v>
      </c>
      <c r="Y1465" s="2">
        <v>0</v>
      </c>
      <c r="Z1465" s="2">
        <f t="shared" si="723"/>
        <v>35</v>
      </c>
      <c r="AA1465" s="2">
        <f t="shared" si="724"/>
        <v>1034</v>
      </c>
      <c r="AB1465" s="2">
        <v>3723</v>
      </c>
      <c r="AC1465" s="20">
        <f t="shared" ref="AC1465:AC1485" si="744">AA1465/AB1465*100</f>
        <v>27.7733011012624</v>
      </c>
      <c r="AD1465" s="2" t="s">
        <v>49</v>
      </c>
      <c r="AE1465" s="2">
        <v>125</v>
      </c>
      <c r="AF1465" s="21">
        <f t="shared" si="726"/>
        <v>41.7710448562987</v>
      </c>
      <c r="AG1465" s="4">
        <f t="shared" si="727"/>
        <v>2.65914585012087</v>
      </c>
      <c r="AH1465" s="4">
        <f t="shared" si="728"/>
        <v>0.94010206822455</v>
      </c>
      <c r="AI1465" s="2">
        <v>8132</v>
      </c>
      <c r="AJ1465" s="2">
        <v>522</v>
      </c>
      <c r="AK1465" s="2">
        <v>402</v>
      </c>
      <c r="AL1465" s="2">
        <v>870</v>
      </c>
      <c r="AM1465" s="2">
        <v>565</v>
      </c>
      <c r="AN1465" s="2">
        <v>159</v>
      </c>
      <c r="AO1465" s="2">
        <v>0</v>
      </c>
      <c r="AP1465" s="2">
        <f t="shared" si="741"/>
        <v>9683</v>
      </c>
      <c r="AQ1465" s="2">
        <f t="shared" si="742"/>
        <v>274.073025757147</v>
      </c>
      <c r="AR1465" s="5">
        <f t="shared" si="743"/>
        <v>515.257288423436</v>
      </c>
    </row>
    <row r="1466" spans="1:44">
      <c r="A1466" s="2">
        <v>20260428</v>
      </c>
      <c r="B1466" s="2" t="s">
        <v>2974</v>
      </c>
      <c r="C1466" s="2" t="s">
        <v>2975</v>
      </c>
      <c r="D1466" s="2">
        <v>1</v>
      </c>
      <c r="E1466" s="2">
        <v>0</v>
      </c>
      <c r="F1466" s="2">
        <v>1</v>
      </c>
      <c r="G1466" s="2">
        <v>2</v>
      </c>
      <c r="H1466" s="2">
        <v>3</v>
      </c>
      <c r="I1466" s="3">
        <v>6</v>
      </c>
      <c r="J1466" s="2">
        <v>2</v>
      </c>
      <c r="K1466" s="2">
        <v>1</v>
      </c>
      <c r="L1466" s="2">
        <v>0</v>
      </c>
      <c r="M1466" s="2">
        <v>4</v>
      </c>
      <c r="N1466" s="2">
        <v>5</v>
      </c>
      <c r="O1466" s="2">
        <v>1</v>
      </c>
      <c r="P1466" s="3">
        <v>2</v>
      </c>
      <c r="Q1466" s="2">
        <v>1</v>
      </c>
      <c r="R1466" s="2">
        <v>3</v>
      </c>
      <c r="S1466" s="2">
        <v>0</v>
      </c>
      <c r="T1466" s="2">
        <v>2</v>
      </c>
      <c r="U1466" s="2">
        <v>0</v>
      </c>
      <c r="V1466" s="2">
        <f t="shared" si="737"/>
        <v>3</v>
      </c>
      <c r="W1466" s="2">
        <v>1</v>
      </c>
      <c r="X1466" s="2">
        <v>2</v>
      </c>
      <c r="Y1466" s="2">
        <v>0</v>
      </c>
      <c r="Z1466" s="2">
        <f t="shared" ref="Z1466:Z1488" si="745">Y1466+X1466+W1466+U1466</f>
        <v>3</v>
      </c>
      <c r="AA1466" s="2">
        <f t="shared" ref="AA1466:AA1488" si="746">G1466+H1466+I1466+J1466+K1466+L1466+M1466+P1466+T1466+U1466</f>
        <v>22</v>
      </c>
      <c r="AB1466" s="2">
        <v>3303</v>
      </c>
      <c r="AC1466" s="20">
        <f t="shared" si="744"/>
        <v>0.666061156524372</v>
      </c>
      <c r="AD1466" s="2" t="s">
        <v>49</v>
      </c>
      <c r="AE1466" s="2">
        <v>125</v>
      </c>
      <c r="AF1466" s="21">
        <f t="shared" ref="AF1466:AF1485" si="747">188/AE1466*AC1466</f>
        <v>1.00175597941266</v>
      </c>
      <c r="AG1466" s="4">
        <f t="shared" ref="AG1466:AG1485" si="748">V1466/AB1466*100</f>
        <v>0.0908265213442325</v>
      </c>
      <c r="AH1466" s="4">
        <f t="shared" ref="AH1466:AH1485" si="749">Z1466/AB1466*100</f>
        <v>0.0908265213442325</v>
      </c>
      <c r="AI1466" s="2">
        <v>5081</v>
      </c>
      <c r="AJ1466" s="2">
        <v>135</v>
      </c>
      <c r="AK1466" s="2">
        <v>363</v>
      </c>
      <c r="AL1466" s="2">
        <v>40</v>
      </c>
      <c r="AM1466" s="2">
        <v>42</v>
      </c>
      <c r="AN1466" s="2">
        <v>4</v>
      </c>
      <c r="AO1466" s="2">
        <v>0</v>
      </c>
      <c r="AP1466" s="2">
        <f t="shared" si="741"/>
        <v>5260</v>
      </c>
      <c r="AQ1466" s="2">
        <f t="shared" si="742"/>
        <v>141.283910824604</v>
      </c>
      <c r="AR1466" s="5">
        <f t="shared" si="743"/>
        <v>265.613752350255</v>
      </c>
    </row>
    <row r="1467" spans="1:44">
      <c r="A1467" s="2">
        <v>20260428</v>
      </c>
      <c r="B1467" s="2" t="s">
        <v>2976</v>
      </c>
      <c r="C1467" s="2" t="s">
        <v>2977</v>
      </c>
      <c r="D1467" s="2">
        <v>0</v>
      </c>
      <c r="E1467" s="2">
        <v>0</v>
      </c>
      <c r="F1467" s="2">
        <v>1</v>
      </c>
      <c r="G1467" s="2">
        <v>0</v>
      </c>
      <c r="H1467" s="2">
        <v>0</v>
      </c>
      <c r="I1467" s="3">
        <v>8</v>
      </c>
      <c r="J1467" s="2">
        <v>2</v>
      </c>
      <c r="K1467" s="2">
        <v>1</v>
      </c>
      <c r="L1467" s="2">
        <v>0</v>
      </c>
      <c r="M1467" s="2">
        <v>0</v>
      </c>
      <c r="N1467" s="2">
        <v>15</v>
      </c>
      <c r="O1467" s="2">
        <v>0</v>
      </c>
      <c r="P1467" s="3">
        <v>1</v>
      </c>
      <c r="Q1467" s="2">
        <v>2</v>
      </c>
      <c r="R1467" s="2">
        <v>35</v>
      </c>
      <c r="S1467" s="2">
        <v>0</v>
      </c>
      <c r="T1467" s="2">
        <v>2</v>
      </c>
      <c r="U1467" s="2">
        <v>0</v>
      </c>
      <c r="V1467" s="2">
        <f t="shared" ref="V1466:V1488" si="750">U1467+T1467+S1467+Q1467</f>
        <v>4</v>
      </c>
      <c r="W1467" s="2">
        <v>0</v>
      </c>
      <c r="X1467" s="2">
        <v>4</v>
      </c>
      <c r="Y1467" s="2">
        <v>0</v>
      </c>
      <c r="Z1467" s="2">
        <f t="shared" si="745"/>
        <v>4</v>
      </c>
      <c r="AA1467" s="2">
        <f t="shared" si="746"/>
        <v>14</v>
      </c>
      <c r="AB1467" s="2">
        <v>2104</v>
      </c>
      <c r="AC1467" s="20">
        <f t="shared" si="744"/>
        <v>0.665399239543726</v>
      </c>
      <c r="AD1467" s="2" t="s">
        <v>83</v>
      </c>
      <c r="AE1467" s="2">
        <v>125</v>
      </c>
      <c r="AF1467" s="21">
        <f t="shared" si="747"/>
        <v>1.00076045627376</v>
      </c>
      <c r="AG1467" s="4">
        <f t="shared" si="748"/>
        <v>0.190114068441065</v>
      </c>
      <c r="AH1467" s="4">
        <f t="shared" si="749"/>
        <v>0.190114068441065</v>
      </c>
      <c r="AI1467" s="2">
        <v>3148</v>
      </c>
      <c r="AJ1467" s="2">
        <v>110</v>
      </c>
      <c r="AK1467" s="2">
        <v>208</v>
      </c>
      <c r="AL1467" s="2">
        <v>10</v>
      </c>
      <c r="AM1467" s="2">
        <v>21</v>
      </c>
      <c r="AN1467" s="2">
        <v>0</v>
      </c>
      <c r="AO1467" s="2">
        <v>0</v>
      </c>
      <c r="AP1467" s="2">
        <f t="shared" si="741"/>
        <v>3268</v>
      </c>
      <c r="AQ1467" s="2">
        <f t="shared" si="742"/>
        <v>98.940357250984</v>
      </c>
      <c r="AR1467" s="5">
        <f t="shared" si="743"/>
        <v>186.00787163185</v>
      </c>
    </row>
    <row r="1468" spans="1:44">
      <c r="A1468" s="2">
        <v>20260428</v>
      </c>
      <c r="B1468" s="2" t="s">
        <v>2978</v>
      </c>
      <c r="C1468" s="2" t="s">
        <v>2979</v>
      </c>
      <c r="D1468" s="2">
        <v>0</v>
      </c>
      <c r="E1468" s="2">
        <v>2</v>
      </c>
      <c r="F1468" s="2">
        <v>3</v>
      </c>
      <c r="G1468" s="2">
        <v>2</v>
      </c>
      <c r="H1468" s="2">
        <v>0</v>
      </c>
      <c r="I1468" s="3">
        <v>9</v>
      </c>
      <c r="J1468" s="2">
        <v>6</v>
      </c>
      <c r="K1468" s="2">
        <v>1</v>
      </c>
      <c r="L1468" s="2">
        <v>0</v>
      </c>
      <c r="M1468" s="2">
        <v>4</v>
      </c>
      <c r="N1468" s="2">
        <v>1</v>
      </c>
      <c r="O1468" s="2">
        <v>1</v>
      </c>
      <c r="P1468" s="3">
        <v>3</v>
      </c>
      <c r="Q1468" s="2">
        <v>2</v>
      </c>
      <c r="R1468" s="2">
        <v>102</v>
      </c>
      <c r="S1468" s="2">
        <v>0</v>
      </c>
      <c r="T1468" s="2">
        <v>0</v>
      </c>
      <c r="U1468" s="2">
        <v>0</v>
      </c>
      <c r="V1468" s="2">
        <f t="shared" si="750"/>
        <v>2</v>
      </c>
      <c r="W1468" s="2">
        <v>6</v>
      </c>
      <c r="X1468" s="2">
        <v>6</v>
      </c>
      <c r="Y1468" s="2">
        <v>0</v>
      </c>
      <c r="Z1468" s="2">
        <f t="shared" si="745"/>
        <v>12</v>
      </c>
      <c r="AA1468" s="2">
        <f t="shared" si="746"/>
        <v>25</v>
      </c>
      <c r="AB1468" s="2">
        <v>4161</v>
      </c>
      <c r="AC1468" s="20">
        <f t="shared" si="744"/>
        <v>0.600817111271329</v>
      </c>
      <c r="AD1468" s="2" t="s">
        <v>83</v>
      </c>
      <c r="AE1468" s="2">
        <v>125</v>
      </c>
      <c r="AF1468" s="21">
        <f t="shared" si="747"/>
        <v>0.903628935352079</v>
      </c>
      <c r="AG1468" s="4">
        <f t="shared" si="748"/>
        <v>0.0480653689017063</v>
      </c>
      <c r="AH1468" s="4">
        <f t="shared" si="749"/>
        <v>0.288392213410238</v>
      </c>
      <c r="AI1468" s="2">
        <v>5386</v>
      </c>
      <c r="AJ1468" s="2">
        <v>173</v>
      </c>
      <c r="AK1468" s="2">
        <v>362</v>
      </c>
      <c r="AL1468" s="2">
        <v>21</v>
      </c>
      <c r="AM1468" s="2">
        <v>38</v>
      </c>
      <c r="AN1468" s="2">
        <v>0</v>
      </c>
      <c r="AO1468" s="2">
        <v>0</v>
      </c>
      <c r="AP1468" s="2">
        <f t="shared" si="741"/>
        <v>5580</v>
      </c>
      <c r="AQ1468" s="2">
        <f t="shared" si="742"/>
        <v>265.209125475285</v>
      </c>
      <c r="AR1468" s="5">
        <f t="shared" si="743"/>
        <v>498.593155893536</v>
      </c>
    </row>
    <row r="1469" spans="1:44">
      <c r="A1469" s="2">
        <v>20260428</v>
      </c>
      <c r="B1469" s="2" t="s">
        <v>2980</v>
      </c>
      <c r="C1469" s="2" t="s">
        <v>2981</v>
      </c>
      <c r="D1469" s="2">
        <v>0</v>
      </c>
      <c r="E1469" s="2">
        <v>1</v>
      </c>
      <c r="F1469" s="2">
        <v>1</v>
      </c>
      <c r="G1469" s="2">
        <v>0</v>
      </c>
      <c r="H1469" s="2">
        <v>1</v>
      </c>
      <c r="I1469" s="3">
        <v>3</v>
      </c>
      <c r="J1469" s="2">
        <v>1</v>
      </c>
      <c r="K1469" s="2">
        <v>0</v>
      </c>
      <c r="L1469" s="2">
        <v>0</v>
      </c>
      <c r="M1469" s="2">
        <v>4</v>
      </c>
      <c r="N1469" s="2">
        <v>15</v>
      </c>
      <c r="O1469" s="2">
        <v>0</v>
      </c>
      <c r="P1469" s="3">
        <v>0</v>
      </c>
      <c r="Q1469" s="2">
        <v>0</v>
      </c>
      <c r="R1469" s="2">
        <v>71</v>
      </c>
      <c r="S1469" s="2">
        <v>0</v>
      </c>
      <c r="T1469" s="2">
        <v>2</v>
      </c>
      <c r="U1469" s="2">
        <v>0</v>
      </c>
      <c r="V1469" s="2">
        <f t="shared" si="750"/>
        <v>2</v>
      </c>
      <c r="W1469" s="2">
        <v>2</v>
      </c>
      <c r="X1469" s="2">
        <v>3</v>
      </c>
      <c r="Y1469" s="2">
        <v>0</v>
      </c>
      <c r="Z1469" s="2">
        <f t="shared" si="745"/>
        <v>5</v>
      </c>
      <c r="AA1469" s="2">
        <f t="shared" si="746"/>
        <v>11</v>
      </c>
      <c r="AB1469" s="2">
        <v>2104</v>
      </c>
      <c r="AC1469" s="20">
        <f t="shared" si="744"/>
        <v>0.522813688212928</v>
      </c>
      <c r="AD1469" s="2" t="s">
        <v>83</v>
      </c>
      <c r="AE1469" s="2">
        <v>125</v>
      </c>
      <c r="AF1469" s="21">
        <f t="shared" si="747"/>
        <v>0.786311787072243</v>
      </c>
      <c r="AG1469" s="4">
        <f t="shared" si="748"/>
        <v>0.0950570342205323</v>
      </c>
      <c r="AH1469" s="4">
        <f t="shared" si="749"/>
        <v>0.237642585551331</v>
      </c>
      <c r="AI1469" s="2">
        <v>2893</v>
      </c>
      <c r="AJ1469" s="2">
        <v>77</v>
      </c>
      <c r="AK1469" s="2">
        <v>160</v>
      </c>
      <c r="AL1469" s="2">
        <v>40</v>
      </c>
      <c r="AM1469" s="2">
        <v>31</v>
      </c>
      <c r="AN1469" s="2">
        <v>0</v>
      </c>
      <c r="AO1469" s="2">
        <v>0</v>
      </c>
      <c r="AP1469" s="2">
        <f t="shared" si="741"/>
        <v>3010</v>
      </c>
      <c r="AQ1469" s="2">
        <f t="shared" si="742"/>
        <v>72.338380197068</v>
      </c>
      <c r="AR1469" s="5">
        <f t="shared" si="743"/>
        <v>135.996154770488</v>
      </c>
    </row>
    <row r="1470" spans="1:44">
      <c r="A1470" s="2">
        <v>20260428</v>
      </c>
      <c r="B1470" s="2" t="s">
        <v>2982</v>
      </c>
      <c r="C1470" s="2" t="s">
        <v>2983</v>
      </c>
      <c r="D1470" s="2">
        <v>0</v>
      </c>
      <c r="E1470" s="2">
        <v>3</v>
      </c>
      <c r="F1470" s="2">
        <v>3</v>
      </c>
      <c r="G1470" s="2">
        <v>1</v>
      </c>
      <c r="H1470" s="2">
        <v>3</v>
      </c>
      <c r="I1470" s="3">
        <v>16</v>
      </c>
      <c r="J1470" s="2">
        <v>4</v>
      </c>
      <c r="K1470" s="2">
        <v>2</v>
      </c>
      <c r="L1470" s="2">
        <v>3</v>
      </c>
      <c r="M1470" s="2">
        <v>0</v>
      </c>
      <c r="N1470" s="2">
        <v>13</v>
      </c>
      <c r="O1470" s="2">
        <v>0</v>
      </c>
      <c r="P1470" s="3">
        <v>14</v>
      </c>
      <c r="Q1470" s="2">
        <v>2</v>
      </c>
      <c r="R1470" s="2">
        <v>432</v>
      </c>
      <c r="S1470" s="2">
        <v>1</v>
      </c>
      <c r="T1470" s="2">
        <v>0</v>
      </c>
      <c r="U1470" s="2">
        <v>1</v>
      </c>
      <c r="V1470" s="2">
        <f t="shared" si="750"/>
        <v>4</v>
      </c>
      <c r="W1470" s="2">
        <v>2</v>
      </c>
      <c r="X1470" s="2">
        <v>6</v>
      </c>
      <c r="Y1470" s="2">
        <v>0</v>
      </c>
      <c r="Z1470" s="2">
        <f t="shared" si="745"/>
        <v>9</v>
      </c>
      <c r="AA1470" s="2">
        <f t="shared" si="746"/>
        <v>44</v>
      </c>
      <c r="AB1470" s="2">
        <v>2104</v>
      </c>
      <c r="AC1470" s="20">
        <f t="shared" si="744"/>
        <v>2.09125475285171</v>
      </c>
      <c r="AD1470" s="2" t="s">
        <v>83</v>
      </c>
      <c r="AE1470" s="2">
        <v>125</v>
      </c>
      <c r="AF1470" s="21">
        <f t="shared" si="747"/>
        <v>3.14524714828897</v>
      </c>
      <c r="AG1470" s="4">
        <f t="shared" si="748"/>
        <v>0.190114068441065</v>
      </c>
      <c r="AH1470" s="4">
        <f t="shared" si="749"/>
        <v>0.427756653992395</v>
      </c>
      <c r="AI1470" s="2">
        <v>2328</v>
      </c>
      <c r="AJ1470" s="2">
        <v>92</v>
      </c>
      <c r="AK1470" s="2">
        <v>311</v>
      </c>
      <c r="AL1470" s="2">
        <v>18</v>
      </c>
      <c r="AM1470" s="2">
        <v>31</v>
      </c>
      <c r="AN1470" s="2">
        <v>2</v>
      </c>
      <c r="AO1470" s="2">
        <v>0</v>
      </c>
      <c r="AP1470" s="2">
        <f t="shared" si="741"/>
        <v>2440</v>
      </c>
      <c r="AQ1470" s="2">
        <f t="shared" si="742"/>
        <v>115.969581749049</v>
      </c>
      <c r="AR1470" s="5">
        <f t="shared" si="743"/>
        <v>218.022813688213</v>
      </c>
    </row>
    <row r="1471" spans="1:44">
      <c r="A1471" s="2">
        <v>20260428</v>
      </c>
      <c r="B1471" s="2" t="s">
        <v>2984</v>
      </c>
      <c r="C1471" s="2" t="s">
        <v>2985</v>
      </c>
      <c r="D1471" s="2">
        <v>1</v>
      </c>
      <c r="E1471" s="2">
        <v>2</v>
      </c>
      <c r="F1471" s="2">
        <v>0</v>
      </c>
      <c r="G1471" s="2">
        <v>2</v>
      </c>
      <c r="H1471" s="2">
        <v>1</v>
      </c>
      <c r="I1471" s="3">
        <v>3</v>
      </c>
      <c r="J1471" s="2">
        <v>2</v>
      </c>
      <c r="K1471" s="2">
        <v>0</v>
      </c>
      <c r="L1471" s="2">
        <v>0</v>
      </c>
      <c r="M1471" s="2">
        <v>1</v>
      </c>
      <c r="N1471" s="2">
        <v>3</v>
      </c>
      <c r="O1471" s="2">
        <v>0</v>
      </c>
      <c r="P1471" s="3">
        <v>0</v>
      </c>
      <c r="Q1471" s="2">
        <v>1</v>
      </c>
      <c r="R1471" s="2">
        <v>320</v>
      </c>
      <c r="S1471" s="2">
        <v>0</v>
      </c>
      <c r="T1471" s="2">
        <v>1</v>
      </c>
      <c r="U1471" s="2">
        <v>0</v>
      </c>
      <c r="V1471" s="2">
        <f t="shared" si="750"/>
        <v>2</v>
      </c>
      <c r="W1471" s="2">
        <v>2</v>
      </c>
      <c r="X1471" s="2">
        <v>2</v>
      </c>
      <c r="Y1471" s="2">
        <v>0</v>
      </c>
      <c r="Z1471" s="2">
        <f t="shared" si="745"/>
        <v>4</v>
      </c>
      <c r="AA1471" s="2">
        <f t="shared" si="746"/>
        <v>10</v>
      </c>
      <c r="AB1471" s="2">
        <v>1240</v>
      </c>
      <c r="AC1471" s="20">
        <f t="shared" si="744"/>
        <v>0.806451612903226</v>
      </c>
      <c r="AD1471" s="2" t="s">
        <v>83</v>
      </c>
      <c r="AE1471" s="2">
        <v>125</v>
      </c>
      <c r="AF1471" s="21">
        <f t="shared" si="747"/>
        <v>1.21290322580645</v>
      </c>
      <c r="AG1471" s="4">
        <f t="shared" si="748"/>
        <v>0.161290322580645</v>
      </c>
      <c r="AH1471" s="4">
        <f t="shared" si="749"/>
        <v>0.32258064516129</v>
      </c>
      <c r="AI1471" s="2">
        <v>3008</v>
      </c>
      <c r="AJ1471" s="2">
        <v>70</v>
      </c>
      <c r="AK1471" s="2">
        <v>251</v>
      </c>
      <c r="AL1471" s="2">
        <v>14</v>
      </c>
      <c r="AM1471" s="2">
        <v>9</v>
      </c>
      <c r="AN1471" s="2">
        <v>0</v>
      </c>
      <c r="AO1471" s="2">
        <v>0</v>
      </c>
      <c r="AP1471" s="2">
        <f t="shared" si="741"/>
        <v>3092</v>
      </c>
      <c r="AQ1471" s="2">
        <f t="shared" si="742"/>
        <v>146.958174904943</v>
      </c>
      <c r="AR1471" s="5">
        <f t="shared" si="743"/>
        <v>276.281368821293</v>
      </c>
    </row>
    <row r="1472" spans="1:44">
      <c r="A1472" s="2">
        <v>20260428</v>
      </c>
      <c r="B1472" s="2" t="s">
        <v>2986</v>
      </c>
      <c r="C1472" s="2" t="s">
        <v>2987</v>
      </c>
      <c r="D1472" s="2">
        <v>0</v>
      </c>
      <c r="E1472" s="2">
        <v>0</v>
      </c>
      <c r="F1472" s="2">
        <v>1</v>
      </c>
      <c r="G1472" s="2">
        <v>0</v>
      </c>
      <c r="H1472" s="2">
        <v>0</v>
      </c>
      <c r="I1472" s="3">
        <v>3</v>
      </c>
      <c r="J1472" s="2">
        <v>4</v>
      </c>
      <c r="K1472" s="2">
        <v>1</v>
      </c>
      <c r="L1472" s="2">
        <v>0</v>
      </c>
      <c r="M1472" s="2">
        <v>1</v>
      </c>
      <c r="N1472" s="2">
        <v>0</v>
      </c>
      <c r="O1472" s="2">
        <v>1</v>
      </c>
      <c r="P1472" s="3">
        <v>4</v>
      </c>
      <c r="Q1472" s="2">
        <v>1</v>
      </c>
      <c r="R1472" s="2">
        <v>376</v>
      </c>
      <c r="S1472" s="2">
        <v>0</v>
      </c>
      <c r="T1472" s="2">
        <v>0</v>
      </c>
      <c r="U1472" s="2">
        <v>0</v>
      </c>
      <c r="V1472" s="2">
        <f t="shared" si="750"/>
        <v>1</v>
      </c>
      <c r="W1472" s="2">
        <v>0</v>
      </c>
      <c r="X1472" s="2">
        <v>1</v>
      </c>
      <c r="Y1472" s="2">
        <v>0</v>
      </c>
      <c r="Z1472" s="2">
        <f t="shared" si="745"/>
        <v>1</v>
      </c>
      <c r="AA1472" s="2">
        <f t="shared" si="746"/>
        <v>13</v>
      </c>
      <c r="AB1472" s="2">
        <v>2103</v>
      </c>
      <c r="AC1472" s="20">
        <f t="shared" si="744"/>
        <v>0.618164526866381</v>
      </c>
      <c r="AD1472" s="2" t="s">
        <v>44</v>
      </c>
      <c r="AE1472" s="2">
        <v>125</v>
      </c>
      <c r="AF1472" s="21">
        <f t="shared" si="747"/>
        <v>0.929719448407038</v>
      </c>
      <c r="AG1472" s="4">
        <f t="shared" si="748"/>
        <v>0.0475511174512601</v>
      </c>
      <c r="AH1472" s="4">
        <f t="shared" si="749"/>
        <v>0.0475511174512601</v>
      </c>
      <c r="AI1472" s="2">
        <v>3352</v>
      </c>
      <c r="AJ1472" s="2">
        <v>69</v>
      </c>
      <c r="AK1472" s="2">
        <v>289</v>
      </c>
      <c r="AL1472" s="2">
        <v>15</v>
      </c>
      <c r="AM1472" s="2">
        <v>24</v>
      </c>
      <c r="AN1472" s="2">
        <v>0</v>
      </c>
      <c r="AO1472" s="2">
        <v>0</v>
      </c>
      <c r="AP1472" s="2">
        <f t="shared" si="741"/>
        <v>3436</v>
      </c>
      <c r="AQ1472" s="2">
        <f t="shared" si="742"/>
        <v>277.096774193548</v>
      </c>
      <c r="AR1472" s="5">
        <f t="shared" si="743"/>
        <v>520.941935483871</v>
      </c>
    </row>
    <row r="1473" spans="1:44">
      <c r="A1473" s="2">
        <v>20260428</v>
      </c>
      <c r="B1473" s="2" t="s">
        <v>2988</v>
      </c>
      <c r="C1473" s="2" t="s">
        <v>2989</v>
      </c>
      <c r="D1473" s="2">
        <v>0</v>
      </c>
      <c r="E1473" s="2">
        <v>0</v>
      </c>
      <c r="F1473" s="2">
        <v>0</v>
      </c>
      <c r="G1473" s="2">
        <v>0</v>
      </c>
      <c r="H1473" s="2">
        <v>0</v>
      </c>
      <c r="I1473" s="3">
        <v>4</v>
      </c>
      <c r="J1473" s="2">
        <v>3</v>
      </c>
      <c r="K1473" s="2">
        <v>1</v>
      </c>
      <c r="L1473" s="2">
        <v>0</v>
      </c>
      <c r="M1473" s="2">
        <v>1</v>
      </c>
      <c r="N1473" s="2">
        <v>0</v>
      </c>
      <c r="O1473" s="2">
        <v>5</v>
      </c>
      <c r="P1473" s="3">
        <v>2</v>
      </c>
      <c r="Q1473" s="2">
        <v>0</v>
      </c>
      <c r="R1473" s="2">
        <v>44</v>
      </c>
      <c r="S1473" s="2">
        <v>0</v>
      </c>
      <c r="T1473" s="2">
        <v>0</v>
      </c>
      <c r="U1473" s="2">
        <v>0</v>
      </c>
      <c r="V1473" s="2">
        <f t="shared" si="750"/>
        <v>0</v>
      </c>
      <c r="W1473" s="2">
        <v>4</v>
      </c>
      <c r="X1473" s="2">
        <v>0</v>
      </c>
      <c r="Y1473" s="2">
        <v>0</v>
      </c>
      <c r="Z1473" s="2">
        <f t="shared" si="745"/>
        <v>4</v>
      </c>
      <c r="AA1473" s="2">
        <f t="shared" si="746"/>
        <v>11</v>
      </c>
      <c r="AB1473" s="2">
        <v>2094</v>
      </c>
      <c r="AC1473" s="20">
        <f t="shared" si="744"/>
        <v>0.52531041069723</v>
      </c>
      <c r="AD1473" s="2" t="s">
        <v>44</v>
      </c>
      <c r="AE1473" s="2">
        <v>125</v>
      </c>
      <c r="AF1473" s="21">
        <f t="shared" si="747"/>
        <v>0.790066857688634</v>
      </c>
      <c r="AG1473" s="4">
        <f t="shared" si="748"/>
        <v>0</v>
      </c>
      <c r="AH1473" s="4">
        <f t="shared" si="749"/>
        <v>0.191021967526266</v>
      </c>
      <c r="AI1473" s="2">
        <v>3669</v>
      </c>
      <c r="AJ1473" s="2">
        <v>67</v>
      </c>
      <c r="AK1473" s="2">
        <v>291</v>
      </c>
      <c r="AL1473" s="2">
        <v>31</v>
      </c>
      <c r="AM1473" s="2">
        <v>45</v>
      </c>
      <c r="AN1473" s="2">
        <v>0</v>
      </c>
      <c r="AO1473" s="2">
        <v>0</v>
      </c>
      <c r="AP1473" s="2">
        <f t="shared" si="741"/>
        <v>3767</v>
      </c>
      <c r="AQ1473" s="2">
        <f t="shared" si="742"/>
        <v>179.125059438897</v>
      </c>
      <c r="AR1473" s="5">
        <f t="shared" si="743"/>
        <v>336.755111745126</v>
      </c>
    </row>
    <row r="1474" spans="1:44">
      <c r="A1474" s="2">
        <v>20260428</v>
      </c>
      <c r="B1474" s="2" t="s">
        <v>2990</v>
      </c>
      <c r="C1474" s="2" t="s">
        <v>2991</v>
      </c>
      <c r="D1474" s="2">
        <v>0</v>
      </c>
      <c r="E1474" s="2">
        <v>3</v>
      </c>
      <c r="F1474" s="2">
        <v>3</v>
      </c>
      <c r="G1474" s="2">
        <v>1</v>
      </c>
      <c r="H1474" s="2">
        <v>4</v>
      </c>
      <c r="I1474" s="3">
        <v>7</v>
      </c>
      <c r="J1474" s="2">
        <v>13</v>
      </c>
      <c r="K1474" s="2">
        <v>2</v>
      </c>
      <c r="L1474" s="2">
        <v>1</v>
      </c>
      <c r="M1474" s="2">
        <v>2</v>
      </c>
      <c r="N1474" s="2">
        <v>10</v>
      </c>
      <c r="O1474" s="2">
        <v>0</v>
      </c>
      <c r="P1474" s="3">
        <v>14</v>
      </c>
      <c r="Q1474" s="2">
        <v>5</v>
      </c>
      <c r="R1474" s="2">
        <v>296</v>
      </c>
      <c r="S1474" s="2">
        <v>0</v>
      </c>
      <c r="T1474" s="2">
        <v>7</v>
      </c>
      <c r="U1474" s="2">
        <v>1</v>
      </c>
      <c r="V1474" s="2">
        <f t="shared" si="750"/>
        <v>13</v>
      </c>
      <c r="W1474" s="2">
        <v>0</v>
      </c>
      <c r="X1474" s="2">
        <v>0</v>
      </c>
      <c r="Y1474" s="2">
        <v>0</v>
      </c>
      <c r="Z1474" s="2">
        <f t="shared" si="745"/>
        <v>1</v>
      </c>
      <c r="AA1474" s="2">
        <f t="shared" si="746"/>
        <v>52</v>
      </c>
      <c r="AB1474" s="2">
        <v>4491</v>
      </c>
      <c r="AC1474" s="20">
        <f t="shared" si="744"/>
        <v>1.15787129815186</v>
      </c>
      <c r="AD1474" s="2" t="s">
        <v>44</v>
      </c>
      <c r="AE1474" s="2">
        <v>125</v>
      </c>
      <c r="AF1474" s="21">
        <f t="shared" si="747"/>
        <v>1.7414384324204</v>
      </c>
      <c r="AG1474" s="4">
        <f t="shared" si="748"/>
        <v>0.289467824537965</v>
      </c>
      <c r="AH1474" s="4">
        <f t="shared" si="749"/>
        <v>0.0222667557336896</v>
      </c>
      <c r="AI1474" s="2">
        <v>7278</v>
      </c>
      <c r="AJ1474" s="2">
        <v>362</v>
      </c>
      <c r="AK1474" s="2">
        <v>538</v>
      </c>
      <c r="AL1474" s="2">
        <v>91</v>
      </c>
      <c r="AM1474" s="2">
        <v>48</v>
      </c>
      <c r="AN1474" s="2">
        <v>0</v>
      </c>
      <c r="AO1474" s="2">
        <v>0</v>
      </c>
      <c r="AP1474" s="2">
        <f t="shared" si="741"/>
        <v>7731</v>
      </c>
      <c r="AQ1474" s="2">
        <f t="shared" si="742"/>
        <v>369.19770773639</v>
      </c>
      <c r="AR1474" s="5">
        <f t="shared" si="743"/>
        <v>694.091690544412</v>
      </c>
    </row>
    <row r="1475" spans="1:44">
      <c r="A1475" s="2">
        <v>20260428</v>
      </c>
      <c r="B1475" s="2" t="s">
        <v>2992</v>
      </c>
      <c r="C1475" s="2" t="s">
        <v>2993</v>
      </c>
      <c r="D1475" s="2">
        <v>0</v>
      </c>
      <c r="E1475" s="2">
        <v>0</v>
      </c>
      <c r="F1475" s="2">
        <v>0</v>
      </c>
      <c r="G1475" s="2">
        <v>0</v>
      </c>
      <c r="H1475" s="2">
        <v>3</v>
      </c>
      <c r="I1475" s="3">
        <v>5</v>
      </c>
      <c r="J1475" s="2">
        <v>8</v>
      </c>
      <c r="K1475" s="2">
        <v>2</v>
      </c>
      <c r="L1475" s="2">
        <v>0</v>
      </c>
      <c r="M1475" s="2">
        <v>3</v>
      </c>
      <c r="N1475" s="2">
        <v>3</v>
      </c>
      <c r="O1475" s="2">
        <v>0</v>
      </c>
      <c r="P1475" s="3">
        <v>3</v>
      </c>
      <c r="Q1475" s="2">
        <v>2</v>
      </c>
      <c r="R1475" s="2">
        <v>249</v>
      </c>
      <c r="S1475" s="2">
        <v>0</v>
      </c>
      <c r="T1475" s="2">
        <v>0</v>
      </c>
      <c r="U1475" s="2">
        <v>0</v>
      </c>
      <c r="V1475" s="2">
        <f t="shared" si="750"/>
        <v>2</v>
      </c>
      <c r="W1475" s="2">
        <v>0</v>
      </c>
      <c r="X1475" s="2">
        <v>1</v>
      </c>
      <c r="Y1475" s="2">
        <v>0</v>
      </c>
      <c r="Z1475" s="2">
        <f t="shared" si="745"/>
        <v>1</v>
      </c>
      <c r="AA1475" s="2">
        <f t="shared" si="746"/>
        <v>24</v>
      </c>
      <c r="AB1475" s="2">
        <v>2642</v>
      </c>
      <c r="AC1475" s="20">
        <f t="shared" si="744"/>
        <v>0.908402725208176</v>
      </c>
      <c r="AD1475" s="2" t="s">
        <v>44</v>
      </c>
      <c r="AE1475" s="2">
        <v>125</v>
      </c>
      <c r="AF1475" s="21">
        <f t="shared" si="747"/>
        <v>1.3662376987131</v>
      </c>
      <c r="AG1475" s="4">
        <f t="shared" si="748"/>
        <v>0.0757002271006813</v>
      </c>
      <c r="AH1475" s="4">
        <f t="shared" si="749"/>
        <v>0.0378501135503407</v>
      </c>
      <c r="AI1475" s="2">
        <v>3572</v>
      </c>
      <c r="AJ1475" s="2">
        <v>106</v>
      </c>
      <c r="AK1475" s="2">
        <v>279</v>
      </c>
      <c r="AL1475" s="2">
        <v>86</v>
      </c>
      <c r="AM1475" s="2">
        <v>69</v>
      </c>
      <c r="AN1475" s="2">
        <v>1</v>
      </c>
      <c r="AO1475" s="2">
        <v>0</v>
      </c>
      <c r="AP1475" s="2">
        <f t="shared" si="741"/>
        <v>3765</v>
      </c>
      <c r="AQ1475" s="2">
        <f t="shared" si="742"/>
        <v>83.8343353373413</v>
      </c>
      <c r="AR1475" s="5">
        <f t="shared" si="743"/>
        <v>157.608550434202</v>
      </c>
    </row>
    <row r="1476" spans="1:44">
      <c r="A1476" s="2">
        <v>20260429</v>
      </c>
      <c r="B1476" s="2" t="s">
        <v>2994</v>
      </c>
      <c r="C1476" s="2" t="s">
        <v>2995</v>
      </c>
      <c r="D1476" s="2">
        <v>0</v>
      </c>
      <c r="E1476" s="2">
        <v>1</v>
      </c>
      <c r="F1476" s="2">
        <v>0</v>
      </c>
      <c r="G1476" s="2">
        <v>0</v>
      </c>
      <c r="H1476" s="2">
        <v>3</v>
      </c>
      <c r="I1476" s="3">
        <v>5</v>
      </c>
      <c r="J1476" s="2">
        <v>7</v>
      </c>
      <c r="K1476" s="2">
        <v>2</v>
      </c>
      <c r="L1476" s="2">
        <v>1</v>
      </c>
      <c r="M1476" s="2">
        <v>5</v>
      </c>
      <c r="N1476" s="2">
        <v>3</v>
      </c>
      <c r="O1476" s="2">
        <v>0</v>
      </c>
      <c r="P1476" s="3">
        <v>5</v>
      </c>
      <c r="Q1476" s="2">
        <v>2</v>
      </c>
      <c r="R1476" s="2">
        <v>1229</v>
      </c>
      <c r="S1476" s="2">
        <v>0</v>
      </c>
      <c r="T1476" s="2">
        <v>2</v>
      </c>
      <c r="U1476" s="2">
        <v>1</v>
      </c>
      <c r="V1476" s="2">
        <f t="shared" si="750"/>
        <v>5</v>
      </c>
      <c r="W1476" s="2">
        <v>0</v>
      </c>
      <c r="X1476" s="2">
        <v>2</v>
      </c>
      <c r="Y1476" s="2">
        <v>1</v>
      </c>
      <c r="Z1476" s="2">
        <f t="shared" si="745"/>
        <v>4</v>
      </c>
      <c r="AA1476" s="2">
        <f t="shared" si="746"/>
        <v>31</v>
      </c>
      <c r="AB1476" s="2">
        <v>4941</v>
      </c>
      <c r="AC1476" s="20">
        <f t="shared" si="744"/>
        <v>0.627403359643797</v>
      </c>
      <c r="AD1476" s="2" t="s">
        <v>44</v>
      </c>
      <c r="AE1476" s="2">
        <v>125</v>
      </c>
      <c r="AF1476" s="21">
        <f t="shared" si="747"/>
        <v>0.94361465290427</v>
      </c>
      <c r="AG1476" s="4">
        <f t="shared" si="748"/>
        <v>0.101194090265129</v>
      </c>
      <c r="AH1476" s="4">
        <f t="shared" si="749"/>
        <v>0.0809552722121028</v>
      </c>
      <c r="AI1476" s="2">
        <v>5026</v>
      </c>
      <c r="AJ1476" s="2">
        <v>187</v>
      </c>
      <c r="AK1476" s="2">
        <v>466</v>
      </c>
      <c r="AL1476" s="2">
        <v>43</v>
      </c>
      <c r="AM1476" s="2">
        <v>64</v>
      </c>
      <c r="AN1476" s="2">
        <v>3</v>
      </c>
      <c r="AO1476" s="2">
        <v>0</v>
      </c>
      <c r="AP1476" s="2">
        <f t="shared" si="741"/>
        <v>5259</v>
      </c>
      <c r="AQ1476" s="2">
        <f t="shared" si="742"/>
        <v>199.053747161241</v>
      </c>
      <c r="AR1476" s="5">
        <f t="shared" si="743"/>
        <v>374.221044663134</v>
      </c>
    </row>
    <row r="1477" spans="1:44">
      <c r="A1477" s="2">
        <v>20260429</v>
      </c>
      <c r="B1477" s="2" t="s">
        <v>2996</v>
      </c>
      <c r="C1477" s="2" t="s">
        <v>2997</v>
      </c>
      <c r="D1477" s="2">
        <v>1</v>
      </c>
      <c r="E1477" s="2">
        <v>7</v>
      </c>
      <c r="F1477" s="2">
        <v>2</v>
      </c>
      <c r="G1477" s="2">
        <v>1</v>
      </c>
      <c r="H1477" s="2">
        <v>1</v>
      </c>
      <c r="I1477" s="3">
        <v>6</v>
      </c>
      <c r="J1477" s="2">
        <v>6</v>
      </c>
      <c r="K1477" s="2">
        <v>4</v>
      </c>
      <c r="L1477" s="2">
        <v>0</v>
      </c>
      <c r="M1477" s="2">
        <v>1</v>
      </c>
      <c r="N1477" s="2">
        <v>2</v>
      </c>
      <c r="O1477" s="2">
        <v>1</v>
      </c>
      <c r="P1477" s="3">
        <v>1</v>
      </c>
      <c r="Q1477" s="2">
        <v>2</v>
      </c>
      <c r="R1477" s="2">
        <v>1204</v>
      </c>
      <c r="S1477" s="2">
        <v>0</v>
      </c>
      <c r="T1477" s="2">
        <v>0</v>
      </c>
      <c r="U1477" s="2">
        <v>0</v>
      </c>
      <c r="V1477" s="2">
        <f t="shared" si="750"/>
        <v>2</v>
      </c>
      <c r="W1477" s="2">
        <v>0</v>
      </c>
      <c r="X1477" s="2">
        <v>0</v>
      </c>
      <c r="Y1477" s="2">
        <v>1</v>
      </c>
      <c r="Z1477" s="2">
        <f t="shared" si="745"/>
        <v>1</v>
      </c>
      <c r="AA1477" s="2">
        <f t="shared" si="746"/>
        <v>20</v>
      </c>
      <c r="AB1477" s="2">
        <v>4141</v>
      </c>
      <c r="AC1477" s="20">
        <f t="shared" si="744"/>
        <v>0.482975126780971</v>
      </c>
      <c r="AD1477" s="2" t="s">
        <v>44</v>
      </c>
      <c r="AE1477" s="2">
        <v>125</v>
      </c>
      <c r="AF1477" s="21">
        <f t="shared" si="747"/>
        <v>0.72639459067858</v>
      </c>
      <c r="AG1477" s="4">
        <f t="shared" si="748"/>
        <v>0.0482975126780971</v>
      </c>
      <c r="AH1477" s="4">
        <f t="shared" si="749"/>
        <v>0.0241487563390485</v>
      </c>
      <c r="AI1477" s="2">
        <v>3799</v>
      </c>
      <c r="AJ1477" s="2">
        <v>115</v>
      </c>
      <c r="AK1477" s="2">
        <v>441</v>
      </c>
      <c r="AL1477" s="2">
        <v>77</v>
      </c>
      <c r="AM1477" s="2">
        <v>60</v>
      </c>
      <c r="AN1477" s="2">
        <v>0</v>
      </c>
      <c r="AO1477" s="2">
        <v>0</v>
      </c>
      <c r="AP1477" s="2">
        <f t="shared" si="741"/>
        <v>3991</v>
      </c>
      <c r="AQ1477" s="2">
        <f t="shared" si="742"/>
        <v>80.7731228496256</v>
      </c>
      <c r="AR1477" s="5">
        <f t="shared" si="743"/>
        <v>151.853470957296</v>
      </c>
    </row>
    <row r="1478" spans="1:44">
      <c r="A1478" s="2">
        <v>20260429</v>
      </c>
      <c r="B1478" s="2" t="s">
        <v>2998</v>
      </c>
      <c r="C1478" s="2" t="s">
        <v>2999</v>
      </c>
      <c r="D1478" s="2">
        <v>0</v>
      </c>
      <c r="E1478" s="2">
        <v>3</v>
      </c>
      <c r="F1478" s="2">
        <v>1</v>
      </c>
      <c r="G1478" s="2">
        <v>0</v>
      </c>
      <c r="H1478" s="2">
        <v>3</v>
      </c>
      <c r="I1478" s="3">
        <v>7</v>
      </c>
      <c r="J1478" s="2">
        <v>4</v>
      </c>
      <c r="K1478" s="2">
        <v>3</v>
      </c>
      <c r="L1478" s="2">
        <v>1</v>
      </c>
      <c r="M1478" s="2">
        <v>0</v>
      </c>
      <c r="N1478" s="2">
        <v>4</v>
      </c>
      <c r="O1478" s="2">
        <v>0</v>
      </c>
      <c r="P1478" s="3">
        <v>4</v>
      </c>
      <c r="Q1478" s="2">
        <v>1</v>
      </c>
      <c r="R1478" s="2">
        <v>1266</v>
      </c>
      <c r="S1478" s="2">
        <v>0</v>
      </c>
      <c r="T1478" s="2">
        <v>5</v>
      </c>
      <c r="U1478" s="2">
        <v>0</v>
      </c>
      <c r="V1478" s="2">
        <f t="shared" si="750"/>
        <v>6</v>
      </c>
      <c r="W1478" s="2">
        <v>0</v>
      </c>
      <c r="X1478" s="2">
        <v>0</v>
      </c>
      <c r="Y1478" s="2">
        <v>0</v>
      </c>
      <c r="Z1478" s="2">
        <f t="shared" si="745"/>
        <v>0</v>
      </c>
      <c r="AA1478" s="2">
        <f t="shared" si="746"/>
        <v>27</v>
      </c>
      <c r="AB1478" s="2">
        <v>4141</v>
      </c>
      <c r="AC1478" s="20">
        <f t="shared" si="744"/>
        <v>0.652016421154311</v>
      </c>
      <c r="AD1478" s="2" t="s">
        <v>44</v>
      </c>
      <c r="AE1478" s="2">
        <v>125</v>
      </c>
      <c r="AF1478" s="21">
        <f t="shared" si="747"/>
        <v>0.980632697416083</v>
      </c>
      <c r="AG1478" s="4">
        <f t="shared" si="748"/>
        <v>0.144892538034291</v>
      </c>
      <c r="AH1478" s="4">
        <f t="shared" si="749"/>
        <v>0</v>
      </c>
      <c r="AI1478" s="2">
        <v>3349</v>
      </c>
      <c r="AJ1478" s="2">
        <v>81</v>
      </c>
      <c r="AK1478" s="2">
        <v>401</v>
      </c>
      <c r="AL1478" s="2">
        <v>31</v>
      </c>
      <c r="AM1478" s="2">
        <v>41</v>
      </c>
      <c r="AN1478" s="2">
        <v>1</v>
      </c>
      <c r="AO1478" s="2">
        <v>0</v>
      </c>
      <c r="AP1478" s="2">
        <f t="shared" si="741"/>
        <v>3462</v>
      </c>
      <c r="AQ1478" s="2">
        <f t="shared" si="742"/>
        <v>83.602994445786</v>
      </c>
      <c r="AR1478" s="5">
        <f t="shared" si="743"/>
        <v>157.173629558078</v>
      </c>
    </row>
    <row r="1479" spans="1:44">
      <c r="A1479" s="2">
        <v>20260429</v>
      </c>
      <c r="B1479" s="2" t="s">
        <v>3000</v>
      </c>
      <c r="C1479" s="2" t="s">
        <v>3001</v>
      </c>
      <c r="D1479" s="2">
        <v>0</v>
      </c>
      <c r="E1479" s="2">
        <v>3</v>
      </c>
      <c r="F1479" s="2">
        <v>0</v>
      </c>
      <c r="G1479" s="2">
        <v>3</v>
      </c>
      <c r="H1479" s="2">
        <v>0</v>
      </c>
      <c r="I1479" s="3">
        <v>2</v>
      </c>
      <c r="J1479" s="2">
        <v>3</v>
      </c>
      <c r="K1479" s="2">
        <v>0</v>
      </c>
      <c r="L1479" s="2">
        <v>0</v>
      </c>
      <c r="M1479" s="2">
        <v>3</v>
      </c>
      <c r="N1479" s="2">
        <v>5</v>
      </c>
      <c r="O1479" s="2">
        <v>0</v>
      </c>
      <c r="P1479" s="3">
        <v>1</v>
      </c>
      <c r="Q1479" s="2">
        <v>3</v>
      </c>
      <c r="R1479" s="2">
        <v>1443</v>
      </c>
      <c r="S1479" s="2">
        <v>0</v>
      </c>
      <c r="T1479" s="2">
        <v>0</v>
      </c>
      <c r="U1479" s="2">
        <v>1</v>
      </c>
      <c r="V1479" s="2">
        <f t="shared" si="750"/>
        <v>4</v>
      </c>
      <c r="W1479" s="2">
        <v>0</v>
      </c>
      <c r="X1479" s="2">
        <v>0</v>
      </c>
      <c r="Y1479" s="2">
        <v>0</v>
      </c>
      <c r="Z1479" s="2">
        <f t="shared" si="745"/>
        <v>1</v>
      </c>
      <c r="AA1479" s="2">
        <f t="shared" si="746"/>
        <v>13</v>
      </c>
      <c r="AB1479" s="2">
        <v>4400</v>
      </c>
      <c r="AC1479" s="20">
        <f t="shared" si="744"/>
        <v>0.295454545454545</v>
      </c>
      <c r="AD1479" s="2" t="s">
        <v>44</v>
      </c>
      <c r="AE1479" s="2">
        <v>125</v>
      </c>
      <c r="AF1479" s="21">
        <f t="shared" si="747"/>
        <v>0.444363636363636</v>
      </c>
      <c r="AG1479" s="4">
        <f t="shared" si="748"/>
        <v>0.0909090909090909</v>
      </c>
      <c r="AH1479" s="4">
        <f t="shared" si="749"/>
        <v>0.0227272727272727</v>
      </c>
      <c r="AI1479" s="2">
        <v>3177</v>
      </c>
      <c r="AJ1479" s="2">
        <v>14</v>
      </c>
      <c r="AK1479" s="2">
        <v>426</v>
      </c>
      <c r="AL1479" s="2">
        <v>42</v>
      </c>
      <c r="AM1479" s="2">
        <v>0</v>
      </c>
      <c r="AN1479" s="2">
        <v>0</v>
      </c>
      <c r="AO1479" s="2">
        <v>0</v>
      </c>
      <c r="AP1479" s="2">
        <f t="shared" si="741"/>
        <v>3233</v>
      </c>
      <c r="AQ1479" s="2">
        <f t="shared" si="742"/>
        <v>78.0729292441439</v>
      </c>
      <c r="AR1479" s="5">
        <f t="shared" si="743"/>
        <v>146.777106978991</v>
      </c>
    </row>
    <row r="1480" spans="1:44">
      <c r="A1480" s="2">
        <v>20260429</v>
      </c>
      <c r="B1480" s="2" t="s">
        <v>3002</v>
      </c>
      <c r="C1480" s="2" t="s">
        <v>3003</v>
      </c>
      <c r="D1480" s="2">
        <v>0</v>
      </c>
      <c r="E1480" s="2">
        <v>3</v>
      </c>
      <c r="F1480" s="2">
        <v>0</v>
      </c>
      <c r="G1480" s="2">
        <v>1</v>
      </c>
      <c r="H1480" s="2">
        <v>1</v>
      </c>
      <c r="I1480" s="3">
        <v>3</v>
      </c>
      <c r="J1480" s="2">
        <v>4</v>
      </c>
      <c r="K1480" s="2">
        <v>0</v>
      </c>
      <c r="L1480" s="2">
        <v>0</v>
      </c>
      <c r="M1480" s="2">
        <v>0</v>
      </c>
      <c r="N1480" s="2">
        <v>2</v>
      </c>
      <c r="O1480" s="2">
        <v>1</v>
      </c>
      <c r="P1480" s="3">
        <v>0</v>
      </c>
      <c r="Q1480" s="2">
        <v>3</v>
      </c>
      <c r="R1480" s="2">
        <v>1345</v>
      </c>
      <c r="S1480" s="2">
        <v>0</v>
      </c>
      <c r="T1480" s="2">
        <v>4</v>
      </c>
      <c r="U1480" s="2">
        <v>0</v>
      </c>
      <c r="V1480" s="2">
        <f t="shared" si="750"/>
        <v>7</v>
      </c>
      <c r="W1480" s="2">
        <v>0</v>
      </c>
      <c r="X1480" s="2">
        <v>0</v>
      </c>
      <c r="Y1480" s="2">
        <v>0</v>
      </c>
      <c r="Z1480" s="2">
        <v>0</v>
      </c>
      <c r="AA1480" s="2">
        <f t="shared" si="746"/>
        <v>13</v>
      </c>
      <c r="AB1480" s="2">
        <v>4541</v>
      </c>
      <c r="AC1480" s="20">
        <f t="shared" si="744"/>
        <v>0.286280554943845</v>
      </c>
      <c r="AD1480" s="2" t="s">
        <v>44</v>
      </c>
      <c r="AE1480" s="2">
        <v>125</v>
      </c>
      <c r="AF1480" s="21">
        <f t="shared" si="747"/>
        <v>0.430565954635543</v>
      </c>
      <c r="AG1480" s="4">
        <f t="shared" si="748"/>
        <v>0.154151068046686</v>
      </c>
      <c r="AH1480" s="4">
        <f t="shared" si="749"/>
        <v>0</v>
      </c>
      <c r="AI1480" s="2">
        <v>51</v>
      </c>
      <c r="AJ1480" s="2">
        <v>1</v>
      </c>
      <c r="AK1480" s="2">
        <v>7</v>
      </c>
      <c r="AL1480" s="2">
        <v>0</v>
      </c>
      <c r="AM1480" s="2">
        <v>0</v>
      </c>
      <c r="AN1480" s="2">
        <v>0</v>
      </c>
      <c r="AO1480" s="2">
        <v>0</v>
      </c>
      <c r="AP1480" s="2">
        <f t="shared" si="741"/>
        <v>52</v>
      </c>
      <c r="AQ1480" s="2">
        <f t="shared" si="742"/>
        <v>1.18181818181818</v>
      </c>
      <c r="AR1480" s="5">
        <f t="shared" si="743"/>
        <v>2.22181818181818</v>
      </c>
    </row>
    <row r="1481" spans="1:44">
      <c r="A1481" s="2">
        <v>20260429</v>
      </c>
      <c r="B1481" s="2" t="s">
        <v>3004</v>
      </c>
      <c r="C1481" s="2" t="s">
        <v>3005</v>
      </c>
      <c r="D1481" s="2">
        <v>1</v>
      </c>
      <c r="E1481" s="2">
        <v>2</v>
      </c>
      <c r="F1481" s="2">
        <v>2</v>
      </c>
      <c r="G1481" s="2">
        <v>1</v>
      </c>
      <c r="H1481" s="2">
        <v>0</v>
      </c>
      <c r="I1481" s="3">
        <v>7</v>
      </c>
      <c r="J1481" s="2">
        <v>5</v>
      </c>
      <c r="K1481" s="2">
        <v>1</v>
      </c>
      <c r="L1481" s="2">
        <v>0</v>
      </c>
      <c r="M1481" s="2">
        <v>0</v>
      </c>
      <c r="N1481" s="2">
        <v>1</v>
      </c>
      <c r="O1481" s="2">
        <v>0</v>
      </c>
      <c r="P1481" s="3">
        <v>1</v>
      </c>
      <c r="Q1481" s="2">
        <v>1</v>
      </c>
      <c r="R1481" s="2">
        <v>164</v>
      </c>
      <c r="S1481" s="2">
        <v>1</v>
      </c>
      <c r="T1481" s="2">
        <v>0</v>
      </c>
      <c r="U1481" s="2">
        <v>0</v>
      </c>
      <c r="V1481" s="2">
        <f t="shared" si="750"/>
        <v>2</v>
      </c>
      <c r="W1481" s="2">
        <v>1</v>
      </c>
      <c r="X1481" s="2">
        <v>4</v>
      </c>
      <c r="Y1481" s="2">
        <v>0</v>
      </c>
      <c r="Z1481" s="2">
        <f t="shared" si="745"/>
        <v>5</v>
      </c>
      <c r="AA1481" s="2">
        <f t="shared" si="746"/>
        <v>15</v>
      </c>
      <c r="AB1481" s="2">
        <v>2094</v>
      </c>
      <c r="AC1481" s="20">
        <f t="shared" si="744"/>
        <v>0.716332378223496</v>
      </c>
      <c r="AD1481" s="2" t="s">
        <v>44</v>
      </c>
      <c r="AE1481" s="2">
        <v>125</v>
      </c>
      <c r="AF1481" s="21">
        <f t="shared" si="747"/>
        <v>1.07736389684814</v>
      </c>
      <c r="AG1481" s="4">
        <f t="shared" si="748"/>
        <v>0.0955109837631328</v>
      </c>
      <c r="AH1481" s="4">
        <f t="shared" si="749"/>
        <v>0.238777459407832</v>
      </c>
      <c r="AI1481" s="2">
        <v>496</v>
      </c>
      <c r="AJ1481" s="2">
        <v>40</v>
      </c>
      <c r="AK1481" s="2">
        <v>31</v>
      </c>
      <c r="AL1481" s="2">
        <v>10</v>
      </c>
      <c r="AM1481" s="2">
        <v>23</v>
      </c>
      <c r="AN1481" s="2">
        <v>1</v>
      </c>
      <c r="AO1481" s="2">
        <v>0</v>
      </c>
      <c r="AP1481" s="2">
        <f t="shared" si="741"/>
        <v>547</v>
      </c>
      <c r="AQ1481" s="2">
        <f t="shared" si="742"/>
        <v>12.045804888791</v>
      </c>
      <c r="AR1481" s="5">
        <f t="shared" si="743"/>
        <v>22.6461131909271</v>
      </c>
    </row>
    <row r="1482" spans="1:44">
      <c r="A1482" s="2">
        <v>20260429</v>
      </c>
      <c r="B1482" s="2" t="s">
        <v>3006</v>
      </c>
      <c r="C1482" s="2" t="s">
        <v>3007</v>
      </c>
      <c r="D1482" s="2">
        <v>0</v>
      </c>
      <c r="E1482" s="2">
        <v>2</v>
      </c>
      <c r="F1482" s="2">
        <v>2</v>
      </c>
      <c r="G1482" s="2">
        <v>0</v>
      </c>
      <c r="H1482" s="2">
        <v>0</v>
      </c>
      <c r="I1482" s="3">
        <v>1</v>
      </c>
      <c r="J1482" s="2">
        <v>0</v>
      </c>
      <c r="K1482" s="2">
        <v>4</v>
      </c>
      <c r="L1482" s="2">
        <v>0</v>
      </c>
      <c r="M1482" s="2">
        <v>1</v>
      </c>
      <c r="N1482" s="2">
        <v>3</v>
      </c>
      <c r="O1482" s="2">
        <v>0</v>
      </c>
      <c r="P1482" s="3">
        <v>2</v>
      </c>
      <c r="Q1482" s="2">
        <v>0</v>
      </c>
      <c r="R1482" s="2">
        <v>600</v>
      </c>
      <c r="S1482" s="2">
        <v>2</v>
      </c>
      <c r="T1482" s="2">
        <v>2</v>
      </c>
      <c r="U1482" s="2">
        <v>2</v>
      </c>
      <c r="V1482" s="2">
        <f t="shared" si="750"/>
        <v>6</v>
      </c>
      <c r="W1482" s="2">
        <v>0</v>
      </c>
      <c r="X1482" s="2">
        <v>0</v>
      </c>
      <c r="Y1482" s="2">
        <v>0</v>
      </c>
      <c r="Z1482" s="2">
        <f t="shared" si="745"/>
        <v>2</v>
      </c>
      <c r="AA1482" s="2">
        <f t="shared" si="746"/>
        <v>12</v>
      </c>
      <c r="AB1482" s="2">
        <v>3594</v>
      </c>
      <c r="AC1482" s="20">
        <f t="shared" si="744"/>
        <v>0.333889816360601</v>
      </c>
      <c r="AD1482" s="2" t="s">
        <v>44</v>
      </c>
      <c r="AE1482" s="2">
        <v>125</v>
      </c>
      <c r="AF1482" s="21">
        <f t="shared" si="747"/>
        <v>0.502170283806344</v>
      </c>
      <c r="AG1482" s="4">
        <f t="shared" si="748"/>
        <v>0.1669449081803</v>
      </c>
      <c r="AH1482" s="4">
        <f t="shared" si="749"/>
        <v>0.0556483027267668</v>
      </c>
      <c r="AI1482" s="2">
        <v>3647</v>
      </c>
      <c r="AJ1482" s="2">
        <v>160</v>
      </c>
      <c r="AK1482" s="2">
        <v>394</v>
      </c>
      <c r="AL1482" s="2">
        <v>51</v>
      </c>
      <c r="AM1482" s="2">
        <v>59</v>
      </c>
      <c r="AN1482" s="2">
        <v>2</v>
      </c>
      <c r="AO1482" s="2">
        <v>0</v>
      </c>
      <c r="AP1482" s="2">
        <f t="shared" ref="AP1482:AP1511" si="751">AI1482+AJ1482+AL1482+AN1482</f>
        <v>3860</v>
      </c>
      <c r="AQ1482" s="2">
        <f t="shared" ref="AQ1482:AQ1511" si="752">AP1482/AB1481*100</f>
        <v>184.336198662846</v>
      </c>
      <c r="AR1482" s="5">
        <f t="shared" ref="AR1482:AR1511" si="753">AQ1482*1.88</f>
        <v>346.552053486151</v>
      </c>
    </row>
    <row r="1483" spans="1:44">
      <c r="A1483" s="2">
        <v>20260429</v>
      </c>
      <c r="B1483" s="2" t="s">
        <v>3008</v>
      </c>
      <c r="C1483" s="2" t="s">
        <v>3009</v>
      </c>
      <c r="D1483" s="2">
        <v>0</v>
      </c>
      <c r="E1483" s="2">
        <v>2</v>
      </c>
      <c r="F1483" s="2">
        <v>0</v>
      </c>
      <c r="G1483" s="2">
        <v>2</v>
      </c>
      <c r="H1483" s="2">
        <v>3</v>
      </c>
      <c r="I1483" s="3">
        <v>6</v>
      </c>
      <c r="J1483" s="2">
        <v>1</v>
      </c>
      <c r="K1483" s="2">
        <v>4</v>
      </c>
      <c r="L1483" s="2">
        <v>0</v>
      </c>
      <c r="M1483" s="2">
        <v>3</v>
      </c>
      <c r="N1483" s="2">
        <v>4</v>
      </c>
      <c r="O1483" s="2">
        <v>1</v>
      </c>
      <c r="P1483" s="3">
        <v>1</v>
      </c>
      <c r="Q1483" s="2">
        <v>0</v>
      </c>
      <c r="R1483" s="2">
        <v>660</v>
      </c>
      <c r="S1483" s="2">
        <v>1</v>
      </c>
      <c r="T1483" s="2">
        <v>1</v>
      </c>
      <c r="U1483" s="2">
        <v>0</v>
      </c>
      <c r="V1483" s="2">
        <f t="shared" si="750"/>
        <v>2</v>
      </c>
      <c r="W1483" s="2">
        <v>2</v>
      </c>
      <c r="X1483" s="2">
        <v>8</v>
      </c>
      <c r="Y1483" s="2">
        <v>0</v>
      </c>
      <c r="Z1483" s="2">
        <f t="shared" si="745"/>
        <v>10</v>
      </c>
      <c r="AA1483" s="2">
        <f t="shared" si="746"/>
        <v>21</v>
      </c>
      <c r="AB1483" s="2">
        <v>3202</v>
      </c>
      <c r="AC1483" s="20">
        <f t="shared" si="744"/>
        <v>0.655840099937539</v>
      </c>
      <c r="AD1483" s="2" t="s">
        <v>44</v>
      </c>
      <c r="AE1483" s="2">
        <v>125</v>
      </c>
      <c r="AF1483" s="21">
        <f t="shared" si="747"/>
        <v>0.986383510306059</v>
      </c>
      <c r="AG1483" s="4">
        <f t="shared" si="748"/>
        <v>0.0624609618988132</v>
      </c>
      <c r="AH1483" s="4">
        <f t="shared" si="749"/>
        <v>0.312304809494066</v>
      </c>
      <c r="AI1483" s="2">
        <v>3298</v>
      </c>
      <c r="AJ1483" s="2">
        <v>168</v>
      </c>
      <c r="AK1483" s="2">
        <v>304</v>
      </c>
      <c r="AL1483" s="2">
        <v>28</v>
      </c>
      <c r="AM1483" s="2">
        <v>70</v>
      </c>
      <c r="AN1483" s="2">
        <v>4</v>
      </c>
      <c r="AO1483" s="2">
        <v>0</v>
      </c>
      <c r="AP1483" s="2">
        <f t="shared" si="751"/>
        <v>3498</v>
      </c>
      <c r="AQ1483" s="2">
        <f t="shared" si="752"/>
        <v>97.3288814691152</v>
      </c>
      <c r="AR1483" s="5">
        <f t="shared" si="753"/>
        <v>182.978297161937</v>
      </c>
    </row>
    <row r="1484" spans="1:44">
      <c r="A1484" s="2">
        <v>20260429</v>
      </c>
      <c r="B1484" s="2" t="s">
        <v>3010</v>
      </c>
      <c r="C1484" s="2" t="s">
        <v>3011</v>
      </c>
      <c r="D1484" s="2">
        <v>0</v>
      </c>
      <c r="E1484" s="2">
        <v>7</v>
      </c>
      <c r="F1484" s="2">
        <v>0</v>
      </c>
      <c r="G1484" s="2">
        <v>3</v>
      </c>
      <c r="H1484" s="2">
        <v>1</v>
      </c>
      <c r="I1484" s="3">
        <v>5</v>
      </c>
      <c r="J1484" s="2">
        <v>1</v>
      </c>
      <c r="K1484" s="2">
        <v>0</v>
      </c>
      <c r="L1484" s="2">
        <v>0</v>
      </c>
      <c r="M1484" s="2">
        <v>3</v>
      </c>
      <c r="N1484" s="2">
        <v>5</v>
      </c>
      <c r="O1484" s="2">
        <v>0</v>
      </c>
      <c r="P1484" s="3">
        <v>1</v>
      </c>
      <c r="Q1484" s="2">
        <v>2</v>
      </c>
      <c r="R1484" s="2">
        <v>794</v>
      </c>
      <c r="S1484" s="2">
        <v>0</v>
      </c>
      <c r="T1484" s="2">
        <v>2</v>
      </c>
      <c r="U1484" s="2">
        <v>0</v>
      </c>
      <c r="V1484" s="2">
        <f t="shared" si="750"/>
        <v>4</v>
      </c>
      <c r="W1484" s="2">
        <v>5</v>
      </c>
      <c r="X1484" s="2">
        <v>2</v>
      </c>
      <c r="Y1484" s="2">
        <v>0</v>
      </c>
      <c r="Z1484" s="2">
        <f t="shared" si="745"/>
        <v>7</v>
      </c>
      <c r="AA1484" s="2">
        <f t="shared" si="746"/>
        <v>16</v>
      </c>
      <c r="AB1484" s="2">
        <v>3202</v>
      </c>
      <c r="AC1484" s="20">
        <f t="shared" si="744"/>
        <v>0.499687695190506</v>
      </c>
      <c r="AD1484" s="2" t="s">
        <v>44</v>
      </c>
      <c r="AE1484" s="2">
        <v>125</v>
      </c>
      <c r="AF1484" s="21">
        <f t="shared" si="747"/>
        <v>0.751530293566521</v>
      </c>
      <c r="AG1484" s="4">
        <f t="shared" si="748"/>
        <v>0.124921923797626</v>
      </c>
      <c r="AH1484" s="4">
        <f t="shared" si="749"/>
        <v>0.218613366645846</v>
      </c>
      <c r="AI1484" s="2">
        <v>2847</v>
      </c>
      <c r="AJ1484" s="2">
        <v>140</v>
      </c>
      <c r="AK1484" s="2">
        <v>311</v>
      </c>
      <c r="AL1484" s="2">
        <v>32</v>
      </c>
      <c r="AM1484" s="2">
        <v>58</v>
      </c>
      <c r="AN1484" s="2">
        <v>1</v>
      </c>
      <c r="AO1484" s="2">
        <v>0</v>
      </c>
      <c r="AP1484" s="2">
        <f t="shared" si="751"/>
        <v>3020</v>
      </c>
      <c r="AQ1484" s="2">
        <f t="shared" si="752"/>
        <v>94.316052467208</v>
      </c>
      <c r="AR1484" s="5">
        <f t="shared" si="753"/>
        <v>177.314178638351</v>
      </c>
    </row>
    <row r="1485" spans="1:44">
      <c r="A1485" s="2">
        <v>20260429</v>
      </c>
      <c r="B1485" s="2" t="s">
        <v>3012</v>
      </c>
      <c r="C1485" s="2" t="s">
        <v>3013</v>
      </c>
      <c r="D1485" s="2">
        <v>0</v>
      </c>
      <c r="E1485" s="2">
        <v>29</v>
      </c>
      <c r="F1485" s="2">
        <v>12</v>
      </c>
      <c r="G1485" s="2">
        <v>0</v>
      </c>
      <c r="H1485" s="2">
        <v>6</v>
      </c>
      <c r="I1485" s="3">
        <v>23</v>
      </c>
      <c r="J1485" s="2">
        <v>3</v>
      </c>
      <c r="K1485" s="2">
        <v>4</v>
      </c>
      <c r="L1485" s="2">
        <v>0</v>
      </c>
      <c r="M1485" s="2">
        <v>2</v>
      </c>
      <c r="N1485" s="2">
        <v>17</v>
      </c>
      <c r="O1485" s="2">
        <v>31</v>
      </c>
      <c r="P1485" s="3">
        <v>4</v>
      </c>
      <c r="Q1485" s="2">
        <v>6</v>
      </c>
      <c r="R1485" s="2">
        <v>929</v>
      </c>
      <c r="S1485" s="2">
        <v>3</v>
      </c>
      <c r="T1485" s="2">
        <v>7</v>
      </c>
      <c r="U1485" s="2">
        <v>0</v>
      </c>
      <c r="V1485" s="2">
        <f t="shared" si="750"/>
        <v>16</v>
      </c>
      <c r="W1485" s="2">
        <v>2</v>
      </c>
      <c r="X1485" s="2">
        <v>4</v>
      </c>
      <c r="Y1485" s="2">
        <v>0</v>
      </c>
      <c r="Z1485" s="2">
        <f t="shared" si="745"/>
        <v>6</v>
      </c>
      <c r="AA1485" s="2">
        <f t="shared" si="746"/>
        <v>49</v>
      </c>
      <c r="AB1485" s="2">
        <v>3127</v>
      </c>
      <c r="AC1485" s="20">
        <f t="shared" ref="AC1485:AC1503" si="754">AA1485/AB1485*100</f>
        <v>1.56699712184202</v>
      </c>
      <c r="AD1485" s="2" t="s">
        <v>44</v>
      </c>
      <c r="AE1485" s="2">
        <v>125</v>
      </c>
      <c r="AF1485" s="21">
        <f t="shared" si="747"/>
        <v>2.3567636712504</v>
      </c>
      <c r="AG1485" s="4">
        <f t="shared" si="748"/>
        <v>0.511672529581068</v>
      </c>
      <c r="AH1485" s="4">
        <f t="shared" si="749"/>
        <v>0.191877198592901</v>
      </c>
      <c r="AI1485" s="2">
        <v>9338</v>
      </c>
      <c r="AJ1485" s="2">
        <v>222</v>
      </c>
      <c r="AK1485" s="2">
        <v>304</v>
      </c>
      <c r="AL1485" s="2">
        <v>132</v>
      </c>
      <c r="AM1485" s="2">
        <v>216</v>
      </c>
      <c r="AN1485" s="2">
        <v>8</v>
      </c>
      <c r="AO1485" s="2">
        <v>0</v>
      </c>
      <c r="AP1485" s="2">
        <f t="shared" si="751"/>
        <v>9700</v>
      </c>
      <c r="AQ1485" s="2">
        <f t="shared" si="752"/>
        <v>302.935665209244</v>
      </c>
      <c r="AR1485" s="5">
        <f t="shared" si="753"/>
        <v>569.519050593379</v>
      </c>
    </row>
    <row r="1486" spans="1:44">
      <c r="A1486" s="2">
        <v>20260429</v>
      </c>
      <c r="B1486" s="2" t="s">
        <v>3014</v>
      </c>
      <c r="C1486" s="2" t="s">
        <v>3015</v>
      </c>
      <c r="D1486" s="2">
        <v>0</v>
      </c>
      <c r="E1486" s="2">
        <v>1</v>
      </c>
      <c r="F1486" s="2">
        <v>1</v>
      </c>
      <c r="G1486" s="2">
        <v>2</v>
      </c>
      <c r="H1486" s="2">
        <v>3</v>
      </c>
      <c r="I1486" s="3">
        <v>8</v>
      </c>
      <c r="J1486" s="2">
        <v>3</v>
      </c>
      <c r="K1486" s="2">
        <v>3</v>
      </c>
      <c r="L1486" s="2">
        <v>0</v>
      </c>
      <c r="M1486" s="2">
        <v>4</v>
      </c>
      <c r="N1486" s="2">
        <v>4</v>
      </c>
      <c r="O1486" s="2">
        <v>0</v>
      </c>
      <c r="P1486" s="3">
        <v>3</v>
      </c>
      <c r="Q1486" s="2">
        <v>0</v>
      </c>
      <c r="R1486" s="2">
        <v>570</v>
      </c>
      <c r="S1486" s="2">
        <v>0</v>
      </c>
      <c r="T1486" s="2">
        <v>2</v>
      </c>
      <c r="U1486" s="2">
        <v>0</v>
      </c>
      <c r="V1486" s="2">
        <f t="shared" ref="V1486:V1508" si="755">U1486+T1486+S1486+Q1486</f>
        <v>2</v>
      </c>
      <c r="W1486" s="2">
        <v>0</v>
      </c>
      <c r="X1486" s="2">
        <v>6</v>
      </c>
      <c r="Y1486" s="2">
        <v>1</v>
      </c>
      <c r="Z1486" s="2">
        <v>0</v>
      </c>
      <c r="AA1486" s="2">
        <f t="shared" ref="AA1486:AA1508" si="756">G1486+H1486+I1486+J1486+K1486+L1486+M1486+P1486+T1486+U1486</f>
        <v>28</v>
      </c>
      <c r="AB1486" s="2">
        <v>2093</v>
      </c>
      <c r="AC1486" s="20">
        <f t="shared" si="754"/>
        <v>1.33779264214047</v>
      </c>
      <c r="AD1486" s="2" t="s">
        <v>44</v>
      </c>
      <c r="AE1486" s="2">
        <v>125</v>
      </c>
      <c r="AF1486" s="21">
        <f t="shared" ref="AF1486:AF1508" si="757">188/AE1486*AC1486</f>
        <v>2.01204013377926</v>
      </c>
      <c r="AG1486" s="4">
        <f t="shared" ref="AG1486:AG1508" si="758">V1486/AB1486*100</f>
        <v>0.0955566172957477</v>
      </c>
      <c r="AH1486" s="4">
        <f t="shared" ref="AH1486:AH1508" si="759">Z1486/AB1486*100</f>
        <v>0</v>
      </c>
      <c r="AI1486" s="2">
        <v>1502</v>
      </c>
      <c r="AJ1486" s="2">
        <v>81</v>
      </c>
      <c r="AK1486" s="2">
        <v>200</v>
      </c>
      <c r="AL1486" s="2">
        <v>41</v>
      </c>
      <c r="AM1486" s="2">
        <v>38</v>
      </c>
      <c r="AN1486" s="2">
        <v>6</v>
      </c>
      <c r="AO1486" s="2">
        <v>0</v>
      </c>
      <c r="AP1486" s="2">
        <f t="shared" si="751"/>
        <v>1630</v>
      </c>
      <c r="AQ1486" s="2">
        <f t="shared" si="752"/>
        <v>52.1266389510713</v>
      </c>
      <c r="AR1486" s="5">
        <f t="shared" si="753"/>
        <v>97.9980812280141</v>
      </c>
    </row>
    <row r="1487" spans="1:44">
      <c r="A1487" s="2">
        <v>20260429</v>
      </c>
      <c r="B1487" s="2" t="s">
        <v>3016</v>
      </c>
      <c r="C1487" s="2" t="s">
        <v>3017</v>
      </c>
      <c r="D1487" s="2">
        <v>3</v>
      </c>
      <c r="E1487" s="2">
        <v>4</v>
      </c>
      <c r="F1487" s="2">
        <v>1</v>
      </c>
      <c r="G1487" s="2">
        <v>0</v>
      </c>
      <c r="H1487" s="2">
        <v>4</v>
      </c>
      <c r="I1487" s="3">
        <v>45</v>
      </c>
      <c r="J1487" s="2">
        <v>3</v>
      </c>
      <c r="K1487" s="2">
        <v>2</v>
      </c>
      <c r="L1487" s="2">
        <v>1</v>
      </c>
      <c r="M1487" s="2">
        <v>4</v>
      </c>
      <c r="N1487" s="2">
        <v>6</v>
      </c>
      <c r="O1487" s="2">
        <v>1</v>
      </c>
      <c r="P1487" s="3">
        <v>3</v>
      </c>
      <c r="Q1487" s="2">
        <v>2</v>
      </c>
      <c r="R1487" s="2">
        <v>971</v>
      </c>
      <c r="S1487" s="2">
        <v>1</v>
      </c>
      <c r="T1487" s="2">
        <v>0</v>
      </c>
      <c r="U1487" s="2">
        <v>0</v>
      </c>
      <c r="V1487" s="2">
        <f t="shared" si="755"/>
        <v>3</v>
      </c>
      <c r="W1487" s="2">
        <v>5</v>
      </c>
      <c r="X1487" s="2">
        <v>33</v>
      </c>
      <c r="Y1487" s="2">
        <v>0</v>
      </c>
      <c r="Z1487" s="2">
        <f t="shared" ref="Z1486:Z1508" si="760">Y1487+X1487+W1487+U1487</f>
        <v>38</v>
      </c>
      <c r="AA1487" s="2">
        <f t="shared" si="756"/>
        <v>62</v>
      </c>
      <c r="AB1487" s="2">
        <v>4441</v>
      </c>
      <c r="AC1487" s="20">
        <f t="shared" si="754"/>
        <v>1.39608196352173</v>
      </c>
      <c r="AD1487" s="2" t="s">
        <v>83</v>
      </c>
      <c r="AE1487" s="2">
        <v>125</v>
      </c>
      <c r="AF1487" s="21">
        <f t="shared" si="757"/>
        <v>2.09970727313668</v>
      </c>
      <c r="AG1487" s="4">
        <f t="shared" si="758"/>
        <v>0.0675523530736321</v>
      </c>
      <c r="AH1487" s="4">
        <f t="shared" si="759"/>
        <v>0.855663138932673</v>
      </c>
      <c r="AI1487" s="2">
        <v>3696</v>
      </c>
      <c r="AJ1487" s="2">
        <v>251</v>
      </c>
      <c r="AK1487" s="2">
        <v>409</v>
      </c>
      <c r="AL1487" s="2">
        <v>263</v>
      </c>
      <c r="AM1487" s="2">
        <v>96</v>
      </c>
      <c r="AN1487" s="2">
        <v>6</v>
      </c>
      <c r="AO1487" s="2">
        <v>0</v>
      </c>
      <c r="AP1487" s="2">
        <f t="shared" si="751"/>
        <v>4216</v>
      </c>
      <c r="AQ1487" s="2">
        <f t="shared" si="752"/>
        <v>201.433349259436</v>
      </c>
      <c r="AR1487" s="5">
        <f t="shared" si="753"/>
        <v>378.69469660774</v>
      </c>
    </row>
    <row r="1488" spans="1:44">
      <c r="A1488" s="2">
        <v>20260429</v>
      </c>
      <c r="B1488" s="2" t="s">
        <v>3018</v>
      </c>
      <c r="C1488" s="2" t="s">
        <v>3019</v>
      </c>
      <c r="D1488" s="2">
        <v>0</v>
      </c>
      <c r="E1488" s="2">
        <v>3</v>
      </c>
      <c r="F1488" s="2">
        <v>1</v>
      </c>
      <c r="G1488" s="2">
        <v>1</v>
      </c>
      <c r="H1488" s="2">
        <v>1</v>
      </c>
      <c r="I1488" s="3">
        <v>11</v>
      </c>
      <c r="J1488" s="2">
        <v>10</v>
      </c>
      <c r="K1488" s="2">
        <v>0</v>
      </c>
      <c r="L1488" s="2">
        <v>0</v>
      </c>
      <c r="M1488" s="2">
        <v>1</v>
      </c>
      <c r="N1488" s="2">
        <v>4</v>
      </c>
      <c r="O1488" s="2">
        <v>1</v>
      </c>
      <c r="P1488" s="3">
        <v>7</v>
      </c>
      <c r="Q1488" s="2">
        <v>0</v>
      </c>
      <c r="R1488" s="2">
        <v>1118</v>
      </c>
      <c r="S1488" s="2">
        <v>0</v>
      </c>
      <c r="T1488" s="2">
        <v>2</v>
      </c>
      <c r="U1488" s="2">
        <v>0</v>
      </c>
      <c r="V1488" s="2">
        <f t="shared" si="755"/>
        <v>2</v>
      </c>
      <c r="W1488" s="2">
        <v>4</v>
      </c>
      <c r="X1488" s="2">
        <v>7</v>
      </c>
      <c r="Y1488" s="2">
        <v>0</v>
      </c>
      <c r="Z1488" s="2">
        <f t="shared" si="760"/>
        <v>11</v>
      </c>
      <c r="AA1488" s="2">
        <f t="shared" si="756"/>
        <v>33</v>
      </c>
      <c r="AB1488" s="2">
        <v>4361</v>
      </c>
      <c r="AC1488" s="20">
        <f t="shared" si="754"/>
        <v>0.756707177252924</v>
      </c>
      <c r="AD1488" s="2" t="s">
        <v>83</v>
      </c>
      <c r="AE1488" s="2">
        <v>125</v>
      </c>
      <c r="AF1488" s="21">
        <f t="shared" si="757"/>
        <v>1.1380875945884</v>
      </c>
      <c r="AG1488" s="4">
        <f t="shared" si="758"/>
        <v>0.0458610410456317</v>
      </c>
      <c r="AH1488" s="4">
        <f t="shared" si="759"/>
        <v>0.252235725750975</v>
      </c>
      <c r="AI1488" s="2">
        <v>2612</v>
      </c>
      <c r="AJ1488" s="2">
        <v>143</v>
      </c>
      <c r="AK1488" s="2">
        <v>430</v>
      </c>
      <c r="AL1488" s="2">
        <v>34</v>
      </c>
      <c r="AM1488" s="2">
        <v>76</v>
      </c>
      <c r="AN1488" s="2">
        <v>4</v>
      </c>
      <c r="AO1488" s="2">
        <v>0</v>
      </c>
      <c r="AP1488" s="2">
        <f t="shared" si="751"/>
        <v>2793</v>
      </c>
      <c r="AQ1488" s="2">
        <f t="shared" si="752"/>
        <v>62.8912407115515</v>
      </c>
      <c r="AR1488" s="5">
        <f t="shared" si="753"/>
        <v>118.235532537717</v>
      </c>
    </row>
    <row r="1489" spans="1:44">
      <c r="A1489" s="2">
        <v>20260429</v>
      </c>
      <c r="B1489" s="2" t="s">
        <v>3020</v>
      </c>
      <c r="C1489" s="2" t="s">
        <v>3021</v>
      </c>
      <c r="D1489" s="2">
        <v>0</v>
      </c>
      <c r="E1489" s="2">
        <v>7</v>
      </c>
      <c r="F1489" s="2">
        <v>1</v>
      </c>
      <c r="G1489" s="2">
        <v>3</v>
      </c>
      <c r="H1489" s="2">
        <v>1</v>
      </c>
      <c r="I1489" s="3">
        <v>11</v>
      </c>
      <c r="J1489" s="2">
        <v>12</v>
      </c>
      <c r="K1489" s="2">
        <v>0</v>
      </c>
      <c r="L1489" s="2">
        <v>0</v>
      </c>
      <c r="M1489" s="2">
        <v>7</v>
      </c>
      <c r="N1489" s="2">
        <v>8</v>
      </c>
      <c r="O1489" s="2">
        <v>1</v>
      </c>
      <c r="P1489" s="3">
        <v>2</v>
      </c>
      <c r="Q1489" s="2">
        <v>0</v>
      </c>
      <c r="R1489" s="2">
        <v>1113</v>
      </c>
      <c r="S1489" s="2">
        <v>0</v>
      </c>
      <c r="T1489" s="2">
        <v>0</v>
      </c>
      <c r="U1489" s="2">
        <v>0</v>
      </c>
      <c r="V1489" s="2">
        <f t="shared" si="755"/>
        <v>0</v>
      </c>
      <c r="W1489" s="2">
        <v>4</v>
      </c>
      <c r="X1489" s="2">
        <v>4</v>
      </c>
      <c r="Y1489" s="2">
        <v>0</v>
      </c>
      <c r="Z1489" s="2">
        <f t="shared" si="760"/>
        <v>8</v>
      </c>
      <c r="AA1489" s="2">
        <f t="shared" si="756"/>
        <v>36</v>
      </c>
      <c r="AB1489" s="2">
        <v>3936</v>
      </c>
      <c r="AC1489" s="20">
        <f t="shared" si="754"/>
        <v>0.914634146341463</v>
      </c>
      <c r="AD1489" s="2" t="s">
        <v>83</v>
      </c>
      <c r="AE1489" s="2">
        <v>125</v>
      </c>
      <c r="AF1489" s="21">
        <f t="shared" si="757"/>
        <v>1.37560975609756</v>
      </c>
      <c r="AG1489" s="4">
        <f t="shared" si="758"/>
        <v>0</v>
      </c>
      <c r="AH1489" s="4">
        <f t="shared" si="759"/>
        <v>0.203252032520325</v>
      </c>
      <c r="AI1489" s="2">
        <v>2393</v>
      </c>
      <c r="AJ1489" s="2">
        <v>135</v>
      </c>
      <c r="AK1489" s="2">
        <v>971</v>
      </c>
      <c r="AL1489" s="2">
        <v>67</v>
      </c>
      <c r="AM1489" s="2">
        <v>60</v>
      </c>
      <c r="AN1489" s="2">
        <v>8</v>
      </c>
      <c r="AO1489" s="2">
        <v>0</v>
      </c>
      <c r="AP1489" s="2">
        <f t="shared" si="751"/>
        <v>2603</v>
      </c>
      <c r="AQ1489" s="2">
        <f t="shared" si="752"/>
        <v>59.6881449208897</v>
      </c>
      <c r="AR1489" s="5">
        <f t="shared" si="753"/>
        <v>112.213712451273</v>
      </c>
    </row>
    <row r="1490" spans="1:44">
      <c r="A1490" s="2">
        <v>20260429</v>
      </c>
      <c r="B1490" s="2" t="s">
        <v>3022</v>
      </c>
      <c r="C1490" s="2" t="s">
        <v>3023</v>
      </c>
      <c r="D1490" s="2">
        <v>0</v>
      </c>
      <c r="E1490" s="2">
        <v>7</v>
      </c>
      <c r="F1490" s="2">
        <v>2</v>
      </c>
      <c r="G1490" s="2">
        <v>0</v>
      </c>
      <c r="H1490" s="2">
        <v>3</v>
      </c>
      <c r="I1490" s="2">
        <v>12</v>
      </c>
      <c r="J1490" s="3">
        <v>6</v>
      </c>
      <c r="K1490" s="2">
        <v>0</v>
      </c>
      <c r="L1490" s="2">
        <v>0</v>
      </c>
      <c r="M1490" s="2">
        <v>8</v>
      </c>
      <c r="N1490" s="2">
        <v>5</v>
      </c>
      <c r="O1490" s="2">
        <v>0</v>
      </c>
      <c r="P1490" s="2">
        <v>3</v>
      </c>
      <c r="Q1490" s="3">
        <v>0</v>
      </c>
      <c r="R1490" s="2">
        <v>1096</v>
      </c>
      <c r="S1490" s="2">
        <v>0</v>
      </c>
      <c r="T1490" s="2">
        <v>3</v>
      </c>
      <c r="U1490" s="2">
        <v>0</v>
      </c>
      <c r="V1490" s="2">
        <f t="shared" si="755"/>
        <v>3</v>
      </c>
      <c r="W1490" s="2">
        <v>9</v>
      </c>
      <c r="X1490" s="2">
        <v>8</v>
      </c>
      <c r="Y1490" s="2">
        <v>0</v>
      </c>
      <c r="Z1490" s="2">
        <f t="shared" si="760"/>
        <v>17</v>
      </c>
      <c r="AA1490" s="2">
        <f t="shared" si="756"/>
        <v>35</v>
      </c>
      <c r="AB1490" s="2">
        <v>4321</v>
      </c>
      <c r="AC1490" s="20">
        <f t="shared" si="754"/>
        <v>0.809997685720898</v>
      </c>
      <c r="AD1490" s="2" t="s">
        <v>83</v>
      </c>
      <c r="AE1490" s="2">
        <v>125</v>
      </c>
      <c r="AF1490" s="21">
        <f t="shared" si="757"/>
        <v>1.21823651932423</v>
      </c>
      <c r="AG1490" s="4">
        <f t="shared" si="758"/>
        <v>0.0694283730617913</v>
      </c>
      <c r="AH1490" s="4">
        <f t="shared" si="759"/>
        <v>0.39342744735015</v>
      </c>
      <c r="AI1490" s="2">
        <v>2284</v>
      </c>
      <c r="AJ1490" s="2">
        <v>129</v>
      </c>
      <c r="AK1490" s="2">
        <v>736</v>
      </c>
      <c r="AL1490" s="2">
        <v>54</v>
      </c>
      <c r="AM1490" s="2">
        <v>61</v>
      </c>
      <c r="AN1490" s="2">
        <v>5</v>
      </c>
      <c r="AO1490" s="2">
        <v>0</v>
      </c>
      <c r="AP1490" s="2">
        <f t="shared" si="751"/>
        <v>2472</v>
      </c>
      <c r="AQ1490" s="2">
        <f t="shared" si="752"/>
        <v>62.8048780487805</v>
      </c>
      <c r="AR1490" s="5">
        <f t="shared" si="753"/>
        <v>118.073170731707</v>
      </c>
    </row>
    <row r="1491" spans="1:44">
      <c r="A1491" s="2">
        <v>20260429</v>
      </c>
      <c r="B1491" s="2" t="s">
        <v>3024</v>
      </c>
      <c r="C1491" s="2" t="s">
        <v>3025</v>
      </c>
      <c r="D1491" s="2">
        <v>0</v>
      </c>
      <c r="E1491" s="2">
        <v>8</v>
      </c>
      <c r="F1491" s="2">
        <v>1</v>
      </c>
      <c r="G1491" s="2">
        <v>0</v>
      </c>
      <c r="H1491" s="2">
        <v>2</v>
      </c>
      <c r="I1491" s="3">
        <v>13</v>
      </c>
      <c r="J1491" s="2">
        <v>14</v>
      </c>
      <c r="K1491" s="2">
        <v>1</v>
      </c>
      <c r="L1491" s="2">
        <v>0</v>
      </c>
      <c r="M1491" s="2">
        <v>0</v>
      </c>
      <c r="N1491" s="2">
        <v>7</v>
      </c>
      <c r="O1491" s="2">
        <v>0</v>
      </c>
      <c r="P1491" s="2">
        <v>1</v>
      </c>
      <c r="Q1491" s="3">
        <v>1</v>
      </c>
      <c r="R1491" s="2">
        <v>1156</v>
      </c>
      <c r="S1491" s="2">
        <v>0</v>
      </c>
      <c r="T1491" s="2">
        <v>0</v>
      </c>
      <c r="U1491" s="2">
        <v>0</v>
      </c>
      <c r="V1491" s="2">
        <f t="shared" si="755"/>
        <v>1</v>
      </c>
      <c r="W1491" s="2">
        <v>7</v>
      </c>
      <c r="X1491" s="2">
        <v>7</v>
      </c>
      <c r="Y1491" s="2">
        <v>0</v>
      </c>
      <c r="Z1491" s="2">
        <f t="shared" si="760"/>
        <v>14</v>
      </c>
      <c r="AA1491" s="2">
        <f t="shared" si="756"/>
        <v>31</v>
      </c>
      <c r="AB1491" s="2">
        <v>4161</v>
      </c>
      <c r="AC1491" s="20">
        <f t="shared" si="754"/>
        <v>0.745013217976448</v>
      </c>
      <c r="AD1491" s="2" t="s">
        <v>83</v>
      </c>
      <c r="AE1491" s="2">
        <v>125</v>
      </c>
      <c r="AF1491" s="21">
        <f t="shared" si="757"/>
        <v>1.12049987983658</v>
      </c>
      <c r="AG1491" s="4">
        <f t="shared" si="758"/>
        <v>0.0240326844508532</v>
      </c>
      <c r="AH1491" s="4">
        <f t="shared" si="759"/>
        <v>0.336457582311944</v>
      </c>
      <c r="AI1491" s="2">
        <v>2228</v>
      </c>
      <c r="AJ1491" s="2">
        <v>71</v>
      </c>
      <c r="AK1491" s="2">
        <v>801</v>
      </c>
      <c r="AL1491" s="2">
        <v>33</v>
      </c>
      <c r="AM1491" s="2">
        <v>59</v>
      </c>
      <c r="AN1491" s="2">
        <v>4</v>
      </c>
      <c r="AO1491" s="2">
        <v>0</v>
      </c>
      <c r="AP1491" s="2">
        <f t="shared" si="751"/>
        <v>2336</v>
      </c>
      <c r="AQ1491" s="2">
        <f t="shared" si="752"/>
        <v>54.0615598241148</v>
      </c>
      <c r="AR1491" s="5">
        <f t="shared" si="753"/>
        <v>101.635732469336</v>
      </c>
    </row>
    <row r="1492" spans="1:44">
      <c r="A1492" s="2">
        <v>20260429</v>
      </c>
      <c r="B1492" s="2" t="s">
        <v>3026</v>
      </c>
      <c r="C1492" s="2" t="s">
        <v>3027</v>
      </c>
      <c r="D1492" s="2">
        <v>0</v>
      </c>
      <c r="E1492" s="2">
        <v>22</v>
      </c>
      <c r="F1492" s="2">
        <v>3</v>
      </c>
      <c r="G1492" s="2">
        <v>1</v>
      </c>
      <c r="H1492" s="2">
        <v>1</v>
      </c>
      <c r="I1492" s="3">
        <v>9</v>
      </c>
      <c r="J1492" s="2">
        <v>18</v>
      </c>
      <c r="K1492" s="2">
        <v>1</v>
      </c>
      <c r="L1492" s="2">
        <v>1</v>
      </c>
      <c r="M1492" s="2">
        <v>3</v>
      </c>
      <c r="N1492" s="2">
        <v>11</v>
      </c>
      <c r="O1492" s="2">
        <v>1</v>
      </c>
      <c r="P1492" s="3">
        <v>0</v>
      </c>
      <c r="Q1492" s="2">
        <v>4</v>
      </c>
      <c r="R1492" s="2">
        <v>822</v>
      </c>
      <c r="S1492" s="2">
        <v>0</v>
      </c>
      <c r="T1492" s="2">
        <v>0</v>
      </c>
      <c r="U1492" s="2">
        <v>0</v>
      </c>
      <c r="V1492" s="2">
        <f t="shared" si="755"/>
        <v>4</v>
      </c>
      <c r="W1492" s="2">
        <v>2</v>
      </c>
      <c r="X1492" s="2">
        <v>5</v>
      </c>
      <c r="Y1492" s="2">
        <v>0</v>
      </c>
      <c r="Z1492" s="2">
        <f t="shared" si="760"/>
        <v>7</v>
      </c>
      <c r="AA1492" s="2">
        <f t="shared" si="756"/>
        <v>34</v>
      </c>
      <c r="AB1492" s="2">
        <v>4161</v>
      </c>
      <c r="AC1492" s="20">
        <f t="shared" si="754"/>
        <v>0.817111271329007</v>
      </c>
      <c r="AD1492" s="2" t="s">
        <v>83</v>
      </c>
      <c r="AE1492" s="2">
        <v>125</v>
      </c>
      <c r="AF1492" s="21">
        <f t="shared" si="757"/>
        <v>1.22893535207883</v>
      </c>
      <c r="AG1492" s="4">
        <f t="shared" si="758"/>
        <v>0.0961307378034126</v>
      </c>
      <c r="AH1492" s="4">
        <f t="shared" si="759"/>
        <v>0.168228791155972</v>
      </c>
      <c r="AI1492" s="2">
        <v>4875</v>
      </c>
      <c r="AJ1492" s="2">
        <v>163</v>
      </c>
      <c r="AK1492" s="2">
        <v>1799</v>
      </c>
      <c r="AL1492" s="2">
        <v>18</v>
      </c>
      <c r="AM1492" s="2">
        <v>56</v>
      </c>
      <c r="AN1492" s="2">
        <v>4</v>
      </c>
      <c r="AO1492" s="2">
        <v>0</v>
      </c>
      <c r="AP1492" s="2">
        <f t="shared" si="751"/>
        <v>5060</v>
      </c>
      <c r="AQ1492" s="2">
        <f t="shared" si="752"/>
        <v>121.605383321317</v>
      </c>
      <c r="AR1492" s="5">
        <f t="shared" si="753"/>
        <v>228.618120644076</v>
      </c>
    </row>
    <row r="1493" spans="1:44">
      <c r="A1493" s="2">
        <v>20260429</v>
      </c>
      <c r="B1493" s="2" t="s">
        <v>384</v>
      </c>
      <c r="C1493" s="2" t="s">
        <v>3028</v>
      </c>
      <c r="D1493" s="2">
        <v>0</v>
      </c>
      <c r="E1493" s="2">
        <v>7</v>
      </c>
      <c r="F1493" s="2">
        <v>0</v>
      </c>
      <c r="G1493" s="2">
        <v>1</v>
      </c>
      <c r="H1493" s="2">
        <v>3</v>
      </c>
      <c r="I1493" s="3">
        <v>10</v>
      </c>
      <c r="J1493" s="2">
        <v>4</v>
      </c>
      <c r="K1493" s="2">
        <v>0</v>
      </c>
      <c r="L1493" s="2">
        <v>0</v>
      </c>
      <c r="M1493" s="2">
        <v>3</v>
      </c>
      <c r="N1493" s="2">
        <v>5</v>
      </c>
      <c r="O1493" s="2">
        <v>0</v>
      </c>
      <c r="P1493" s="3">
        <v>2</v>
      </c>
      <c r="Q1493" s="2">
        <v>2</v>
      </c>
      <c r="R1493" s="2">
        <v>567</v>
      </c>
      <c r="S1493" s="2">
        <v>0</v>
      </c>
      <c r="T1493" s="2">
        <v>0</v>
      </c>
      <c r="U1493" s="2">
        <v>0</v>
      </c>
      <c r="V1493" s="2">
        <f t="shared" si="755"/>
        <v>2</v>
      </c>
      <c r="W1493" s="2">
        <v>7</v>
      </c>
      <c r="X1493" s="2">
        <v>5</v>
      </c>
      <c r="Y1493" s="2">
        <v>0</v>
      </c>
      <c r="Z1493" s="2">
        <f t="shared" si="760"/>
        <v>12</v>
      </c>
      <c r="AA1493" s="2">
        <f t="shared" si="756"/>
        <v>23</v>
      </c>
      <c r="AB1493" s="2">
        <v>2305</v>
      </c>
      <c r="AC1493" s="20">
        <f t="shared" si="754"/>
        <v>0.997830802603037</v>
      </c>
      <c r="AD1493" s="2" t="s">
        <v>83</v>
      </c>
      <c r="AE1493" s="2">
        <v>125</v>
      </c>
      <c r="AF1493" s="21">
        <f t="shared" si="757"/>
        <v>1.50073752711497</v>
      </c>
      <c r="AG1493" s="4">
        <f t="shared" si="758"/>
        <v>0.0867678958785249</v>
      </c>
      <c r="AH1493" s="4">
        <f t="shared" si="759"/>
        <v>0.52060737527115</v>
      </c>
      <c r="AI1493" s="2">
        <v>3101</v>
      </c>
      <c r="AJ1493" s="2">
        <v>144</v>
      </c>
      <c r="AK1493" s="2">
        <v>777</v>
      </c>
      <c r="AL1493" s="2">
        <v>28</v>
      </c>
      <c r="AM1493" s="2">
        <v>54</v>
      </c>
      <c r="AN1493" s="2">
        <v>5</v>
      </c>
      <c r="AO1493" s="2">
        <v>0</v>
      </c>
      <c r="AP1493" s="2">
        <f t="shared" si="751"/>
        <v>3278</v>
      </c>
      <c r="AQ1493" s="2">
        <f t="shared" si="752"/>
        <v>78.7791396298967</v>
      </c>
      <c r="AR1493" s="5">
        <f t="shared" si="753"/>
        <v>148.104782504206</v>
      </c>
    </row>
    <row r="1494" spans="1:44">
      <c r="A1494" s="2">
        <v>20260429</v>
      </c>
      <c r="B1494" s="2" t="s">
        <v>3029</v>
      </c>
      <c r="C1494" s="2" t="s">
        <v>3030</v>
      </c>
      <c r="D1494" s="2">
        <v>0</v>
      </c>
      <c r="E1494" s="2">
        <v>2</v>
      </c>
      <c r="F1494" s="2">
        <v>0</v>
      </c>
      <c r="G1494" s="2">
        <v>4</v>
      </c>
      <c r="H1494" s="2">
        <v>4</v>
      </c>
      <c r="I1494" s="3">
        <v>7</v>
      </c>
      <c r="J1494" s="2">
        <v>8</v>
      </c>
      <c r="K1494" s="2">
        <v>1</v>
      </c>
      <c r="L1494" s="2">
        <v>0</v>
      </c>
      <c r="M1494" s="2">
        <v>3</v>
      </c>
      <c r="N1494" s="2">
        <v>4</v>
      </c>
      <c r="O1494" s="2">
        <v>0</v>
      </c>
      <c r="P1494" s="3">
        <v>0</v>
      </c>
      <c r="Q1494" s="2">
        <v>0</v>
      </c>
      <c r="R1494" s="2">
        <v>640</v>
      </c>
      <c r="S1494" s="2">
        <v>1</v>
      </c>
      <c r="T1494" s="2">
        <v>0</v>
      </c>
      <c r="U1494" s="2">
        <v>0</v>
      </c>
      <c r="V1494" s="2">
        <f t="shared" si="755"/>
        <v>1</v>
      </c>
      <c r="W1494" s="2">
        <v>5</v>
      </c>
      <c r="X1494" s="2">
        <v>4</v>
      </c>
      <c r="Y1494" s="2">
        <v>0</v>
      </c>
      <c r="Z1494" s="2">
        <f t="shared" si="760"/>
        <v>9</v>
      </c>
      <c r="AA1494" s="2">
        <f t="shared" si="756"/>
        <v>27</v>
      </c>
      <c r="AB1494" s="2">
        <v>2104</v>
      </c>
      <c r="AC1494" s="20">
        <f t="shared" si="754"/>
        <v>1.28326996197719</v>
      </c>
      <c r="AD1494" s="2" t="s">
        <v>83</v>
      </c>
      <c r="AE1494" s="2">
        <v>125</v>
      </c>
      <c r="AF1494" s="21">
        <f t="shared" si="757"/>
        <v>1.93003802281369</v>
      </c>
      <c r="AG1494" s="4">
        <f t="shared" si="758"/>
        <v>0.0475285171102662</v>
      </c>
      <c r="AH1494" s="4">
        <f t="shared" si="759"/>
        <v>0.427756653992395</v>
      </c>
      <c r="AI1494" s="2">
        <v>2589</v>
      </c>
      <c r="AJ1494" s="2">
        <v>94</v>
      </c>
      <c r="AK1494" s="2">
        <v>652</v>
      </c>
      <c r="AL1494" s="2">
        <v>20</v>
      </c>
      <c r="AM1494" s="2">
        <v>25</v>
      </c>
      <c r="AN1494" s="2">
        <v>1</v>
      </c>
      <c r="AO1494" s="2">
        <v>0</v>
      </c>
      <c r="AP1494" s="2">
        <f t="shared" si="751"/>
        <v>2704</v>
      </c>
      <c r="AQ1494" s="2">
        <f t="shared" si="752"/>
        <v>117.310195227766</v>
      </c>
      <c r="AR1494" s="5">
        <f t="shared" si="753"/>
        <v>220.5431670282</v>
      </c>
    </row>
    <row r="1495" spans="1:44">
      <c r="A1495" s="2">
        <v>20260429</v>
      </c>
      <c r="B1495" s="2" t="s">
        <v>3031</v>
      </c>
      <c r="C1495" s="2" t="s">
        <v>3032</v>
      </c>
      <c r="D1495" s="2">
        <v>0</v>
      </c>
      <c r="E1495" s="2">
        <v>12</v>
      </c>
      <c r="F1495" s="2">
        <v>2</v>
      </c>
      <c r="G1495" s="2">
        <v>1</v>
      </c>
      <c r="H1495" s="2">
        <v>5</v>
      </c>
      <c r="I1495" s="3">
        <v>15</v>
      </c>
      <c r="J1495" s="2">
        <v>5</v>
      </c>
      <c r="K1495" s="2">
        <v>3</v>
      </c>
      <c r="L1495" s="2">
        <v>0</v>
      </c>
      <c r="M1495" s="2">
        <v>6</v>
      </c>
      <c r="N1495" s="2">
        <v>14</v>
      </c>
      <c r="O1495" s="2">
        <v>1</v>
      </c>
      <c r="P1495" s="3">
        <v>2</v>
      </c>
      <c r="Q1495" s="2">
        <v>2</v>
      </c>
      <c r="R1495" s="2">
        <v>179</v>
      </c>
      <c r="S1495" s="2">
        <v>2</v>
      </c>
      <c r="T1495" s="2">
        <v>2</v>
      </c>
      <c r="U1495" s="2">
        <v>0</v>
      </c>
      <c r="V1495" s="2">
        <f t="shared" si="755"/>
        <v>6</v>
      </c>
      <c r="W1495" s="2">
        <v>0</v>
      </c>
      <c r="X1495" s="2">
        <v>2</v>
      </c>
      <c r="Y1495" s="2">
        <v>0</v>
      </c>
      <c r="Z1495" s="2">
        <f t="shared" si="760"/>
        <v>2</v>
      </c>
      <c r="AA1495" s="2">
        <f t="shared" si="756"/>
        <v>39</v>
      </c>
      <c r="AB1495" s="2">
        <v>3864</v>
      </c>
      <c r="AC1495" s="20">
        <f t="shared" ref="AC1495:AC1508" si="761">AA1495/AB1495*100</f>
        <v>1.00931677018634</v>
      </c>
      <c r="AD1495" s="2" t="s">
        <v>83</v>
      </c>
      <c r="AE1495" s="2">
        <v>100</v>
      </c>
      <c r="AF1495" s="21">
        <f t="shared" si="757"/>
        <v>1.89751552795031</v>
      </c>
      <c r="AG1495" s="4">
        <f t="shared" si="758"/>
        <v>0.15527950310559</v>
      </c>
      <c r="AH1495" s="4">
        <f t="shared" si="759"/>
        <v>0.05175983436853</v>
      </c>
      <c r="AI1495" s="2">
        <v>8331</v>
      </c>
      <c r="AJ1495" s="2">
        <v>367</v>
      </c>
      <c r="AK1495" s="2">
        <v>1640</v>
      </c>
      <c r="AL1495" s="2">
        <v>139</v>
      </c>
      <c r="AM1495" s="2">
        <v>79</v>
      </c>
      <c r="AN1495" s="2">
        <v>2</v>
      </c>
      <c r="AO1495" s="2">
        <v>0</v>
      </c>
      <c r="AP1495" s="2">
        <f t="shared" si="751"/>
        <v>8839</v>
      </c>
      <c r="AQ1495" s="2">
        <f t="shared" si="752"/>
        <v>420.104562737643</v>
      </c>
      <c r="AR1495" s="5">
        <f t="shared" si="753"/>
        <v>789.796577946768</v>
      </c>
    </row>
    <row r="1496" spans="1:44">
      <c r="A1496" s="2">
        <v>20260429</v>
      </c>
      <c r="B1496" s="2" t="s">
        <v>3033</v>
      </c>
      <c r="C1496" s="2" t="s">
        <v>3034</v>
      </c>
      <c r="D1496" s="2">
        <v>0</v>
      </c>
      <c r="E1496" s="2">
        <v>2</v>
      </c>
      <c r="F1496" s="2">
        <v>3</v>
      </c>
      <c r="G1496" s="2">
        <v>2</v>
      </c>
      <c r="H1496" s="2">
        <v>1</v>
      </c>
      <c r="I1496" s="3">
        <v>14</v>
      </c>
      <c r="J1496" s="2">
        <v>11</v>
      </c>
      <c r="K1496" s="2">
        <v>3</v>
      </c>
      <c r="L1496" s="2">
        <v>0</v>
      </c>
      <c r="M1496" s="2">
        <v>1</v>
      </c>
      <c r="N1496" s="2">
        <v>19</v>
      </c>
      <c r="O1496" s="2">
        <v>2</v>
      </c>
      <c r="P1496" s="3">
        <v>3</v>
      </c>
      <c r="Q1496" s="2">
        <v>0</v>
      </c>
      <c r="R1496" s="2">
        <v>848</v>
      </c>
      <c r="S1496" s="2">
        <v>0</v>
      </c>
      <c r="T1496" s="2">
        <v>4</v>
      </c>
      <c r="U1496" s="2">
        <v>0</v>
      </c>
      <c r="V1496" s="2">
        <f t="shared" si="755"/>
        <v>4</v>
      </c>
      <c r="W1496" s="2">
        <v>1</v>
      </c>
      <c r="X1496" s="2">
        <v>11</v>
      </c>
      <c r="Y1496" s="2">
        <v>0</v>
      </c>
      <c r="Z1496" s="2">
        <f t="shared" si="760"/>
        <v>12</v>
      </c>
      <c r="AA1496" s="2">
        <f t="shared" si="756"/>
        <v>39</v>
      </c>
      <c r="AB1496" s="2">
        <v>6174</v>
      </c>
      <c r="AC1496" s="20">
        <f t="shared" si="761"/>
        <v>0.631681243926142</v>
      </c>
      <c r="AD1496" s="2" t="s">
        <v>83</v>
      </c>
      <c r="AE1496" s="2">
        <v>100</v>
      </c>
      <c r="AF1496" s="21">
        <f t="shared" si="757"/>
        <v>1.18756073858115</v>
      </c>
      <c r="AG1496" s="4">
        <f t="shared" si="758"/>
        <v>0.0647878198898607</v>
      </c>
      <c r="AH1496" s="4">
        <f t="shared" si="759"/>
        <v>0.194363459669582</v>
      </c>
      <c r="AI1496" s="2">
        <v>13158</v>
      </c>
      <c r="AJ1496" s="2">
        <v>420</v>
      </c>
      <c r="AK1496" s="2">
        <v>2541</v>
      </c>
      <c r="AL1496" s="2">
        <v>216</v>
      </c>
      <c r="AM1496" s="2">
        <v>73</v>
      </c>
      <c r="AN1496" s="2">
        <v>2</v>
      </c>
      <c r="AO1496" s="2">
        <v>0</v>
      </c>
      <c r="AP1496" s="2">
        <f t="shared" si="751"/>
        <v>13796</v>
      </c>
      <c r="AQ1496" s="2">
        <f t="shared" si="752"/>
        <v>357.03933747412</v>
      </c>
      <c r="AR1496" s="5">
        <f t="shared" si="753"/>
        <v>671.233954451346</v>
      </c>
    </row>
    <row r="1497" spans="1:44">
      <c r="A1497" s="2">
        <v>20260430</v>
      </c>
      <c r="B1497" s="2" t="s">
        <v>3035</v>
      </c>
      <c r="C1497" s="2" t="s">
        <v>3036</v>
      </c>
      <c r="D1497" s="2">
        <v>1</v>
      </c>
      <c r="E1497" s="2">
        <v>1</v>
      </c>
      <c r="F1497" s="2">
        <v>3</v>
      </c>
      <c r="G1497" s="2">
        <v>1</v>
      </c>
      <c r="H1497" s="2">
        <v>1</v>
      </c>
      <c r="I1497" s="3">
        <v>3</v>
      </c>
      <c r="J1497" s="2">
        <v>3</v>
      </c>
      <c r="K1497" s="2">
        <v>1</v>
      </c>
      <c r="L1497" s="2">
        <v>0</v>
      </c>
      <c r="M1497" s="2">
        <v>1</v>
      </c>
      <c r="N1497" s="2">
        <v>6</v>
      </c>
      <c r="O1497" s="2">
        <v>1</v>
      </c>
      <c r="P1497" s="3">
        <v>1</v>
      </c>
      <c r="Q1497" s="2">
        <v>1</v>
      </c>
      <c r="R1497" s="2">
        <v>721</v>
      </c>
      <c r="S1497" s="2">
        <v>0</v>
      </c>
      <c r="T1497" s="2">
        <v>3</v>
      </c>
      <c r="U1497" s="2">
        <v>0</v>
      </c>
      <c r="V1497" s="2">
        <f t="shared" si="755"/>
        <v>4</v>
      </c>
      <c r="W1497" s="2">
        <v>1</v>
      </c>
      <c r="X1497" s="2">
        <v>2</v>
      </c>
      <c r="Y1497" s="2">
        <v>0</v>
      </c>
      <c r="Z1497" s="2">
        <f t="shared" si="760"/>
        <v>3</v>
      </c>
      <c r="AA1497" s="2">
        <f t="shared" si="756"/>
        <v>14</v>
      </c>
      <c r="AB1497" s="2">
        <v>3116</v>
      </c>
      <c r="AC1497" s="20">
        <f t="shared" si="761"/>
        <v>0.449293966623877</v>
      </c>
      <c r="AD1497" s="2" t="s">
        <v>83</v>
      </c>
      <c r="AE1497" s="2">
        <v>100</v>
      </c>
      <c r="AF1497" s="21">
        <f t="shared" si="757"/>
        <v>0.844672657252888</v>
      </c>
      <c r="AG1497" s="4">
        <f t="shared" si="758"/>
        <v>0.128369704749679</v>
      </c>
      <c r="AH1497" s="4">
        <f t="shared" si="759"/>
        <v>0.0962772785622593</v>
      </c>
      <c r="AI1497" s="2">
        <v>7375</v>
      </c>
      <c r="AJ1497" s="2">
        <v>199</v>
      </c>
      <c r="AK1497" s="2">
        <v>1237</v>
      </c>
      <c r="AL1497" s="2">
        <v>125</v>
      </c>
      <c r="AM1497" s="2">
        <v>46</v>
      </c>
      <c r="AN1497" s="2">
        <v>0</v>
      </c>
      <c r="AO1497" s="2">
        <v>0</v>
      </c>
      <c r="AP1497" s="2">
        <f t="shared" si="751"/>
        <v>7699</v>
      </c>
      <c r="AQ1497" s="2">
        <f t="shared" si="752"/>
        <v>124.700356333009</v>
      </c>
      <c r="AR1497" s="5">
        <f t="shared" si="753"/>
        <v>234.436669906058</v>
      </c>
    </row>
    <row r="1498" spans="1:44">
      <c r="A1498" s="2">
        <v>20260430</v>
      </c>
      <c r="B1498" s="2" t="s">
        <v>3037</v>
      </c>
      <c r="C1498" s="2" t="s">
        <v>3038</v>
      </c>
      <c r="D1498" s="2">
        <v>0</v>
      </c>
      <c r="E1498" s="2">
        <v>4</v>
      </c>
      <c r="F1498" s="2">
        <v>0</v>
      </c>
      <c r="G1498" s="2">
        <v>0</v>
      </c>
      <c r="H1498" s="2">
        <v>2</v>
      </c>
      <c r="I1498" s="3">
        <v>13</v>
      </c>
      <c r="J1498" s="2">
        <v>5</v>
      </c>
      <c r="K1498" s="2">
        <v>3</v>
      </c>
      <c r="L1498" s="2">
        <v>0</v>
      </c>
      <c r="M1498" s="2">
        <v>1</v>
      </c>
      <c r="N1498" s="2">
        <v>4</v>
      </c>
      <c r="O1498" s="2">
        <v>0</v>
      </c>
      <c r="P1498" s="3">
        <v>1</v>
      </c>
      <c r="Q1498" s="2">
        <v>0</v>
      </c>
      <c r="R1498" s="2">
        <v>1012</v>
      </c>
      <c r="S1498" s="2">
        <v>1</v>
      </c>
      <c r="T1498" s="2">
        <v>4</v>
      </c>
      <c r="U1498" s="2">
        <v>0</v>
      </c>
      <c r="V1498" s="2">
        <f t="shared" si="755"/>
        <v>5</v>
      </c>
      <c r="W1498" s="2">
        <v>5</v>
      </c>
      <c r="X1498" s="2">
        <v>4</v>
      </c>
      <c r="Y1498" s="2">
        <v>0</v>
      </c>
      <c r="Z1498" s="2">
        <f t="shared" si="760"/>
        <v>9</v>
      </c>
      <c r="AA1498" s="2">
        <f t="shared" si="756"/>
        <v>29</v>
      </c>
      <c r="AB1498" s="2">
        <v>3116</v>
      </c>
      <c r="AC1498" s="20">
        <f t="shared" si="761"/>
        <v>0.930680359435173</v>
      </c>
      <c r="AD1498" s="2" t="s">
        <v>58</v>
      </c>
      <c r="AE1498" s="2">
        <v>100</v>
      </c>
      <c r="AF1498" s="21">
        <f t="shared" si="757"/>
        <v>1.74967907573813</v>
      </c>
      <c r="AG1498" s="4">
        <f t="shared" si="758"/>
        <v>0.160462130937099</v>
      </c>
      <c r="AH1498" s="4">
        <f t="shared" si="759"/>
        <v>0.288831835686778</v>
      </c>
      <c r="AI1498" s="2">
        <v>7421</v>
      </c>
      <c r="AJ1498" s="2">
        <v>239</v>
      </c>
      <c r="AK1498" s="2">
        <v>1230</v>
      </c>
      <c r="AL1498" s="2">
        <v>49</v>
      </c>
      <c r="AM1498" s="2">
        <v>26</v>
      </c>
      <c r="AN1498" s="2">
        <v>1</v>
      </c>
      <c r="AO1498" s="2">
        <v>0</v>
      </c>
      <c r="AP1498" s="38">
        <f t="shared" si="751"/>
        <v>7710</v>
      </c>
      <c r="AQ1498" s="2">
        <f t="shared" si="752"/>
        <v>247.432605905006</v>
      </c>
      <c r="AR1498" s="5">
        <f t="shared" si="753"/>
        <v>465.173299101412</v>
      </c>
    </row>
    <row r="1499" spans="1:44">
      <c r="A1499" s="2">
        <v>20260430</v>
      </c>
      <c r="B1499" s="2" t="s">
        <v>3039</v>
      </c>
      <c r="C1499" s="2" t="s">
        <v>3040</v>
      </c>
      <c r="D1499" s="2">
        <v>0</v>
      </c>
      <c r="E1499" s="2">
        <v>10</v>
      </c>
      <c r="F1499" s="2">
        <v>2</v>
      </c>
      <c r="G1499" s="2">
        <v>4</v>
      </c>
      <c r="H1499" s="2">
        <v>3</v>
      </c>
      <c r="I1499" s="3">
        <v>24</v>
      </c>
      <c r="J1499" s="2">
        <v>9</v>
      </c>
      <c r="K1499" s="2">
        <v>3</v>
      </c>
      <c r="L1499" s="2">
        <v>1</v>
      </c>
      <c r="M1499" s="2">
        <v>2</v>
      </c>
      <c r="N1499" s="2">
        <v>21</v>
      </c>
      <c r="O1499" s="2">
        <v>1</v>
      </c>
      <c r="P1499" s="3">
        <v>7</v>
      </c>
      <c r="Q1499" s="2">
        <v>2</v>
      </c>
      <c r="R1499" s="2">
        <v>2044</v>
      </c>
      <c r="S1499" s="2">
        <v>1</v>
      </c>
      <c r="T1499" s="2">
        <v>6</v>
      </c>
      <c r="U1499" s="2">
        <v>0</v>
      </c>
      <c r="V1499" s="2">
        <f t="shared" si="755"/>
        <v>9</v>
      </c>
      <c r="W1499" s="2">
        <v>1</v>
      </c>
      <c r="X1499" s="2">
        <v>13</v>
      </c>
      <c r="Y1499" s="2">
        <v>0</v>
      </c>
      <c r="Z1499" s="2">
        <f t="shared" si="760"/>
        <v>14</v>
      </c>
      <c r="AA1499" s="2">
        <f t="shared" si="756"/>
        <v>59</v>
      </c>
      <c r="AB1499" s="2">
        <v>6172</v>
      </c>
      <c r="AC1499" s="20">
        <f t="shared" si="761"/>
        <v>0.955930006480881</v>
      </c>
      <c r="AD1499" s="2" t="s">
        <v>44</v>
      </c>
      <c r="AE1499" s="2">
        <v>100</v>
      </c>
      <c r="AF1499" s="21">
        <f t="shared" si="757"/>
        <v>1.79714841218406</v>
      </c>
      <c r="AG1499" s="4">
        <f t="shared" si="758"/>
        <v>0.145819831497084</v>
      </c>
      <c r="AH1499" s="4">
        <f t="shared" si="759"/>
        <v>0.226830848995463</v>
      </c>
      <c r="AI1499" s="2">
        <v>14874</v>
      </c>
      <c r="AJ1499" s="2">
        <v>579</v>
      </c>
      <c r="AK1499" s="2">
        <v>2138</v>
      </c>
      <c r="AL1499" s="2">
        <v>140</v>
      </c>
      <c r="AM1499" s="2">
        <v>56</v>
      </c>
      <c r="AN1499" s="2">
        <v>2</v>
      </c>
      <c r="AO1499" s="2">
        <v>0</v>
      </c>
      <c r="AP1499" s="2">
        <f t="shared" si="751"/>
        <v>15595</v>
      </c>
      <c r="AQ1499" s="2">
        <f t="shared" si="752"/>
        <v>500.481386392811</v>
      </c>
      <c r="AR1499" s="5">
        <f t="shared" si="753"/>
        <v>940.905006418485</v>
      </c>
    </row>
    <row r="1500" spans="1:44">
      <c r="A1500" s="2">
        <v>20260430</v>
      </c>
      <c r="B1500" s="2" t="s">
        <v>3041</v>
      </c>
      <c r="C1500" s="2" t="s">
        <v>3042</v>
      </c>
      <c r="D1500" s="2">
        <v>1</v>
      </c>
      <c r="E1500" s="2">
        <v>8</v>
      </c>
      <c r="F1500" s="2">
        <v>3</v>
      </c>
      <c r="G1500" s="2">
        <v>8</v>
      </c>
      <c r="H1500" s="2">
        <v>16</v>
      </c>
      <c r="I1500" s="3">
        <v>16</v>
      </c>
      <c r="J1500" s="2">
        <v>16</v>
      </c>
      <c r="K1500" s="2">
        <v>0</v>
      </c>
      <c r="L1500" s="2">
        <v>3</v>
      </c>
      <c r="M1500" s="2">
        <v>2</v>
      </c>
      <c r="N1500" s="2">
        <v>9</v>
      </c>
      <c r="O1500" s="2">
        <v>9</v>
      </c>
      <c r="P1500" s="3">
        <v>1</v>
      </c>
      <c r="Q1500" s="2">
        <v>1920</v>
      </c>
      <c r="R1500" s="2">
        <v>1</v>
      </c>
      <c r="S1500" s="2">
        <v>29</v>
      </c>
      <c r="T1500" s="2">
        <v>0</v>
      </c>
      <c r="U1500" s="2">
        <v>0</v>
      </c>
      <c r="V1500" s="2">
        <f t="shared" si="755"/>
        <v>1949</v>
      </c>
      <c r="W1500" s="2">
        <v>1</v>
      </c>
      <c r="X1500" s="2">
        <v>11</v>
      </c>
      <c r="Y1500" s="2">
        <v>0</v>
      </c>
      <c r="Z1500" s="2">
        <f t="shared" si="760"/>
        <v>12</v>
      </c>
      <c r="AA1500" s="2">
        <f t="shared" si="756"/>
        <v>62</v>
      </c>
      <c r="AB1500" s="2">
        <v>6172</v>
      </c>
      <c r="AC1500" s="20">
        <f t="shared" si="761"/>
        <v>1.00453661697991</v>
      </c>
      <c r="AD1500" s="2" t="s">
        <v>44</v>
      </c>
      <c r="AE1500" s="2">
        <v>100</v>
      </c>
      <c r="AF1500" s="21">
        <f t="shared" si="757"/>
        <v>1.88852883992223</v>
      </c>
      <c r="AG1500" s="4">
        <f t="shared" si="758"/>
        <v>31.5780946208684</v>
      </c>
      <c r="AH1500" s="4">
        <f t="shared" si="759"/>
        <v>0.194426441996111</v>
      </c>
      <c r="AI1500" s="2">
        <v>12740</v>
      </c>
      <c r="AJ1500" s="2">
        <v>737</v>
      </c>
      <c r="AK1500" s="2">
        <v>2480</v>
      </c>
      <c r="AL1500" s="2">
        <v>180</v>
      </c>
      <c r="AM1500" s="2">
        <v>62</v>
      </c>
      <c r="AN1500" s="2">
        <v>2</v>
      </c>
      <c r="AO1500" s="2">
        <v>0</v>
      </c>
      <c r="AP1500" s="2">
        <f t="shared" si="751"/>
        <v>13659</v>
      </c>
      <c r="AQ1500" s="2">
        <f t="shared" si="752"/>
        <v>221.305897602074</v>
      </c>
      <c r="AR1500" s="5">
        <f t="shared" si="753"/>
        <v>416.055087491899</v>
      </c>
    </row>
    <row r="1501" spans="1:44">
      <c r="A1501" s="2">
        <v>20260430</v>
      </c>
      <c r="B1501" s="2" t="s">
        <v>3043</v>
      </c>
      <c r="C1501" s="2" t="s">
        <v>3044</v>
      </c>
      <c r="D1501" s="2">
        <v>1</v>
      </c>
      <c r="E1501" s="2">
        <v>13</v>
      </c>
      <c r="F1501" s="2">
        <v>6</v>
      </c>
      <c r="G1501" s="2">
        <v>2</v>
      </c>
      <c r="H1501" s="2">
        <v>5</v>
      </c>
      <c r="I1501" s="3">
        <v>14</v>
      </c>
      <c r="J1501" s="2">
        <v>15</v>
      </c>
      <c r="K1501" s="2">
        <v>1</v>
      </c>
      <c r="L1501" s="2">
        <v>0</v>
      </c>
      <c r="M1501" s="2">
        <v>2</v>
      </c>
      <c r="N1501" s="2">
        <v>6</v>
      </c>
      <c r="O1501" s="2">
        <v>1</v>
      </c>
      <c r="P1501" s="3">
        <v>5</v>
      </c>
      <c r="Q1501" s="2">
        <v>1</v>
      </c>
      <c r="R1501" s="2">
        <v>1051</v>
      </c>
      <c r="S1501" s="2">
        <v>1</v>
      </c>
      <c r="T1501" s="2">
        <v>17</v>
      </c>
      <c r="U1501" s="2">
        <v>1</v>
      </c>
      <c r="V1501" s="2">
        <f t="shared" si="755"/>
        <v>20</v>
      </c>
      <c r="W1501" s="2">
        <v>0</v>
      </c>
      <c r="X1501" s="2">
        <v>5</v>
      </c>
      <c r="Y1501" s="2">
        <v>0</v>
      </c>
      <c r="Z1501" s="2">
        <f t="shared" si="760"/>
        <v>6</v>
      </c>
      <c r="AA1501" s="2">
        <f t="shared" si="756"/>
        <v>62</v>
      </c>
      <c r="AB1501" s="2">
        <v>3476</v>
      </c>
      <c r="AC1501" s="20">
        <f t="shared" si="761"/>
        <v>1.78365937859609</v>
      </c>
      <c r="AD1501" s="2" t="s">
        <v>44</v>
      </c>
      <c r="AE1501" s="2">
        <v>100</v>
      </c>
      <c r="AF1501" s="21">
        <f t="shared" si="757"/>
        <v>3.35327963176064</v>
      </c>
      <c r="AG1501" s="4">
        <f t="shared" si="758"/>
        <v>0.575373993095512</v>
      </c>
      <c r="AH1501" s="4">
        <f t="shared" si="759"/>
        <v>0.172612197928654</v>
      </c>
      <c r="AI1501" s="2">
        <v>9738</v>
      </c>
      <c r="AJ1501" s="2">
        <v>741</v>
      </c>
      <c r="AK1501" s="2">
        <v>1409</v>
      </c>
      <c r="AL1501" s="2">
        <v>133</v>
      </c>
      <c r="AM1501" s="2">
        <v>39</v>
      </c>
      <c r="AN1501" s="2">
        <v>1</v>
      </c>
      <c r="AO1501" s="2">
        <v>0</v>
      </c>
      <c r="AP1501" s="2" t="s">
        <v>3045</v>
      </c>
      <c r="AQ1501" s="2" t="e">
        <f t="shared" si="752"/>
        <v>#VALUE!</v>
      </c>
      <c r="AR1501" s="5" t="e">
        <f t="shared" si="753"/>
        <v>#VALUE!</v>
      </c>
    </row>
    <row r="1502" spans="1:44">
      <c r="A1502" s="2">
        <v>20260430</v>
      </c>
      <c r="B1502" s="2" t="s">
        <v>3045</v>
      </c>
      <c r="C1502" s="2" t="s">
        <v>3046</v>
      </c>
      <c r="D1502" s="2">
        <v>0</v>
      </c>
      <c r="E1502" s="2">
        <v>16</v>
      </c>
      <c r="F1502" s="2">
        <v>0</v>
      </c>
      <c r="G1502" s="2">
        <v>1</v>
      </c>
      <c r="H1502" s="2">
        <v>13</v>
      </c>
      <c r="I1502" s="3">
        <v>18</v>
      </c>
      <c r="J1502" s="2">
        <v>17</v>
      </c>
      <c r="K1502" s="2">
        <v>3</v>
      </c>
      <c r="L1502" s="2">
        <v>0</v>
      </c>
      <c r="M1502" s="2">
        <v>3</v>
      </c>
      <c r="N1502" s="2">
        <v>17</v>
      </c>
      <c r="O1502" s="2">
        <v>0</v>
      </c>
      <c r="P1502" s="3">
        <v>13</v>
      </c>
      <c r="Q1502" s="2">
        <v>1</v>
      </c>
      <c r="R1502" s="2">
        <v>1945</v>
      </c>
      <c r="S1502" s="2">
        <v>4</v>
      </c>
      <c r="T1502" s="2">
        <v>21</v>
      </c>
      <c r="U1502" s="2">
        <v>0</v>
      </c>
      <c r="V1502" s="2">
        <f t="shared" ref="V1502:V1513" si="762">U1502+T1502+S1502+Q1502</f>
        <v>26</v>
      </c>
      <c r="W1502" s="2">
        <v>1</v>
      </c>
      <c r="X1502" s="2">
        <v>11</v>
      </c>
      <c r="Y1502" s="2">
        <v>0</v>
      </c>
      <c r="Z1502" s="2">
        <f t="shared" si="760"/>
        <v>12</v>
      </c>
      <c r="AA1502" s="2">
        <f t="shared" si="756"/>
        <v>89</v>
      </c>
      <c r="AB1502" s="2">
        <v>6372</v>
      </c>
      <c r="AC1502" s="20">
        <f t="shared" si="761"/>
        <v>1.39673571876962</v>
      </c>
      <c r="AD1502" s="2" t="s">
        <v>44</v>
      </c>
      <c r="AE1502" s="2">
        <v>100</v>
      </c>
      <c r="AF1502" s="21">
        <f t="shared" si="757"/>
        <v>2.62586315128688</v>
      </c>
      <c r="AG1502" s="4">
        <f t="shared" si="758"/>
        <v>0.408035153797866</v>
      </c>
      <c r="AH1502" s="4">
        <f t="shared" si="759"/>
        <v>0.188323917137476</v>
      </c>
      <c r="AI1502" s="2">
        <v>18847</v>
      </c>
      <c r="AJ1502" s="2">
        <v>1294</v>
      </c>
      <c r="AK1502" s="2">
        <v>2563</v>
      </c>
      <c r="AL1502" s="2">
        <v>308</v>
      </c>
      <c r="AM1502" s="2">
        <v>73</v>
      </c>
      <c r="AN1502" s="2">
        <v>2</v>
      </c>
      <c r="AO1502" s="2">
        <v>0</v>
      </c>
      <c r="AP1502" s="2">
        <f t="shared" si="751"/>
        <v>20451</v>
      </c>
      <c r="AQ1502" s="2">
        <f t="shared" si="752"/>
        <v>588.348676639816</v>
      </c>
      <c r="AR1502" s="5">
        <f t="shared" si="753"/>
        <v>1106.09551208285</v>
      </c>
    </row>
    <row r="1503" spans="1:44">
      <c r="A1503" s="2">
        <v>20260430</v>
      </c>
      <c r="B1503" s="2" t="s">
        <v>3047</v>
      </c>
      <c r="C1503" s="2" t="s">
        <v>3048</v>
      </c>
      <c r="D1503" s="2">
        <v>0</v>
      </c>
      <c r="E1503" s="2">
        <v>5</v>
      </c>
      <c r="F1503" s="2">
        <v>1</v>
      </c>
      <c r="G1503" s="2">
        <v>2</v>
      </c>
      <c r="H1503" s="2">
        <v>5</v>
      </c>
      <c r="I1503" s="3">
        <v>8</v>
      </c>
      <c r="J1503" s="2">
        <v>4</v>
      </c>
      <c r="K1503" s="2">
        <v>2</v>
      </c>
      <c r="L1503" s="2">
        <v>0</v>
      </c>
      <c r="M1503" s="2">
        <v>3</v>
      </c>
      <c r="N1503" s="2">
        <v>4</v>
      </c>
      <c r="O1503" s="2">
        <v>0</v>
      </c>
      <c r="P1503" s="3">
        <v>5</v>
      </c>
      <c r="Q1503" s="2">
        <v>0</v>
      </c>
      <c r="R1503" s="2">
        <v>909</v>
      </c>
      <c r="S1503" s="2">
        <v>0</v>
      </c>
      <c r="T1503" s="2">
        <v>10</v>
      </c>
      <c r="U1503" s="2">
        <v>0</v>
      </c>
      <c r="V1503" s="2">
        <f t="shared" si="762"/>
        <v>10</v>
      </c>
      <c r="W1503" s="2">
        <v>0</v>
      </c>
      <c r="X1503" s="2">
        <v>0</v>
      </c>
      <c r="Y1503" s="2">
        <v>0</v>
      </c>
      <c r="Z1503" s="2">
        <f t="shared" si="760"/>
        <v>0</v>
      </c>
      <c r="AA1503" s="2">
        <f t="shared" si="756"/>
        <v>39</v>
      </c>
      <c r="AB1503" s="2">
        <v>3217</v>
      </c>
      <c r="AC1503" s="20">
        <f t="shared" si="761"/>
        <v>1.21230960522226</v>
      </c>
      <c r="AD1503" s="2" t="s">
        <v>44</v>
      </c>
      <c r="AE1503" s="2">
        <v>100</v>
      </c>
      <c r="AF1503" s="21">
        <f t="shared" si="757"/>
        <v>2.27914205781784</v>
      </c>
      <c r="AG1503" s="4">
        <f t="shared" si="758"/>
        <v>0.310848616723656</v>
      </c>
      <c r="AH1503" s="4">
        <f t="shared" si="759"/>
        <v>0</v>
      </c>
      <c r="AI1503" s="2">
        <v>134</v>
      </c>
      <c r="AJ1503" s="2">
        <v>0</v>
      </c>
      <c r="AK1503" s="2">
        <v>3</v>
      </c>
      <c r="AL1503" s="2">
        <v>37</v>
      </c>
      <c r="AM1503" s="2">
        <v>105</v>
      </c>
      <c r="AN1503" s="2">
        <v>0</v>
      </c>
      <c r="AO1503" s="2">
        <v>0</v>
      </c>
      <c r="AP1503" s="2">
        <f t="shared" si="751"/>
        <v>171</v>
      </c>
      <c r="AQ1503" s="2">
        <f t="shared" si="752"/>
        <v>2.68361581920904</v>
      </c>
      <c r="AR1503" s="5">
        <f t="shared" si="753"/>
        <v>5.04519774011299</v>
      </c>
    </row>
    <row r="1504" spans="1:44">
      <c r="A1504" s="2">
        <v>20260430</v>
      </c>
      <c r="B1504" s="2" t="s">
        <v>3049</v>
      </c>
      <c r="C1504" s="2" t="s">
        <v>3050</v>
      </c>
      <c r="D1504" s="2">
        <v>1</v>
      </c>
      <c r="E1504" s="2">
        <v>16</v>
      </c>
      <c r="F1504" s="2">
        <v>3</v>
      </c>
      <c r="G1504" s="2">
        <v>3</v>
      </c>
      <c r="H1504" s="2">
        <v>1</v>
      </c>
      <c r="I1504" s="3">
        <v>35</v>
      </c>
      <c r="J1504" s="2">
        <v>5</v>
      </c>
      <c r="K1504" s="2">
        <v>2</v>
      </c>
      <c r="L1504" s="2">
        <v>0</v>
      </c>
      <c r="M1504" s="2">
        <v>5</v>
      </c>
      <c r="N1504" s="2">
        <v>1</v>
      </c>
      <c r="O1504" s="2">
        <v>0</v>
      </c>
      <c r="P1504" s="3">
        <v>2</v>
      </c>
      <c r="Q1504" s="2">
        <v>0</v>
      </c>
      <c r="R1504" s="2">
        <v>2</v>
      </c>
      <c r="S1504" s="2">
        <v>1</v>
      </c>
      <c r="T1504" s="2">
        <v>0</v>
      </c>
      <c r="U1504" s="2">
        <v>0</v>
      </c>
      <c r="V1504" s="2">
        <f t="shared" si="762"/>
        <v>1</v>
      </c>
      <c r="W1504" s="2">
        <v>0</v>
      </c>
      <c r="X1504" s="2">
        <v>18</v>
      </c>
      <c r="Y1504" s="2">
        <v>0</v>
      </c>
      <c r="Z1504" s="2">
        <f t="shared" si="760"/>
        <v>18</v>
      </c>
      <c r="AA1504" s="2">
        <f t="shared" si="756"/>
        <v>53</v>
      </c>
      <c r="AB1504" s="2">
        <v>1265</v>
      </c>
      <c r="AC1504" s="20">
        <f t="shared" si="761"/>
        <v>4.1897233201581</v>
      </c>
      <c r="AD1504" s="2" t="s">
        <v>58</v>
      </c>
      <c r="AE1504" s="2">
        <v>250</v>
      </c>
      <c r="AF1504" s="21">
        <f t="shared" si="757"/>
        <v>3.15067193675889</v>
      </c>
      <c r="AG1504" s="4">
        <f t="shared" si="758"/>
        <v>0.0790513833992095</v>
      </c>
      <c r="AH1504" s="4">
        <f t="shared" si="759"/>
        <v>1.42292490118577</v>
      </c>
      <c r="AI1504" s="2">
        <v>16870</v>
      </c>
      <c r="AJ1504" s="2">
        <v>192</v>
      </c>
      <c r="AK1504" s="2">
        <v>41</v>
      </c>
      <c r="AL1504" s="2">
        <v>108</v>
      </c>
      <c r="AM1504" s="2">
        <v>35</v>
      </c>
      <c r="AN1504" s="2">
        <v>2</v>
      </c>
      <c r="AO1504" s="2">
        <v>0</v>
      </c>
      <c r="AP1504" s="2">
        <f t="shared" si="751"/>
        <v>17172</v>
      </c>
      <c r="AQ1504" s="2">
        <f t="shared" si="752"/>
        <v>533.789244637861</v>
      </c>
      <c r="AR1504" s="5">
        <f t="shared" si="753"/>
        <v>1003.52377991918</v>
      </c>
    </row>
    <row r="1505" spans="1:44">
      <c r="A1505" s="2">
        <v>20260501</v>
      </c>
      <c r="B1505" s="2" t="s">
        <v>3051</v>
      </c>
      <c r="C1505" s="2" t="s">
        <v>3052</v>
      </c>
      <c r="D1505" s="2">
        <v>0</v>
      </c>
      <c r="E1505" s="2">
        <v>10</v>
      </c>
      <c r="F1505" s="2">
        <v>8</v>
      </c>
      <c r="G1505" s="2">
        <v>1</v>
      </c>
      <c r="H1505" s="2">
        <v>5</v>
      </c>
      <c r="I1505" s="3">
        <v>29</v>
      </c>
      <c r="J1505" s="2">
        <v>11</v>
      </c>
      <c r="K1505" s="2">
        <v>0</v>
      </c>
      <c r="L1505" s="2">
        <v>0</v>
      </c>
      <c r="M1505" s="2">
        <v>3</v>
      </c>
      <c r="N1505" s="2">
        <v>7</v>
      </c>
      <c r="O1505" s="2">
        <v>0</v>
      </c>
      <c r="P1505" s="3">
        <v>3</v>
      </c>
      <c r="Q1505" s="2">
        <v>1</v>
      </c>
      <c r="R1505" s="2">
        <v>8</v>
      </c>
      <c r="S1505" s="2">
        <v>1</v>
      </c>
      <c r="T1505" s="2">
        <v>0</v>
      </c>
      <c r="U1505" s="2">
        <v>0</v>
      </c>
      <c r="V1505" s="2">
        <f t="shared" si="762"/>
        <v>2</v>
      </c>
      <c r="W1505" s="2">
        <v>0</v>
      </c>
      <c r="X1505" s="2">
        <v>21</v>
      </c>
      <c r="Y1505" s="2">
        <v>0</v>
      </c>
      <c r="Z1505" s="2">
        <f t="shared" si="760"/>
        <v>21</v>
      </c>
      <c r="AA1505" s="2">
        <f t="shared" si="756"/>
        <v>52</v>
      </c>
      <c r="AB1505" s="2">
        <v>1264</v>
      </c>
      <c r="AC1505" s="20">
        <f t="shared" si="761"/>
        <v>4.11392405063291</v>
      </c>
      <c r="AD1505" s="2" t="s">
        <v>58</v>
      </c>
      <c r="AE1505" s="2">
        <v>250</v>
      </c>
      <c r="AF1505" s="21">
        <f t="shared" si="757"/>
        <v>3.09367088607595</v>
      </c>
      <c r="AG1505" s="4">
        <f t="shared" si="758"/>
        <v>0.158227848101266</v>
      </c>
      <c r="AH1505" s="4">
        <f t="shared" si="759"/>
        <v>1.66139240506329</v>
      </c>
      <c r="AP1505" s="2">
        <f t="shared" si="751"/>
        <v>0</v>
      </c>
      <c r="AQ1505" s="2">
        <f t="shared" si="752"/>
        <v>0</v>
      </c>
      <c r="AR1505" s="5">
        <f t="shared" si="753"/>
        <v>0</v>
      </c>
    </row>
    <row r="1506" spans="1:44">
      <c r="A1506" s="2">
        <v>20260501</v>
      </c>
      <c r="B1506" s="2" t="s">
        <v>3053</v>
      </c>
      <c r="C1506" s="2" t="s">
        <v>3054</v>
      </c>
      <c r="D1506" s="2">
        <v>1</v>
      </c>
      <c r="E1506" s="2">
        <v>23</v>
      </c>
      <c r="F1506" s="2">
        <v>6</v>
      </c>
      <c r="G1506" s="2">
        <v>4</v>
      </c>
      <c r="H1506" s="2">
        <v>6</v>
      </c>
      <c r="I1506" s="3">
        <v>84</v>
      </c>
      <c r="J1506" s="2">
        <v>22</v>
      </c>
      <c r="K1506" s="2">
        <v>5</v>
      </c>
      <c r="L1506" s="2">
        <v>1</v>
      </c>
      <c r="M1506" s="2">
        <v>6</v>
      </c>
      <c r="N1506" s="2">
        <v>8</v>
      </c>
      <c r="O1506" s="2">
        <v>11</v>
      </c>
      <c r="P1506" s="3">
        <v>6</v>
      </c>
      <c r="Q1506" s="2">
        <v>8</v>
      </c>
      <c r="R1506" s="2">
        <v>13</v>
      </c>
      <c r="S1506" s="2">
        <v>4</v>
      </c>
      <c r="T1506" s="2">
        <v>1</v>
      </c>
      <c r="U1506" s="2">
        <v>0</v>
      </c>
      <c r="V1506" s="2">
        <f t="shared" si="762"/>
        <v>13</v>
      </c>
      <c r="W1506" s="2">
        <v>5</v>
      </c>
      <c r="X1506" s="2">
        <v>29</v>
      </c>
      <c r="Y1506" s="2">
        <v>1</v>
      </c>
      <c r="Z1506" s="2">
        <f t="shared" si="760"/>
        <v>35</v>
      </c>
      <c r="AA1506" s="2">
        <f t="shared" si="756"/>
        <v>135</v>
      </c>
      <c r="AB1506" s="2">
        <v>2824</v>
      </c>
      <c r="AC1506" s="20">
        <f t="shared" si="761"/>
        <v>4.78045325779037</v>
      </c>
      <c r="AD1506" s="2" t="s">
        <v>58</v>
      </c>
      <c r="AE1506" s="2">
        <v>250</v>
      </c>
      <c r="AF1506" s="21">
        <f t="shared" si="757"/>
        <v>3.59490084985836</v>
      </c>
      <c r="AG1506" s="4">
        <f t="shared" si="758"/>
        <v>0.460339943342776</v>
      </c>
      <c r="AH1506" s="4">
        <f t="shared" si="759"/>
        <v>1.23937677053824</v>
      </c>
      <c r="AP1506" s="2">
        <f t="shared" si="751"/>
        <v>0</v>
      </c>
      <c r="AQ1506" s="2">
        <f t="shared" si="752"/>
        <v>0</v>
      </c>
      <c r="AR1506" s="5">
        <f t="shared" si="753"/>
        <v>0</v>
      </c>
    </row>
    <row r="1507" spans="1:44">
      <c r="A1507" s="2">
        <v>20260501</v>
      </c>
      <c r="B1507" s="2" t="s">
        <v>3055</v>
      </c>
      <c r="C1507" s="2" t="s">
        <v>3056</v>
      </c>
      <c r="D1507" s="2">
        <v>1</v>
      </c>
      <c r="E1507" s="2">
        <v>7</v>
      </c>
      <c r="F1507" s="2">
        <v>2</v>
      </c>
      <c r="G1507" s="2">
        <v>1</v>
      </c>
      <c r="H1507" s="2">
        <v>6</v>
      </c>
      <c r="I1507" s="3">
        <v>62</v>
      </c>
      <c r="J1507" s="2">
        <v>13</v>
      </c>
      <c r="K1507" s="2">
        <v>5</v>
      </c>
      <c r="L1507" s="2">
        <v>0</v>
      </c>
      <c r="M1507" s="2">
        <v>14</v>
      </c>
      <c r="N1507" s="2">
        <v>3</v>
      </c>
      <c r="O1507" s="2">
        <v>0</v>
      </c>
      <c r="P1507" s="3">
        <v>6</v>
      </c>
      <c r="Q1507" s="2">
        <v>4</v>
      </c>
      <c r="R1507" s="2">
        <v>7</v>
      </c>
      <c r="S1507" s="2">
        <v>7</v>
      </c>
      <c r="T1507" s="2">
        <v>3</v>
      </c>
      <c r="U1507" s="2">
        <v>1</v>
      </c>
      <c r="V1507" s="2">
        <f t="shared" si="762"/>
        <v>15</v>
      </c>
      <c r="W1507" s="2">
        <v>2</v>
      </c>
      <c r="X1507" s="2">
        <v>54</v>
      </c>
      <c r="Y1507" s="2">
        <v>0</v>
      </c>
      <c r="Z1507" s="2">
        <f t="shared" si="760"/>
        <v>57</v>
      </c>
      <c r="AA1507" s="2">
        <f t="shared" si="756"/>
        <v>111</v>
      </c>
      <c r="AB1507" s="2">
        <v>2724</v>
      </c>
      <c r="AC1507" s="20">
        <f t="shared" si="761"/>
        <v>4.07488986784141</v>
      </c>
      <c r="AD1507" s="2" t="s">
        <v>58</v>
      </c>
      <c r="AE1507" s="2">
        <v>250</v>
      </c>
      <c r="AF1507" s="21">
        <f t="shared" si="757"/>
        <v>3.06431718061674</v>
      </c>
      <c r="AG1507" s="4">
        <f t="shared" si="758"/>
        <v>0.550660792951542</v>
      </c>
      <c r="AH1507" s="4">
        <f t="shared" si="759"/>
        <v>2.09251101321586</v>
      </c>
      <c r="AP1507" s="2">
        <f t="shared" si="751"/>
        <v>0</v>
      </c>
      <c r="AQ1507" s="2">
        <f t="shared" si="752"/>
        <v>0</v>
      </c>
      <c r="AR1507" s="5">
        <f t="shared" si="753"/>
        <v>0</v>
      </c>
    </row>
    <row r="1508" spans="1:44">
      <c r="A1508" s="2">
        <v>20260501</v>
      </c>
      <c r="B1508" s="2" t="s">
        <v>3057</v>
      </c>
      <c r="C1508" s="2" t="s">
        <v>3058</v>
      </c>
      <c r="D1508" s="2">
        <v>0</v>
      </c>
      <c r="E1508" s="2">
        <v>3</v>
      </c>
      <c r="F1508" s="2">
        <v>1</v>
      </c>
      <c r="G1508" s="2">
        <v>0</v>
      </c>
      <c r="H1508" s="2">
        <v>5</v>
      </c>
      <c r="I1508" s="3">
        <v>39</v>
      </c>
      <c r="J1508" s="2">
        <v>5</v>
      </c>
      <c r="K1508" s="2">
        <v>1</v>
      </c>
      <c r="L1508" s="2">
        <v>1</v>
      </c>
      <c r="M1508" s="2">
        <v>7</v>
      </c>
      <c r="N1508" s="2">
        <v>1</v>
      </c>
      <c r="O1508" s="2">
        <v>0</v>
      </c>
      <c r="P1508" s="3">
        <v>4</v>
      </c>
      <c r="Q1508" s="2">
        <v>2</v>
      </c>
      <c r="R1508" s="2">
        <v>3</v>
      </c>
      <c r="S1508" s="2">
        <v>2</v>
      </c>
      <c r="T1508" s="2">
        <v>0</v>
      </c>
      <c r="U1508" s="2">
        <v>1</v>
      </c>
      <c r="V1508" s="2">
        <f t="shared" si="762"/>
        <v>5</v>
      </c>
      <c r="W1508" s="2">
        <v>1</v>
      </c>
      <c r="X1508" s="2">
        <v>39</v>
      </c>
      <c r="Y1508" s="2">
        <v>0</v>
      </c>
      <c r="Z1508" s="2">
        <f t="shared" si="760"/>
        <v>41</v>
      </c>
      <c r="AA1508" s="2">
        <f t="shared" si="756"/>
        <v>63</v>
      </c>
      <c r="AB1508" s="2">
        <v>2494</v>
      </c>
      <c r="AC1508" s="20">
        <f t="shared" si="761"/>
        <v>2.52606255012029</v>
      </c>
      <c r="AD1508" s="2" t="s">
        <v>58</v>
      </c>
      <c r="AE1508" s="2">
        <v>250</v>
      </c>
      <c r="AF1508" s="21">
        <f t="shared" si="757"/>
        <v>1.89959903769046</v>
      </c>
      <c r="AG1508" s="4">
        <f t="shared" si="758"/>
        <v>0.200481154771451</v>
      </c>
      <c r="AH1508" s="4">
        <f t="shared" si="759"/>
        <v>1.6439454691259</v>
      </c>
      <c r="AP1508" s="2">
        <f t="shared" si="751"/>
        <v>0</v>
      </c>
      <c r="AQ1508" s="2">
        <f t="shared" si="752"/>
        <v>0</v>
      </c>
      <c r="AR1508" s="5">
        <f t="shared" si="753"/>
        <v>0</v>
      </c>
    </row>
    <row r="1509" spans="1:44">
      <c r="A1509" s="2">
        <v>20260501</v>
      </c>
      <c r="B1509" s="2" t="s">
        <v>3059</v>
      </c>
      <c r="C1509" s="2" t="s">
        <v>3060</v>
      </c>
      <c r="D1509" s="2">
        <v>0</v>
      </c>
      <c r="E1509" s="2">
        <v>0</v>
      </c>
      <c r="F1509" s="2">
        <v>3</v>
      </c>
      <c r="G1509" s="2">
        <v>0</v>
      </c>
      <c r="H1509" s="2">
        <v>1</v>
      </c>
      <c r="I1509" s="3">
        <v>39</v>
      </c>
      <c r="J1509" s="2">
        <v>5</v>
      </c>
      <c r="K1509" s="2">
        <v>1</v>
      </c>
      <c r="L1509" s="2">
        <v>0</v>
      </c>
      <c r="M1509" s="2">
        <v>1</v>
      </c>
      <c r="N1509" s="2">
        <v>3</v>
      </c>
      <c r="O1509" s="2">
        <v>4</v>
      </c>
      <c r="P1509" s="3">
        <v>1</v>
      </c>
      <c r="Q1509" s="2">
        <v>1</v>
      </c>
      <c r="R1509" s="2">
        <v>2</v>
      </c>
      <c r="S1509" s="2">
        <v>0</v>
      </c>
      <c r="T1509" s="2">
        <v>0</v>
      </c>
      <c r="U1509" s="2">
        <v>0</v>
      </c>
      <c r="V1509" s="2">
        <f t="shared" si="762"/>
        <v>1</v>
      </c>
      <c r="W1509" s="2">
        <v>2</v>
      </c>
      <c r="X1509" s="2">
        <v>39</v>
      </c>
      <c r="Y1509" s="2">
        <v>0</v>
      </c>
      <c r="Z1509" s="2">
        <f t="shared" ref="Z1509:Z1540" si="763">Y1509+X1509+W1509+U1509</f>
        <v>41</v>
      </c>
      <c r="AA1509" s="2">
        <f t="shared" ref="AA1509:AA1540" si="764">G1509+H1509+I1509+J1509+K1509+L1509+M1509+P1509+T1509+U1509</f>
        <v>48</v>
      </c>
      <c r="AB1509" s="2">
        <v>1264</v>
      </c>
      <c r="AC1509" s="20">
        <f t="shared" ref="AC1509:AC1540" si="765">AA1509/AB1509*100</f>
        <v>3.79746835443038</v>
      </c>
      <c r="AD1509" s="2" t="s">
        <v>49</v>
      </c>
      <c r="AE1509" s="2">
        <v>250</v>
      </c>
      <c r="AF1509" s="21">
        <f t="shared" ref="AF1509:AF1540" si="766">188/AE1509*AC1509</f>
        <v>2.85569620253165</v>
      </c>
      <c r="AG1509" s="4">
        <f t="shared" ref="AG1509:AG1540" si="767">V1509/AB1509*100</f>
        <v>0.0791139240506329</v>
      </c>
      <c r="AH1509" s="4">
        <f t="shared" ref="AH1509:AH1540" si="768">Z1509/AB1509*100</f>
        <v>3.24367088607595</v>
      </c>
      <c r="AP1509" s="2">
        <f t="shared" si="751"/>
        <v>0</v>
      </c>
      <c r="AQ1509" s="2">
        <f t="shared" si="752"/>
        <v>0</v>
      </c>
      <c r="AR1509" s="5">
        <f t="shared" si="753"/>
        <v>0</v>
      </c>
    </row>
    <row r="1510" spans="1:44">
      <c r="A1510" s="2">
        <v>20260501</v>
      </c>
      <c r="B1510" s="2" t="s">
        <v>3061</v>
      </c>
      <c r="C1510" s="2" t="s">
        <v>3062</v>
      </c>
      <c r="D1510" s="2">
        <v>0</v>
      </c>
      <c r="E1510" s="2">
        <v>7</v>
      </c>
      <c r="F1510" s="2">
        <v>24</v>
      </c>
      <c r="G1510" s="2">
        <v>3</v>
      </c>
      <c r="H1510" s="2">
        <v>27</v>
      </c>
      <c r="I1510" s="3">
        <v>25</v>
      </c>
      <c r="J1510" s="2">
        <v>4</v>
      </c>
      <c r="K1510" s="2">
        <v>34</v>
      </c>
      <c r="L1510" s="2">
        <v>0</v>
      </c>
      <c r="M1510" s="2">
        <v>2</v>
      </c>
      <c r="N1510" s="2">
        <v>12</v>
      </c>
      <c r="O1510" s="2">
        <v>36</v>
      </c>
      <c r="P1510" s="3">
        <v>15</v>
      </c>
      <c r="Q1510" s="2">
        <v>9</v>
      </c>
      <c r="R1510" s="2">
        <v>2</v>
      </c>
      <c r="S1510" s="2">
        <v>3</v>
      </c>
      <c r="T1510" s="2">
        <v>14</v>
      </c>
      <c r="U1510" s="2">
        <v>6</v>
      </c>
      <c r="V1510" s="2">
        <f t="shared" si="762"/>
        <v>32</v>
      </c>
      <c r="W1510" s="2">
        <v>1</v>
      </c>
      <c r="X1510" s="2">
        <v>12</v>
      </c>
      <c r="Y1510" s="2">
        <v>0</v>
      </c>
      <c r="Z1510" s="2">
        <f t="shared" si="763"/>
        <v>19</v>
      </c>
      <c r="AA1510" s="2">
        <f t="shared" si="764"/>
        <v>130</v>
      </c>
      <c r="AB1510" s="2">
        <v>1504</v>
      </c>
      <c r="AC1510" s="20">
        <f t="shared" si="765"/>
        <v>8.6436170212766</v>
      </c>
      <c r="AD1510" s="2" t="s">
        <v>49</v>
      </c>
      <c r="AE1510" s="2">
        <v>250</v>
      </c>
      <c r="AF1510" s="21">
        <f t="shared" si="766"/>
        <v>6.5</v>
      </c>
      <c r="AG1510" s="4">
        <f t="shared" si="767"/>
        <v>2.12765957446808</v>
      </c>
      <c r="AH1510" s="4">
        <f t="shared" si="768"/>
        <v>1.26329787234043</v>
      </c>
      <c r="AP1510" s="2">
        <f t="shared" si="751"/>
        <v>0</v>
      </c>
      <c r="AQ1510" s="2">
        <f t="shared" si="752"/>
        <v>0</v>
      </c>
      <c r="AR1510" s="5">
        <f t="shared" si="753"/>
        <v>0</v>
      </c>
    </row>
    <row r="1511" spans="1:44">
      <c r="A1511" s="2">
        <v>20260501</v>
      </c>
      <c r="B1511" s="2" t="s">
        <v>3063</v>
      </c>
      <c r="C1511" s="2" t="s">
        <v>3064</v>
      </c>
      <c r="D1511" s="2">
        <v>2</v>
      </c>
      <c r="E1511" s="2">
        <v>5</v>
      </c>
      <c r="F1511" s="2">
        <v>5</v>
      </c>
      <c r="G1511" s="2">
        <v>2</v>
      </c>
      <c r="H1511" s="2">
        <v>4</v>
      </c>
      <c r="I1511" s="3">
        <v>48</v>
      </c>
      <c r="J1511" s="2">
        <v>20</v>
      </c>
      <c r="K1511" s="2">
        <v>7</v>
      </c>
      <c r="L1511" s="2">
        <v>1</v>
      </c>
      <c r="M1511" s="2">
        <v>9</v>
      </c>
      <c r="N1511" s="2">
        <v>4</v>
      </c>
      <c r="O1511" s="2">
        <v>8</v>
      </c>
      <c r="P1511" s="3">
        <v>3</v>
      </c>
      <c r="Q1511" s="2">
        <v>5</v>
      </c>
      <c r="R1511" s="2">
        <v>3</v>
      </c>
      <c r="S1511" s="2">
        <v>15</v>
      </c>
      <c r="T1511" s="2">
        <v>0</v>
      </c>
      <c r="U1511" s="2">
        <v>0</v>
      </c>
      <c r="V1511" s="2">
        <f t="shared" si="762"/>
        <v>20</v>
      </c>
      <c r="W1511" s="2">
        <v>10</v>
      </c>
      <c r="X1511" s="2">
        <v>22</v>
      </c>
      <c r="Y1511" s="2">
        <v>1</v>
      </c>
      <c r="Z1511" s="2">
        <f t="shared" si="763"/>
        <v>33</v>
      </c>
      <c r="AA1511" s="2">
        <f t="shared" si="764"/>
        <v>94</v>
      </c>
      <c r="AB1511" s="2">
        <v>2734</v>
      </c>
      <c r="AC1511" s="20">
        <f t="shared" si="765"/>
        <v>3.43818580833943</v>
      </c>
      <c r="AD1511" s="2" t="s">
        <v>49</v>
      </c>
      <c r="AE1511" s="2">
        <v>250</v>
      </c>
      <c r="AF1511" s="21">
        <f t="shared" si="766"/>
        <v>2.58551572787125</v>
      </c>
      <c r="AG1511" s="4">
        <f t="shared" si="767"/>
        <v>0.731528895391368</v>
      </c>
      <c r="AH1511" s="4">
        <f t="shared" si="768"/>
        <v>1.20702267739576</v>
      </c>
      <c r="AP1511" s="2">
        <f t="shared" si="751"/>
        <v>0</v>
      </c>
      <c r="AQ1511" s="2">
        <f t="shared" si="752"/>
        <v>0</v>
      </c>
      <c r="AR1511" s="5">
        <f t="shared" si="753"/>
        <v>0</v>
      </c>
    </row>
    <row r="1512" spans="1:44">
      <c r="A1512" s="2">
        <v>20260501</v>
      </c>
      <c r="B1512" s="2" t="s">
        <v>3065</v>
      </c>
      <c r="C1512" s="2" t="s">
        <v>3066</v>
      </c>
      <c r="D1512" s="2">
        <v>0</v>
      </c>
      <c r="E1512" s="2">
        <v>5</v>
      </c>
      <c r="F1512" s="2">
        <v>3</v>
      </c>
      <c r="G1512" s="2">
        <v>3</v>
      </c>
      <c r="H1512" s="2">
        <v>1</v>
      </c>
      <c r="I1512" s="3">
        <v>27</v>
      </c>
      <c r="J1512" s="2">
        <v>12</v>
      </c>
      <c r="K1512" s="2">
        <v>3</v>
      </c>
      <c r="L1512" s="2">
        <v>1</v>
      </c>
      <c r="M1512" s="2">
        <v>16</v>
      </c>
      <c r="N1512" s="2">
        <v>1</v>
      </c>
      <c r="O1512" s="2">
        <v>4</v>
      </c>
      <c r="P1512" s="3">
        <v>7</v>
      </c>
      <c r="Q1512" s="2">
        <v>2</v>
      </c>
      <c r="R1512" s="2">
        <v>1</v>
      </c>
      <c r="S1512" s="2">
        <v>5</v>
      </c>
      <c r="T1512" s="2">
        <v>1</v>
      </c>
      <c r="U1512" s="2">
        <v>3</v>
      </c>
      <c r="V1512" s="2">
        <f t="shared" si="762"/>
        <v>11</v>
      </c>
      <c r="W1512" s="2">
        <v>4</v>
      </c>
      <c r="X1512" s="2">
        <v>13</v>
      </c>
      <c r="Y1512" s="2">
        <v>0</v>
      </c>
      <c r="Z1512" s="2">
        <f t="shared" si="763"/>
        <v>20</v>
      </c>
      <c r="AA1512" s="2">
        <f t="shared" si="764"/>
        <v>74</v>
      </c>
      <c r="AB1512" s="2">
        <v>1564</v>
      </c>
      <c r="AC1512" s="20">
        <f t="shared" si="765"/>
        <v>4.73145780051151</v>
      </c>
      <c r="AD1512" s="2" t="s">
        <v>49</v>
      </c>
      <c r="AE1512" s="2">
        <v>250</v>
      </c>
      <c r="AF1512" s="21">
        <f t="shared" si="766"/>
        <v>3.55805626598465</v>
      </c>
      <c r="AG1512" s="4">
        <f t="shared" si="767"/>
        <v>0.703324808184143</v>
      </c>
      <c r="AH1512" s="4">
        <f t="shared" si="768"/>
        <v>1.27877237851662</v>
      </c>
      <c r="AP1512" s="2">
        <f t="shared" ref="AP1512:AP1543" si="769">AI1512+AJ1512+AL1512+AN1512</f>
        <v>0</v>
      </c>
      <c r="AQ1512" s="2">
        <f t="shared" ref="AQ1512:AQ1543" si="770">AP1512/AB1511*100</f>
        <v>0</v>
      </c>
      <c r="AR1512" s="5">
        <f t="shared" ref="AR1512:AR1543" si="771">AQ1512*1.88</f>
        <v>0</v>
      </c>
    </row>
    <row r="1513" spans="1:44">
      <c r="A1513" s="2">
        <v>20260501</v>
      </c>
      <c r="B1513" s="2" t="s">
        <v>3067</v>
      </c>
      <c r="C1513" s="2" t="s">
        <v>3068</v>
      </c>
      <c r="D1513" s="2">
        <v>0</v>
      </c>
      <c r="E1513" s="2">
        <v>5</v>
      </c>
      <c r="F1513" s="2">
        <v>31</v>
      </c>
      <c r="G1513" s="2">
        <v>5</v>
      </c>
      <c r="H1513" s="2">
        <v>21</v>
      </c>
      <c r="I1513" s="3">
        <v>63</v>
      </c>
      <c r="J1513" s="2">
        <v>16</v>
      </c>
      <c r="K1513" s="2">
        <v>11</v>
      </c>
      <c r="L1513" s="2">
        <v>0</v>
      </c>
      <c r="M1513" s="2">
        <v>8</v>
      </c>
      <c r="N1513" s="2">
        <v>10</v>
      </c>
      <c r="O1513" s="2">
        <v>33</v>
      </c>
      <c r="P1513" s="3">
        <v>8</v>
      </c>
      <c r="Q1513" s="2">
        <v>11</v>
      </c>
      <c r="R1513" s="2">
        <v>5</v>
      </c>
      <c r="S1513" s="2">
        <v>5</v>
      </c>
      <c r="T1513" s="2">
        <v>15</v>
      </c>
      <c r="U1513" s="2">
        <v>1</v>
      </c>
      <c r="V1513" s="2">
        <f t="shared" si="762"/>
        <v>32</v>
      </c>
      <c r="W1513" s="2">
        <v>7</v>
      </c>
      <c r="X1513" s="2">
        <v>16</v>
      </c>
      <c r="Y1513" s="2">
        <v>0</v>
      </c>
      <c r="Z1513" s="2">
        <f t="shared" si="763"/>
        <v>24</v>
      </c>
      <c r="AA1513" s="2">
        <f t="shared" si="764"/>
        <v>148</v>
      </c>
      <c r="AB1513" s="2">
        <v>1464</v>
      </c>
      <c r="AC1513" s="20">
        <f t="shared" si="765"/>
        <v>10.1092896174863</v>
      </c>
      <c r="AD1513" s="2" t="s">
        <v>58</v>
      </c>
      <c r="AE1513" s="2">
        <v>250</v>
      </c>
      <c r="AF1513" s="21">
        <f t="shared" si="766"/>
        <v>7.60218579234973</v>
      </c>
      <c r="AG1513" s="4">
        <f t="shared" si="767"/>
        <v>2.18579234972678</v>
      </c>
      <c r="AH1513" s="4">
        <f t="shared" si="768"/>
        <v>1.63934426229508</v>
      </c>
      <c r="AP1513" s="2">
        <f t="shared" si="769"/>
        <v>0</v>
      </c>
      <c r="AQ1513" s="2">
        <f t="shared" si="770"/>
        <v>0</v>
      </c>
      <c r="AR1513" s="5">
        <f t="shared" si="771"/>
        <v>0</v>
      </c>
    </row>
    <row r="1514" spans="1:44">
      <c r="A1514" s="2">
        <v>20260501</v>
      </c>
      <c r="B1514" s="2" t="s">
        <v>3069</v>
      </c>
      <c r="C1514" s="2" t="s">
        <v>3070</v>
      </c>
      <c r="D1514" s="2">
        <v>0</v>
      </c>
      <c r="E1514" s="2">
        <v>3</v>
      </c>
      <c r="F1514" s="2">
        <v>3</v>
      </c>
      <c r="G1514" s="2">
        <v>0</v>
      </c>
      <c r="H1514" s="2">
        <v>4</v>
      </c>
      <c r="I1514" s="3">
        <v>30</v>
      </c>
      <c r="J1514" s="2">
        <v>5</v>
      </c>
      <c r="K1514" s="2">
        <v>3</v>
      </c>
      <c r="L1514" s="2">
        <v>0</v>
      </c>
      <c r="M1514" s="2">
        <v>5</v>
      </c>
      <c r="N1514" s="2">
        <v>1</v>
      </c>
      <c r="O1514" s="2">
        <v>0</v>
      </c>
      <c r="P1514" s="3">
        <v>2</v>
      </c>
      <c r="Q1514" s="2">
        <v>3</v>
      </c>
      <c r="R1514" s="2">
        <v>0</v>
      </c>
      <c r="S1514" s="2">
        <v>3</v>
      </c>
      <c r="T1514" s="2">
        <v>1</v>
      </c>
      <c r="U1514" s="2">
        <v>1</v>
      </c>
      <c r="V1514" s="2">
        <f t="shared" ref="V1509:V1555" si="772">U1514+T1514+S1514+Q1514</f>
        <v>8</v>
      </c>
      <c r="W1514" s="2">
        <v>5</v>
      </c>
      <c r="X1514" s="2">
        <v>13</v>
      </c>
      <c r="Y1514" s="2">
        <v>0</v>
      </c>
      <c r="Z1514" s="2">
        <f t="shared" si="763"/>
        <v>19</v>
      </c>
      <c r="AA1514" s="2">
        <f t="shared" si="764"/>
        <v>51</v>
      </c>
      <c r="AB1514" s="2">
        <v>1464</v>
      </c>
      <c r="AC1514" s="20">
        <f t="shared" si="765"/>
        <v>3.48360655737705</v>
      </c>
      <c r="AD1514" s="2" t="s">
        <v>58</v>
      </c>
      <c r="AE1514" s="2">
        <v>250</v>
      </c>
      <c r="AF1514" s="21">
        <f t="shared" si="766"/>
        <v>2.61967213114754</v>
      </c>
      <c r="AG1514" s="4">
        <f t="shared" si="767"/>
        <v>0.546448087431694</v>
      </c>
      <c r="AH1514" s="4">
        <f t="shared" si="768"/>
        <v>1.29781420765027</v>
      </c>
      <c r="AP1514" s="2">
        <f t="shared" si="769"/>
        <v>0</v>
      </c>
      <c r="AQ1514" s="2">
        <f t="shared" si="770"/>
        <v>0</v>
      </c>
      <c r="AR1514" s="5">
        <f t="shared" si="771"/>
        <v>0</v>
      </c>
    </row>
    <row r="1515" spans="1:44">
      <c r="A1515" s="2">
        <v>20260501</v>
      </c>
      <c r="B1515" s="2" t="s">
        <v>3071</v>
      </c>
      <c r="C1515" s="2" t="s">
        <v>3072</v>
      </c>
      <c r="D1515" s="2">
        <v>0</v>
      </c>
      <c r="E1515" s="2">
        <v>1</v>
      </c>
      <c r="F1515" s="2">
        <v>3</v>
      </c>
      <c r="G1515" s="2">
        <v>4</v>
      </c>
      <c r="H1515" s="2">
        <v>1</v>
      </c>
      <c r="I1515" s="3">
        <v>11</v>
      </c>
      <c r="J1515" s="2">
        <v>3</v>
      </c>
      <c r="K1515" s="2">
        <v>0</v>
      </c>
      <c r="L1515" s="2">
        <v>1</v>
      </c>
      <c r="M1515" s="2">
        <v>10</v>
      </c>
      <c r="N1515" s="2">
        <v>2</v>
      </c>
      <c r="O1515" s="2">
        <v>0</v>
      </c>
      <c r="P1515" s="3">
        <v>2</v>
      </c>
      <c r="Q1515" s="2">
        <v>0</v>
      </c>
      <c r="R1515" s="2">
        <v>0</v>
      </c>
      <c r="S1515" s="2">
        <v>0</v>
      </c>
      <c r="T1515" s="2">
        <v>1</v>
      </c>
      <c r="U1515" s="2">
        <v>1</v>
      </c>
      <c r="V1515" s="2">
        <f t="shared" si="772"/>
        <v>2</v>
      </c>
      <c r="W1515" s="2">
        <v>8</v>
      </c>
      <c r="X1515" s="2">
        <v>10</v>
      </c>
      <c r="Y1515" s="2">
        <v>0</v>
      </c>
      <c r="Z1515" s="2">
        <f t="shared" si="763"/>
        <v>19</v>
      </c>
      <c r="AA1515" s="2">
        <f t="shared" si="764"/>
        <v>34</v>
      </c>
      <c r="AB1515" s="2">
        <v>1774</v>
      </c>
      <c r="AC1515" s="20">
        <f t="shared" si="765"/>
        <v>1.91657271702368</v>
      </c>
      <c r="AD1515" s="2" t="s">
        <v>229</v>
      </c>
      <c r="AE1515" s="2">
        <v>188</v>
      </c>
      <c r="AF1515" s="21">
        <f t="shared" si="766"/>
        <v>1.91657271702368</v>
      </c>
      <c r="AG1515" s="4">
        <f t="shared" si="767"/>
        <v>0.112739571589628</v>
      </c>
      <c r="AH1515" s="4">
        <f t="shared" si="768"/>
        <v>1.07102593010147</v>
      </c>
      <c r="AP1515" s="2">
        <f t="shared" si="769"/>
        <v>0</v>
      </c>
      <c r="AQ1515" s="2">
        <f t="shared" si="770"/>
        <v>0</v>
      </c>
      <c r="AR1515" s="5">
        <f t="shared" si="771"/>
        <v>0</v>
      </c>
    </row>
    <row r="1516" spans="1:44">
      <c r="A1516" s="2">
        <v>20260501</v>
      </c>
      <c r="B1516" t="s">
        <v>3073</v>
      </c>
      <c r="C1516" s="2" t="s">
        <v>3074</v>
      </c>
      <c r="D1516" s="2">
        <v>1</v>
      </c>
      <c r="E1516" s="2">
        <v>0</v>
      </c>
      <c r="F1516" s="2">
        <v>2</v>
      </c>
      <c r="G1516" s="2">
        <v>0</v>
      </c>
      <c r="H1516" s="2">
        <v>3</v>
      </c>
      <c r="I1516" s="3">
        <v>23</v>
      </c>
      <c r="J1516" s="2">
        <v>9</v>
      </c>
      <c r="K1516" s="2">
        <v>2</v>
      </c>
      <c r="L1516" s="2">
        <v>0</v>
      </c>
      <c r="M1516" s="2">
        <v>14</v>
      </c>
      <c r="N1516" s="2">
        <v>2</v>
      </c>
      <c r="O1516" s="2">
        <v>12</v>
      </c>
      <c r="P1516" s="3">
        <v>5</v>
      </c>
      <c r="Q1516" s="2">
        <v>2</v>
      </c>
      <c r="R1516" s="2">
        <v>1</v>
      </c>
      <c r="S1516" s="2">
        <v>2</v>
      </c>
      <c r="T1516" s="2">
        <v>4</v>
      </c>
      <c r="U1516" s="2">
        <v>0</v>
      </c>
      <c r="V1516" s="2">
        <f t="shared" si="772"/>
        <v>8</v>
      </c>
      <c r="W1516" s="2">
        <v>18</v>
      </c>
      <c r="X1516" s="2">
        <v>20</v>
      </c>
      <c r="Y1516" s="2">
        <v>0</v>
      </c>
      <c r="Z1516" s="2">
        <f t="shared" si="763"/>
        <v>38</v>
      </c>
      <c r="AA1516" s="2">
        <f t="shared" si="764"/>
        <v>60</v>
      </c>
      <c r="AB1516" s="2">
        <v>3323</v>
      </c>
      <c r="AC1516" s="20">
        <f t="shared" si="765"/>
        <v>1.80559735179055</v>
      </c>
      <c r="AD1516" s="2" t="s">
        <v>229</v>
      </c>
      <c r="AE1516" s="2">
        <v>188</v>
      </c>
      <c r="AF1516" s="21">
        <f t="shared" si="766"/>
        <v>1.80559735179055</v>
      </c>
      <c r="AG1516" s="4">
        <f t="shared" si="767"/>
        <v>0.240746313572073</v>
      </c>
      <c r="AH1516" s="4">
        <f t="shared" si="768"/>
        <v>1.14354498946735</v>
      </c>
      <c r="AP1516" s="2">
        <f t="shared" si="769"/>
        <v>0</v>
      </c>
      <c r="AQ1516" s="2">
        <f t="shared" si="770"/>
        <v>0</v>
      </c>
      <c r="AR1516" s="5">
        <f t="shared" si="771"/>
        <v>0</v>
      </c>
    </row>
    <row r="1517" spans="1:44">
      <c r="A1517" s="2">
        <v>20260501</v>
      </c>
      <c r="B1517" t="s">
        <v>3075</v>
      </c>
      <c r="C1517" s="2" t="s">
        <v>3076</v>
      </c>
      <c r="D1517" s="2">
        <v>1</v>
      </c>
      <c r="E1517" s="2">
        <v>3</v>
      </c>
      <c r="F1517" s="2">
        <v>0</v>
      </c>
      <c r="G1517" s="2">
        <v>1</v>
      </c>
      <c r="H1517" s="2">
        <v>3</v>
      </c>
      <c r="I1517" s="3">
        <v>9</v>
      </c>
      <c r="J1517" s="2">
        <v>7</v>
      </c>
      <c r="K1517" s="2">
        <v>2</v>
      </c>
      <c r="L1517" s="2">
        <v>0</v>
      </c>
      <c r="M1517" s="2">
        <v>4</v>
      </c>
      <c r="N1517" s="2">
        <v>1</v>
      </c>
      <c r="O1517" s="2">
        <v>1</v>
      </c>
      <c r="P1517" s="3">
        <v>10</v>
      </c>
      <c r="Q1517" s="2">
        <v>0</v>
      </c>
      <c r="R1517" s="2">
        <v>75</v>
      </c>
      <c r="S1517" s="2">
        <v>0</v>
      </c>
      <c r="T1517" s="2">
        <v>2</v>
      </c>
      <c r="U1517" s="2">
        <v>0</v>
      </c>
      <c r="V1517" s="2">
        <f t="shared" si="772"/>
        <v>2</v>
      </c>
      <c r="W1517" s="2">
        <v>1</v>
      </c>
      <c r="X1517" s="2">
        <v>9</v>
      </c>
      <c r="Y1517" s="2">
        <v>0</v>
      </c>
      <c r="Z1517" s="2">
        <f t="shared" si="763"/>
        <v>10</v>
      </c>
      <c r="AA1517" s="2">
        <f t="shared" si="764"/>
        <v>38</v>
      </c>
      <c r="AB1517" s="2">
        <v>1684</v>
      </c>
      <c r="AC1517" s="20">
        <f t="shared" si="765"/>
        <v>2.25653206650831</v>
      </c>
      <c r="AD1517" s="2" t="s">
        <v>229</v>
      </c>
      <c r="AE1517" s="2">
        <v>188</v>
      </c>
      <c r="AF1517" s="21">
        <f t="shared" si="766"/>
        <v>2.25653206650831</v>
      </c>
      <c r="AG1517" s="4">
        <f t="shared" si="767"/>
        <v>0.118764845605701</v>
      </c>
      <c r="AH1517" s="4">
        <f t="shared" si="768"/>
        <v>0.593824228028504</v>
      </c>
      <c r="AP1517" s="2">
        <f t="shared" si="769"/>
        <v>0</v>
      </c>
      <c r="AQ1517" s="2">
        <f t="shared" si="770"/>
        <v>0</v>
      </c>
      <c r="AR1517" s="5">
        <f t="shared" si="771"/>
        <v>0</v>
      </c>
    </row>
    <row r="1518" spans="1:44">
      <c r="A1518" s="2">
        <v>20260501</v>
      </c>
      <c r="B1518" s="2" t="s">
        <v>3077</v>
      </c>
      <c r="C1518" s="2" t="s">
        <v>3078</v>
      </c>
      <c r="D1518" s="2">
        <v>1</v>
      </c>
      <c r="E1518" s="2">
        <v>2</v>
      </c>
      <c r="F1518" s="2">
        <v>3</v>
      </c>
      <c r="G1518" s="2">
        <v>0</v>
      </c>
      <c r="H1518" s="2">
        <v>1</v>
      </c>
      <c r="I1518" s="3">
        <v>4</v>
      </c>
      <c r="J1518" s="2">
        <v>2</v>
      </c>
      <c r="K1518" s="2">
        <v>0</v>
      </c>
      <c r="L1518" s="2">
        <v>0</v>
      </c>
      <c r="M1518" s="2">
        <v>1</v>
      </c>
      <c r="N1518" s="2">
        <v>1</v>
      </c>
      <c r="O1518" s="2">
        <v>2</v>
      </c>
      <c r="P1518" s="3">
        <v>4</v>
      </c>
      <c r="Q1518" s="2">
        <v>3</v>
      </c>
      <c r="R1518" s="2">
        <v>151</v>
      </c>
      <c r="S1518" s="2">
        <v>0</v>
      </c>
      <c r="T1518" s="2">
        <v>0</v>
      </c>
      <c r="U1518" s="2">
        <v>0</v>
      </c>
      <c r="V1518" s="2">
        <f t="shared" si="772"/>
        <v>3</v>
      </c>
      <c r="W1518" s="2">
        <v>0</v>
      </c>
      <c r="X1518" s="2">
        <v>0</v>
      </c>
      <c r="Y1518" s="2">
        <v>0</v>
      </c>
      <c r="Z1518" s="2">
        <f t="shared" si="763"/>
        <v>0</v>
      </c>
      <c r="AA1518" s="2">
        <f t="shared" si="764"/>
        <v>12</v>
      </c>
      <c r="AB1518" s="2">
        <v>1972</v>
      </c>
      <c r="AC1518" s="20">
        <f t="shared" si="765"/>
        <v>0.608519269776876</v>
      </c>
      <c r="AD1518" s="2" t="s">
        <v>229</v>
      </c>
      <c r="AE1518" s="2">
        <v>188</v>
      </c>
      <c r="AF1518" s="21">
        <f t="shared" si="766"/>
        <v>0.608519269776876</v>
      </c>
      <c r="AG1518" s="4">
        <f t="shared" si="767"/>
        <v>0.152129817444219</v>
      </c>
      <c r="AH1518" s="4">
        <f t="shared" si="768"/>
        <v>0</v>
      </c>
      <c r="AP1518" s="2">
        <f t="shared" si="769"/>
        <v>0</v>
      </c>
      <c r="AQ1518" s="2">
        <f t="shared" si="770"/>
        <v>0</v>
      </c>
      <c r="AR1518" s="5">
        <f t="shared" si="771"/>
        <v>0</v>
      </c>
    </row>
    <row r="1519" spans="1:44">
      <c r="A1519" s="2">
        <v>20260501</v>
      </c>
      <c r="B1519" s="2" t="s">
        <v>3079</v>
      </c>
      <c r="C1519" s="2" t="s">
        <v>3080</v>
      </c>
      <c r="D1519" s="2">
        <v>1</v>
      </c>
      <c r="E1519" s="2">
        <v>36</v>
      </c>
      <c r="F1519" s="2">
        <v>30</v>
      </c>
      <c r="G1519" s="2">
        <v>2</v>
      </c>
      <c r="H1519" s="2">
        <v>7</v>
      </c>
      <c r="I1519" s="3">
        <v>12</v>
      </c>
      <c r="J1519" s="2">
        <v>6</v>
      </c>
      <c r="K1519" s="2">
        <v>4</v>
      </c>
      <c r="L1519" s="2">
        <v>0</v>
      </c>
      <c r="M1519" s="2">
        <v>13</v>
      </c>
      <c r="N1519" s="2">
        <v>10</v>
      </c>
      <c r="O1519" s="2">
        <v>43</v>
      </c>
      <c r="P1519" s="3">
        <v>8</v>
      </c>
      <c r="Q1519" s="2">
        <v>7</v>
      </c>
      <c r="R1519" s="2">
        <v>194</v>
      </c>
      <c r="S1519" s="2">
        <v>0</v>
      </c>
      <c r="T1519" s="2">
        <v>2</v>
      </c>
      <c r="U1519" s="2">
        <v>0</v>
      </c>
      <c r="V1519" s="2">
        <f t="shared" si="772"/>
        <v>9</v>
      </c>
      <c r="W1519" s="2">
        <v>0</v>
      </c>
      <c r="X1519" s="2">
        <v>0</v>
      </c>
      <c r="Y1519" s="2">
        <v>0</v>
      </c>
      <c r="Z1519" s="2">
        <f t="shared" si="763"/>
        <v>0</v>
      </c>
      <c r="AA1519" s="2">
        <f t="shared" si="764"/>
        <v>54</v>
      </c>
      <c r="AB1519" s="2">
        <v>2352</v>
      </c>
      <c r="AC1519" s="20">
        <f t="shared" si="765"/>
        <v>2.29591836734694</v>
      </c>
      <c r="AD1519" s="2" t="s">
        <v>44</v>
      </c>
      <c r="AE1519" s="2">
        <v>188</v>
      </c>
      <c r="AF1519" s="21">
        <f t="shared" si="766"/>
        <v>2.29591836734694</v>
      </c>
      <c r="AG1519" s="4">
        <f t="shared" si="767"/>
        <v>0.38265306122449</v>
      </c>
      <c r="AH1519" s="4">
        <f t="shared" si="768"/>
        <v>0</v>
      </c>
      <c r="AP1519" s="2">
        <f t="shared" si="769"/>
        <v>0</v>
      </c>
      <c r="AQ1519" s="2">
        <f t="shared" si="770"/>
        <v>0</v>
      </c>
      <c r="AR1519" s="5">
        <f t="shared" si="771"/>
        <v>0</v>
      </c>
    </row>
    <row r="1520" spans="1:44">
      <c r="A1520" s="2">
        <v>20260501</v>
      </c>
      <c r="B1520" s="2" t="s">
        <v>3081</v>
      </c>
      <c r="C1520" s="2" t="s">
        <v>3082</v>
      </c>
      <c r="D1520" s="2">
        <v>0</v>
      </c>
      <c r="E1520" s="2">
        <v>7544</v>
      </c>
      <c r="F1520" s="2">
        <v>1</v>
      </c>
      <c r="G1520" s="2">
        <v>5</v>
      </c>
      <c r="H1520" s="2">
        <v>2</v>
      </c>
      <c r="I1520" s="3">
        <v>6</v>
      </c>
      <c r="J1520" s="2">
        <v>19</v>
      </c>
      <c r="K1520" s="2">
        <v>0</v>
      </c>
      <c r="L1520" s="2">
        <v>0</v>
      </c>
      <c r="M1520" s="2">
        <v>3</v>
      </c>
      <c r="N1520" s="2">
        <v>3</v>
      </c>
      <c r="O1520" s="2">
        <v>43</v>
      </c>
      <c r="P1520" s="3">
        <v>3</v>
      </c>
      <c r="Q1520" s="2">
        <v>0</v>
      </c>
      <c r="R1520" s="2">
        <v>257</v>
      </c>
      <c r="S1520" s="2">
        <v>0</v>
      </c>
      <c r="T1520" s="2">
        <v>1</v>
      </c>
      <c r="U1520" s="2">
        <v>0</v>
      </c>
      <c r="V1520" s="2">
        <f t="shared" si="772"/>
        <v>1</v>
      </c>
      <c r="W1520" s="2">
        <v>0</v>
      </c>
      <c r="X1520" s="2">
        <v>0</v>
      </c>
      <c r="Y1520" s="2">
        <v>0</v>
      </c>
      <c r="Z1520" s="2">
        <f t="shared" ref="Z1520:Z1529" si="773">Y1520+X1520+W1520+U1520</f>
        <v>0</v>
      </c>
      <c r="AA1520" s="2">
        <f t="shared" si="764"/>
        <v>39</v>
      </c>
      <c r="AB1520" s="2">
        <v>2552</v>
      </c>
      <c r="AC1520" s="20">
        <f t="shared" si="765"/>
        <v>1.5282131661442</v>
      </c>
      <c r="AD1520" s="2" t="s">
        <v>44</v>
      </c>
      <c r="AE1520" s="2">
        <v>188</v>
      </c>
      <c r="AF1520" s="21">
        <f t="shared" si="766"/>
        <v>1.5282131661442</v>
      </c>
      <c r="AG1520" s="4">
        <f t="shared" si="767"/>
        <v>0.0391849529780564</v>
      </c>
      <c r="AH1520" s="4">
        <f t="shared" si="768"/>
        <v>0</v>
      </c>
      <c r="AP1520" s="2">
        <f t="shared" si="769"/>
        <v>0</v>
      </c>
      <c r="AQ1520" s="2">
        <f t="shared" si="770"/>
        <v>0</v>
      </c>
      <c r="AR1520" s="5">
        <f t="shared" si="771"/>
        <v>0</v>
      </c>
    </row>
    <row r="1521" spans="1:44">
      <c r="A1521" s="2">
        <v>20260501</v>
      </c>
      <c r="B1521" s="2" t="s">
        <v>3083</v>
      </c>
      <c r="C1521" s="2" t="s">
        <v>3084</v>
      </c>
      <c r="D1521" s="2">
        <v>0</v>
      </c>
      <c r="E1521" s="2">
        <v>0</v>
      </c>
      <c r="F1521" s="2">
        <v>0</v>
      </c>
      <c r="G1521" s="2">
        <v>0</v>
      </c>
      <c r="H1521" s="2">
        <v>1</v>
      </c>
      <c r="I1521" s="3">
        <v>1</v>
      </c>
      <c r="J1521" s="2">
        <v>0</v>
      </c>
      <c r="K1521" s="2">
        <v>1</v>
      </c>
      <c r="L1521" s="2">
        <v>0</v>
      </c>
      <c r="M1521" s="2">
        <v>0</v>
      </c>
      <c r="N1521" s="2">
        <v>1</v>
      </c>
      <c r="O1521" s="2">
        <v>0</v>
      </c>
      <c r="P1521" s="3">
        <v>2</v>
      </c>
      <c r="Q1521" s="2">
        <v>0</v>
      </c>
      <c r="R1521" s="2">
        <v>74</v>
      </c>
      <c r="S1521" s="2">
        <v>0</v>
      </c>
      <c r="T1521" s="2">
        <v>0</v>
      </c>
      <c r="U1521" s="2">
        <v>0</v>
      </c>
      <c r="V1521" s="2">
        <f t="shared" si="772"/>
        <v>0</v>
      </c>
      <c r="W1521" s="2">
        <v>0</v>
      </c>
      <c r="X1521" s="2">
        <v>2</v>
      </c>
      <c r="Y1521" s="2">
        <v>0</v>
      </c>
      <c r="Z1521" s="2">
        <f t="shared" si="773"/>
        <v>2</v>
      </c>
      <c r="AA1521" s="2">
        <f t="shared" si="764"/>
        <v>5</v>
      </c>
      <c r="AB1521" s="2">
        <v>1528</v>
      </c>
      <c r="AC1521" s="20">
        <f t="shared" si="765"/>
        <v>0.327225130890052</v>
      </c>
      <c r="AD1521" s="2" t="s">
        <v>44</v>
      </c>
      <c r="AE1521" s="2">
        <v>188</v>
      </c>
      <c r="AF1521" s="21">
        <f t="shared" si="766"/>
        <v>0.327225130890052</v>
      </c>
      <c r="AG1521" s="4">
        <f t="shared" si="767"/>
        <v>0</v>
      </c>
      <c r="AH1521" s="4">
        <f t="shared" si="768"/>
        <v>0.130890052356021</v>
      </c>
      <c r="AP1521" s="2">
        <f t="shared" si="769"/>
        <v>0</v>
      </c>
      <c r="AQ1521" s="2">
        <f t="shared" si="770"/>
        <v>0</v>
      </c>
      <c r="AR1521" s="5">
        <f t="shared" si="771"/>
        <v>0</v>
      </c>
    </row>
    <row r="1522" spans="1:44">
      <c r="A1522" s="2">
        <v>20260502</v>
      </c>
      <c r="B1522" s="2" t="s">
        <v>3085</v>
      </c>
      <c r="C1522" s="2" t="s">
        <v>3086</v>
      </c>
      <c r="D1522" s="2">
        <v>0</v>
      </c>
      <c r="E1522" s="2">
        <v>0</v>
      </c>
      <c r="F1522" s="2">
        <v>0</v>
      </c>
      <c r="G1522" s="2">
        <v>2</v>
      </c>
      <c r="H1522" s="2">
        <v>2</v>
      </c>
      <c r="I1522" s="3">
        <v>6</v>
      </c>
      <c r="J1522" s="2">
        <v>3</v>
      </c>
      <c r="K1522" s="2">
        <v>0</v>
      </c>
      <c r="L1522" s="2">
        <v>0</v>
      </c>
      <c r="M1522" s="2">
        <v>2</v>
      </c>
      <c r="N1522" s="2">
        <v>0</v>
      </c>
      <c r="O1522" s="2">
        <v>0</v>
      </c>
      <c r="P1522" s="3">
        <v>1</v>
      </c>
      <c r="Q1522" s="2">
        <v>0</v>
      </c>
      <c r="R1522" s="2">
        <v>135</v>
      </c>
      <c r="S1522" s="2">
        <v>3</v>
      </c>
      <c r="T1522" s="2">
        <v>0</v>
      </c>
      <c r="U1522" s="2">
        <v>0</v>
      </c>
      <c r="V1522" s="2">
        <f t="shared" si="772"/>
        <v>3</v>
      </c>
      <c r="W1522" s="2">
        <v>0</v>
      </c>
      <c r="X1522" s="2">
        <v>0</v>
      </c>
      <c r="Y1522" s="2">
        <v>0</v>
      </c>
      <c r="Z1522" s="2">
        <f t="shared" si="773"/>
        <v>0</v>
      </c>
      <c r="AA1522" s="2">
        <f t="shared" si="764"/>
        <v>16</v>
      </c>
      <c r="AB1522" s="2">
        <v>2172</v>
      </c>
      <c r="AC1522" s="20">
        <f t="shared" si="765"/>
        <v>0.736648250460405</v>
      </c>
      <c r="AD1522" s="2" t="s">
        <v>44</v>
      </c>
      <c r="AE1522" s="2">
        <v>188</v>
      </c>
      <c r="AF1522" s="21">
        <f t="shared" si="766"/>
        <v>0.736648250460405</v>
      </c>
      <c r="AG1522" s="4">
        <f t="shared" si="767"/>
        <v>0.138121546961326</v>
      </c>
      <c r="AH1522" s="4">
        <f t="shared" si="768"/>
        <v>0</v>
      </c>
      <c r="AP1522" s="2">
        <f t="shared" si="769"/>
        <v>0</v>
      </c>
      <c r="AQ1522" s="2">
        <f t="shared" si="770"/>
        <v>0</v>
      </c>
      <c r="AR1522" s="5">
        <f t="shared" si="771"/>
        <v>0</v>
      </c>
    </row>
    <row r="1523" spans="1:44">
      <c r="A1523" s="2">
        <v>20260502</v>
      </c>
      <c r="B1523" s="2" t="s">
        <v>3087</v>
      </c>
      <c r="C1523" s="2" t="s">
        <v>3088</v>
      </c>
      <c r="D1523" s="2">
        <v>0</v>
      </c>
      <c r="E1523" s="2">
        <v>1</v>
      </c>
      <c r="F1523" s="2">
        <v>3</v>
      </c>
      <c r="G1523" s="2">
        <v>1</v>
      </c>
      <c r="H1523" s="2">
        <v>1</v>
      </c>
      <c r="I1523" s="3">
        <v>1</v>
      </c>
      <c r="J1523" s="2">
        <v>2</v>
      </c>
      <c r="K1523" s="2">
        <v>2</v>
      </c>
      <c r="L1523" s="2">
        <v>0</v>
      </c>
      <c r="M1523" s="2">
        <v>0</v>
      </c>
      <c r="N1523" s="2">
        <v>1</v>
      </c>
      <c r="O1523" s="2">
        <v>1</v>
      </c>
      <c r="P1523" s="3">
        <v>4</v>
      </c>
      <c r="Q1523" s="2">
        <v>113</v>
      </c>
      <c r="R1523" s="2">
        <v>0</v>
      </c>
      <c r="S1523" s="2">
        <v>0</v>
      </c>
      <c r="T1523" s="2">
        <v>0</v>
      </c>
      <c r="U1523" s="2">
        <v>0</v>
      </c>
      <c r="V1523" s="2">
        <f t="shared" si="772"/>
        <v>113</v>
      </c>
      <c r="W1523" s="2">
        <v>0</v>
      </c>
      <c r="X1523" s="2">
        <v>0</v>
      </c>
      <c r="Y1523" s="2">
        <v>1</v>
      </c>
      <c r="Z1523" s="2">
        <f t="shared" si="773"/>
        <v>1</v>
      </c>
      <c r="AA1523" s="2">
        <f t="shared" si="764"/>
        <v>11</v>
      </c>
      <c r="AB1523" s="2">
        <v>2172</v>
      </c>
      <c r="AC1523" s="20">
        <f t="shared" si="765"/>
        <v>0.506445672191529</v>
      </c>
      <c r="AD1523" s="2" t="s">
        <v>44</v>
      </c>
      <c r="AE1523" s="2">
        <v>188</v>
      </c>
      <c r="AF1523" s="21">
        <f t="shared" si="766"/>
        <v>0.506445672191529</v>
      </c>
      <c r="AG1523" s="4">
        <f t="shared" si="767"/>
        <v>5.20257826887661</v>
      </c>
      <c r="AH1523" s="4">
        <f t="shared" si="768"/>
        <v>0.0460405156537753</v>
      </c>
      <c r="AP1523" s="2">
        <f t="shared" si="769"/>
        <v>0</v>
      </c>
      <c r="AQ1523" s="2">
        <f t="shared" si="770"/>
        <v>0</v>
      </c>
      <c r="AR1523" s="5">
        <f t="shared" si="771"/>
        <v>0</v>
      </c>
    </row>
    <row r="1524" spans="1:44">
      <c r="A1524" s="2">
        <v>20260502</v>
      </c>
      <c r="B1524" s="2" t="s">
        <v>3089</v>
      </c>
      <c r="C1524" s="2" t="s">
        <v>3090</v>
      </c>
      <c r="D1524" s="2">
        <v>1</v>
      </c>
      <c r="E1524" s="2">
        <v>0</v>
      </c>
      <c r="F1524" s="2">
        <v>2</v>
      </c>
      <c r="G1524" s="2">
        <v>3</v>
      </c>
      <c r="H1524" s="2">
        <v>1</v>
      </c>
      <c r="I1524" s="3">
        <v>5</v>
      </c>
      <c r="J1524" s="2">
        <v>3</v>
      </c>
      <c r="K1524" s="2">
        <v>2</v>
      </c>
      <c r="L1524" s="2">
        <v>0</v>
      </c>
      <c r="M1524" s="2">
        <v>1</v>
      </c>
      <c r="N1524" s="2">
        <v>4</v>
      </c>
      <c r="O1524" s="2">
        <v>4</v>
      </c>
      <c r="P1524" s="3">
        <v>6</v>
      </c>
      <c r="Q1524" s="2">
        <v>1</v>
      </c>
      <c r="R1524" s="2">
        <v>88</v>
      </c>
      <c r="S1524" s="2">
        <v>0</v>
      </c>
      <c r="T1524" s="2">
        <v>1</v>
      </c>
      <c r="U1524" s="2">
        <v>0</v>
      </c>
      <c r="V1524" s="2">
        <f t="shared" si="772"/>
        <v>2</v>
      </c>
      <c r="W1524" s="2">
        <v>4</v>
      </c>
      <c r="X1524" s="2">
        <v>0</v>
      </c>
      <c r="Y1524" s="2">
        <v>0</v>
      </c>
      <c r="Z1524" s="2">
        <f t="shared" si="773"/>
        <v>4</v>
      </c>
      <c r="AA1524" s="2">
        <f t="shared" si="764"/>
        <v>22</v>
      </c>
      <c r="AB1524" s="2">
        <v>2222</v>
      </c>
      <c r="AC1524" s="20">
        <f t="shared" si="765"/>
        <v>0.99009900990099</v>
      </c>
      <c r="AD1524" s="2" t="s">
        <v>44</v>
      </c>
      <c r="AE1524" s="2">
        <v>188</v>
      </c>
      <c r="AF1524" s="21">
        <f t="shared" si="766"/>
        <v>0.99009900990099</v>
      </c>
      <c r="AG1524" s="4">
        <f t="shared" si="767"/>
        <v>0.09000900090009</v>
      </c>
      <c r="AH1524" s="4">
        <f t="shared" si="768"/>
        <v>0.18001800180018</v>
      </c>
      <c r="AP1524" s="2">
        <f t="shared" si="769"/>
        <v>0</v>
      </c>
      <c r="AQ1524" s="2">
        <f t="shared" si="770"/>
        <v>0</v>
      </c>
      <c r="AR1524" s="5">
        <f t="shared" si="771"/>
        <v>0</v>
      </c>
    </row>
    <row r="1525" spans="1:44">
      <c r="A1525" s="2">
        <v>20260502</v>
      </c>
      <c r="B1525" s="2" t="s">
        <v>3091</v>
      </c>
      <c r="C1525" s="2" t="s">
        <v>3092</v>
      </c>
      <c r="D1525" s="2">
        <v>0</v>
      </c>
      <c r="E1525" s="2">
        <v>2</v>
      </c>
      <c r="F1525" s="2">
        <v>3</v>
      </c>
      <c r="G1525" s="2">
        <v>1</v>
      </c>
      <c r="H1525" s="2">
        <v>1</v>
      </c>
      <c r="I1525" s="3">
        <v>5</v>
      </c>
      <c r="J1525" s="2">
        <v>2</v>
      </c>
      <c r="K1525" s="2">
        <v>0</v>
      </c>
      <c r="L1525" s="2">
        <v>0</v>
      </c>
      <c r="M1525" s="2">
        <v>0</v>
      </c>
      <c r="N1525" s="2">
        <v>7</v>
      </c>
      <c r="O1525" s="2">
        <v>1</v>
      </c>
      <c r="P1525" s="3">
        <v>3</v>
      </c>
      <c r="Q1525" s="2">
        <v>2</v>
      </c>
      <c r="R1525" s="2">
        <v>163</v>
      </c>
      <c r="S1525" s="2">
        <v>2</v>
      </c>
      <c r="T1525" s="2">
        <v>2</v>
      </c>
      <c r="U1525" s="2">
        <v>0</v>
      </c>
      <c r="V1525" s="2">
        <f t="shared" si="772"/>
        <v>6</v>
      </c>
      <c r="W1525" s="2">
        <v>1</v>
      </c>
      <c r="X1525" s="2">
        <v>5</v>
      </c>
      <c r="Y1525" s="2">
        <v>0</v>
      </c>
      <c r="Z1525" s="2">
        <f t="shared" si="773"/>
        <v>6</v>
      </c>
      <c r="AA1525" s="2">
        <f t="shared" si="764"/>
        <v>14</v>
      </c>
      <c r="AB1525" s="2">
        <v>2472</v>
      </c>
      <c r="AC1525" s="20">
        <f t="shared" si="765"/>
        <v>0.566343042071197</v>
      </c>
      <c r="AD1525" s="2" t="s">
        <v>44</v>
      </c>
      <c r="AE1525" s="2">
        <v>188</v>
      </c>
      <c r="AF1525" s="21">
        <f t="shared" si="766"/>
        <v>0.566343042071197</v>
      </c>
      <c r="AG1525" s="4">
        <f t="shared" si="767"/>
        <v>0.242718446601942</v>
      </c>
      <c r="AH1525" s="4">
        <f t="shared" si="768"/>
        <v>0.242718446601942</v>
      </c>
      <c r="AP1525" s="2">
        <f t="shared" si="769"/>
        <v>0</v>
      </c>
      <c r="AQ1525" s="2">
        <f t="shared" si="770"/>
        <v>0</v>
      </c>
      <c r="AR1525" s="5">
        <f t="shared" si="771"/>
        <v>0</v>
      </c>
    </row>
    <row r="1526" spans="1:44">
      <c r="A1526" s="2">
        <v>20260502</v>
      </c>
      <c r="B1526" s="2" t="s">
        <v>3093</v>
      </c>
      <c r="C1526" s="2" t="s">
        <v>3094</v>
      </c>
      <c r="D1526" s="2">
        <v>0</v>
      </c>
      <c r="E1526" s="2">
        <v>3</v>
      </c>
      <c r="F1526" s="2">
        <v>3</v>
      </c>
      <c r="G1526" s="2">
        <v>0</v>
      </c>
      <c r="H1526" s="2">
        <v>6</v>
      </c>
      <c r="I1526" s="3">
        <v>7</v>
      </c>
      <c r="J1526" s="2">
        <v>18</v>
      </c>
      <c r="K1526" s="2">
        <v>0</v>
      </c>
      <c r="L1526" s="2">
        <v>2</v>
      </c>
      <c r="M1526" s="2">
        <v>4</v>
      </c>
      <c r="N1526" s="2">
        <v>2</v>
      </c>
      <c r="O1526" s="2">
        <v>4</v>
      </c>
      <c r="P1526" s="3">
        <v>4</v>
      </c>
      <c r="Q1526" s="2">
        <v>224</v>
      </c>
      <c r="R1526" s="2">
        <v>3</v>
      </c>
      <c r="S1526" s="2">
        <v>5</v>
      </c>
      <c r="T1526" s="2">
        <v>2</v>
      </c>
      <c r="U1526" s="2">
        <v>0</v>
      </c>
      <c r="V1526" s="2">
        <f t="shared" si="772"/>
        <v>231</v>
      </c>
      <c r="W1526" s="2">
        <v>1</v>
      </c>
      <c r="X1526" s="2">
        <v>3</v>
      </c>
      <c r="Y1526" s="2">
        <v>1</v>
      </c>
      <c r="Z1526" s="2">
        <f t="shared" si="773"/>
        <v>5</v>
      </c>
      <c r="AA1526" s="2">
        <f t="shared" si="764"/>
        <v>43</v>
      </c>
      <c r="AB1526" s="2">
        <v>2582</v>
      </c>
      <c r="AC1526" s="20">
        <f t="shared" si="765"/>
        <v>1.66537567776917</v>
      </c>
      <c r="AD1526" s="2" t="s">
        <v>44</v>
      </c>
      <c r="AE1526" s="2">
        <v>188</v>
      </c>
      <c r="AF1526" s="21">
        <f t="shared" si="766"/>
        <v>1.66537567776917</v>
      </c>
      <c r="AG1526" s="4">
        <f t="shared" si="767"/>
        <v>8.94655305964369</v>
      </c>
      <c r="AH1526" s="4">
        <f t="shared" si="768"/>
        <v>0.193648334624322</v>
      </c>
      <c r="AP1526" s="2">
        <f t="shared" si="769"/>
        <v>0</v>
      </c>
      <c r="AQ1526" s="2">
        <f t="shared" si="770"/>
        <v>0</v>
      </c>
      <c r="AR1526" s="5">
        <f t="shared" si="771"/>
        <v>0</v>
      </c>
    </row>
    <row r="1527" spans="1:44">
      <c r="A1527" s="2">
        <v>20260502</v>
      </c>
      <c r="B1527" s="2" t="s">
        <v>3095</v>
      </c>
      <c r="C1527" s="2" t="s">
        <v>3096</v>
      </c>
      <c r="D1527" s="2">
        <v>0</v>
      </c>
      <c r="E1527" s="2">
        <v>4</v>
      </c>
      <c r="F1527" s="2">
        <v>3</v>
      </c>
      <c r="G1527" s="2">
        <v>3</v>
      </c>
      <c r="H1527" s="2">
        <v>2</v>
      </c>
      <c r="I1527" s="3">
        <v>3</v>
      </c>
      <c r="J1527" s="2">
        <v>2</v>
      </c>
      <c r="K1527" s="2">
        <v>0</v>
      </c>
      <c r="L1527" s="2">
        <v>0</v>
      </c>
      <c r="M1527" s="2">
        <v>0</v>
      </c>
      <c r="N1527" s="2">
        <v>8</v>
      </c>
      <c r="O1527" s="2">
        <v>0</v>
      </c>
      <c r="P1527" s="3">
        <v>3</v>
      </c>
      <c r="Q1527" s="2">
        <v>3</v>
      </c>
      <c r="R1527" s="2">
        <v>169</v>
      </c>
      <c r="S1527" s="2">
        <v>1</v>
      </c>
      <c r="T1527" s="2">
        <v>0</v>
      </c>
      <c r="U1527" s="2">
        <v>0</v>
      </c>
      <c r="V1527" s="2">
        <f t="shared" si="772"/>
        <v>4</v>
      </c>
      <c r="W1527" s="2">
        <v>0</v>
      </c>
      <c r="X1527" s="2">
        <v>2</v>
      </c>
      <c r="Y1527" s="2">
        <v>0</v>
      </c>
      <c r="Z1527" s="2">
        <f t="shared" si="773"/>
        <v>2</v>
      </c>
      <c r="AA1527" s="2">
        <f t="shared" si="764"/>
        <v>13</v>
      </c>
      <c r="AB1527" s="2">
        <v>1624</v>
      </c>
      <c r="AC1527" s="20">
        <f t="shared" si="765"/>
        <v>0.800492610837439</v>
      </c>
      <c r="AD1527" s="2" t="s">
        <v>44</v>
      </c>
      <c r="AE1527" s="2">
        <v>188</v>
      </c>
      <c r="AF1527" s="21">
        <f t="shared" si="766"/>
        <v>0.800492610837439</v>
      </c>
      <c r="AG1527" s="4">
        <f t="shared" si="767"/>
        <v>0.246305418719212</v>
      </c>
      <c r="AH1527" s="4">
        <f t="shared" si="768"/>
        <v>0.123152709359606</v>
      </c>
      <c r="AP1527" s="2">
        <f t="shared" si="769"/>
        <v>0</v>
      </c>
      <c r="AQ1527" s="2">
        <f t="shared" si="770"/>
        <v>0</v>
      </c>
      <c r="AR1527" s="5">
        <f t="shared" si="771"/>
        <v>0</v>
      </c>
    </row>
    <row r="1528" spans="1:44">
      <c r="A1528" s="2">
        <v>20260502</v>
      </c>
      <c r="B1528" s="2" t="s">
        <v>3097</v>
      </c>
      <c r="C1528" s="2" t="s">
        <v>3098</v>
      </c>
      <c r="D1528" s="2">
        <v>2</v>
      </c>
      <c r="E1528" s="2">
        <v>0</v>
      </c>
      <c r="F1528" s="2">
        <v>1</v>
      </c>
      <c r="G1528" s="2">
        <v>2</v>
      </c>
      <c r="H1528" s="2">
        <v>2</v>
      </c>
      <c r="I1528" s="3">
        <v>7</v>
      </c>
      <c r="J1528" s="2">
        <v>6</v>
      </c>
      <c r="K1528" s="2">
        <v>2</v>
      </c>
      <c r="L1528" s="2">
        <v>0</v>
      </c>
      <c r="M1528" s="2">
        <v>5</v>
      </c>
      <c r="N1528" s="2">
        <v>8</v>
      </c>
      <c r="O1528" s="2">
        <v>0</v>
      </c>
      <c r="P1528" s="3">
        <v>6</v>
      </c>
      <c r="Q1528" s="2">
        <v>2</v>
      </c>
      <c r="R1528" s="2">
        <v>172</v>
      </c>
      <c r="S1528" s="2">
        <v>3</v>
      </c>
      <c r="T1528" s="2">
        <v>2</v>
      </c>
      <c r="U1528" s="2">
        <v>0</v>
      </c>
      <c r="V1528" s="2">
        <f t="shared" si="772"/>
        <v>7</v>
      </c>
      <c r="W1528" s="2">
        <v>1</v>
      </c>
      <c r="X1528" s="2">
        <v>5</v>
      </c>
      <c r="Y1528" s="2">
        <v>1</v>
      </c>
      <c r="Z1528" s="2">
        <f t="shared" si="773"/>
        <v>7</v>
      </c>
      <c r="AA1528" s="2">
        <f t="shared" si="764"/>
        <v>32</v>
      </c>
      <c r="AB1528" s="2">
        <v>2955</v>
      </c>
      <c r="AC1528" s="20">
        <f t="shared" si="765"/>
        <v>1.082910321489</v>
      </c>
      <c r="AD1528" s="2" t="s">
        <v>44</v>
      </c>
      <c r="AE1528" s="2">
        <v>188</v>
      </c>
      <c r="AF1528" s="21">
        <f t="shared" si="766"/>
        <v>1.082910321489</v>
      </c>
      <c r="AG1528" s="4">
        <f t="shared" si="767"/>
        <v>0.236886632825719</v>
      </c>
      <c r="AH1528" s="4">
        <f t="shared" si="768"/>
        <v>0.236886632825719</v>
      </c>
      <c r="AP1528" s="2">
        <f t="shared" si="769"/>
        <v>0</v>
      </c>
      <c r="AQ1528" s="2">
        <f t="shared" si="770"/>
        <v>0</v>
      </c>
      <c r="AR1528" s="5">
        <f t="shared" si="771"/>
        <v>0</v>
      </c>
    </row>
    <row r="1529" spans="1:44">
      <c r="A1529" s="2">
        <v>20260502</v>
      </c>
      <c r="B1529" s="2" t="s">
        <v>3099</v>
      </c>
      <c r="C1529" s="2" t="s">
        <v>3100</v>
      </c>
      <c r="D1529" s="2">
        <v>2</v>
      </c>
      <c r="E1529" s="2">
        <v>0</v>
      </c>
      <c r="F1529" s="2">
        <v>3</v>
      </c>
      <c r="G1529" s="2">
        <v>3</v>
      </c>
      <c r="H1529" s="2">
        <v>2</v>
      </c>
      <c r="I1529" s="3">
        <v>2</v>
      </c>
      <c r="J1529" s="2">
        <v>4</v>
      </c>
      <c r="K1529" s="2">
        <v>1</v>
      </c>
      <c r="L1529" s="2">
        <v>0</v>
      </c>
      <c r="M1529" s="2">
        <v>2</v>
      </c>
      <c r="N1529" s="2">
        <v>7</v>
      </c>
      <c r="O1529" s="2">
        <v>6</v>
      </c>
      <c r="P1529" s="3">
        <v>3</v>
      </c>
      <c r="Q1529" s="2">
        <v>1</v>
      </c>
      <c r="R1529" s="2">
        <v>258</v>
      </c>
      <c r="S1529" s="2">
        <v>1</v>
      </c>
      <c r="T1529" s="2">
        <v>0</v>
      </c>
      <c r="U1529" s="2">
        <v>0</v>
      </c>
      <c r="V1529" s="2">
        <f t="shared" si="772"/>
        <v>2</v>
      </c>
      <c r="W1529" s="2">
        <v>2</v>
      </c>
      <c r="X1529" s="2">
        <v>0</v>
      </c>
      <c r="Y1529" s="2">
        <v>0</v>
      </c>
      <c r="Z1529" s="2">
        <f t="shared" si="773"/>
        <v>2</v>
      </c>
      <c r="AA1529" s="2">
        <f t="shared" si="764"/>
        <v>17</v>
      </c>
      <c r="AB1529" s="2">
        <v>2903</v>
      </c>
      <c r="AC1529" s="20">
        <f t="shared" si="765"/>
        <v>0.585601102307957</v>
      </c>
      <c r="AD1529" s="2" t="s">
        <v>58</v>
      </c>
      <c r="AE1529" s="2">
        <v>188</v>
      </c>
      <c r="AF1529" s="21">
        <f t="shared" si="766"/>
        <v>0.585601102307957</v>
      </c>
      <c r="AG1529" s="4">
        <f t="shared" si="767"/>
        <v>0.0688942473303479</v>
      </c>
      <c r="AH1529" s="4">
        <f t="shared" si="768"/>
        <v>0.0688942473303479</v>
      </c>
      <c r="AP1529" s="2">
        <f t="shared" si="769"/>
        <v>0</v>
      </c>
      <c r="AQ1529" s="2">
        <f t="shared" si="770"/>
        <v>0</v>
      </c>
      <c r="AR1529" s="5">
        <f t="shared" si="771"/>
        <v>0</v>
      </c>
    </row>
    <row r="1530" spans="1:44">
      <c r="A1530" s="2">
        <v>20260502</v>
      </c>
      <c r="B1530" s="2" t="s">
        <v>3101</v>
      </c>
      <c r="C1530" s="2" t="s">
        <v>3102</v>
      </c>
      <c r="D1530" s="2">
        <v>0</v>
      </c>
      <c r="E1530" s="2">
        <v>1</v>
      </c>
      <c r="F1530" s="2">
        <v>0</v>
      </c>
      <c r="G1530" s="2">
        <v>1</v>
      </c>
      <c r="H1530" s="2">
        <v>1</v>
      </c>
      <c r="I1530" s="3">
        <v>9</v>
      </c>
      <c r="J1530" s="2">
        <v>4</v>
      </c>
      <c r="K1530" s="2">
        <v>0</v>
      </c>
      <c r="L1530" s="2">
        <v>0</v>
      </c>
      <c r="M1530" s="2">
        <v>0</v>
      </c>
      <c r="N1530" s="2">
        <v>0</v>
      </c>
      <c r="O1530" s="2">
        <v>0</v>
      </c>
      <c r="P1530" s="3">
        <v>2</v>
      </c>
      <c r="Q1530" s="2">
        <v>0</v>
      </c>
      <c r="R1530" s="2">
        <v>154</v>
      </c>
      <c r="S1530" s="2">
        <v>0</v>
      </c>
      <c r="T1530" s="2">
        <v>1</v>
      </c>
      <c r="U1530" s="2">
        <v>0</v>
      </c>
      <c r="V1530" s="2">
        <f t="shared" si="772"/>
        <v>1</v>
      </c>
      <c r="W1530" s="2">
        <v>4</v>
      </c>
      <c r="X1530" s="2">
        <v>6</v>
      </c>
      <c r="Y1530" s="2">
        <v>0</v>
      </c>
      <c r="Z1530" s="2">
        <f t="shared" si="763"/>
        <v>10</v>
      </c>
      <c r="AA1530" s="2">
        <f t="shared" si="764"/>
        <v>18</v>
      </c>
      <c r="AB1530" s="2">
        <v>1988</v>
      </c>
      <c r="AC1530" s="20">
        <f t="shared" si="765"/>
        <v>0.905432595573441</v>
      </c>
      <c r="AD1530" s="2" t="s">
        <v>49</v>
      </c>
      <c r="AE1530" s="2">
        <v>188</v>
      </c>
      <c r="AF1530" s="21">
        <f t="shared" si="766"/>
        <v>0.905432595573441</v>
      </c>
      <c r="AG1530" s="4">
        <f t="shared" si="767"/>
        <v>0.0503018108651912</v>
      </c>
      <c r="AH1530" s="4">
        <f t="shared" si="768"/>
        <v>0.503018108651911</v>
      </c>
      <c r="AP1530" s="2">
        <f t="shared" si="769"/>
        <v>0</v>
      </c>
      <c r="AQ1530" s="2">
        <f t="shared" si="770"/>
        <v>0</v>
      </c>
      <c r="AR1530" s="5">
        <f t="shared" si="771"/>
        <v>0</v>
      </c>
    </row>
    <row r="1531" spans="1:44">
      <c r="A1531" s="2">
        <v>20260502</v>
      </c>
      <c r="B1531" s="2" t="s">
        <v>3103</v>
      </c>
      <c r="C1531" s="2" t="s">
        <v>3104</v>
      </c>
      <c r="D1531" s="2">
        <v>1</v>
      </c>
      <c r="E1531" s="2">
        <v>18</v>
      </c>
      <c r="F1531" s="2">
        <v>1</v>
      </c>
      <c r="G1531" s="2">
        <v>3</v>
      </c>
      <c r="H1531" s="2">
        <v>2</v>
      </c>
      <c r="I1531" s="3">
        <v>4</v>
      </c>
      <c r="J1531" s="2">
        <v>6</v>
      </c>
      <c r="K1531" s="2">
        <v>0</v>
      </c>
      <c r="L1531" s="2">
        <v>0</v>
      </c>
      <c r="M1531" s="2">
        <v>13</v>
      </c>
      <c r="N1531" s="2">
        <v>16</v>
      </c>
      <c r="O1531" s="2">
        <v>0</v>
      </c>
      <c r="P1531" s="3">
        <v>6</v>
      </c>
      <c r="Q1531" s="2">
        <v>5</v>
      </c>
      <c r="R1531" s="2">
        <v>194</v>
      </c>
      <c r="S1531" s="2">
        <v>1</v>
      </c>
      <c r="T1531" s="2">
        <v>1</v>
      </c>
      <c r="U1531" s="2">
        <v>0</v>
      </c>
      <c r="V1531" s="2">
        <f t="shared" si="772"/>
        <v>7</v>
      </c>
      <c r="W1531" s="2">
        <v>3</v>
      </c>
      <c r="X1531" s="2">
        <v>0</v>
      </c>
      <c r="Y1531" s="2">
        <v>0</v>
      </c>
      <c r="Z1531" s="2">
        <f t="shared" si="763"/>
        <v>3</v>
      </c>
      <c r="AA1531" s="2">
        <f t="shared" si="764"/>
        <v>35</v>
      </c>
      <c r="AB1531" s="2">
        <v>2463</v>
      </c>
      <c r="AC1531" s="20">
        <f t="shared" si="765"/>
        <v>1.42103126268778</v>
      </c>
      <c r="AD1531" s="2" t="s">
        <v>49</v>
      </c>
      <c r="AE1531" s="2">
        <v>188</v>
      </c>
      <c r="AF1531" s="21">
        <f t="shared" si="766"/>
        <v>1.42103126268778</v>
      </c>
      <c r="AG1531" s="4">
        <f t="shared" si="767"/>
        <v>0.284206252537556</v>
      </c>
      <c r="AH1531" s="4">
        <f t="shared" si="768"/>
        <v>0.121802679658952</v>
      </c>
      <c r="AP1531" s="2">
        <f t="shared" si="769"/>
        <v>0</v>
      </c>
      <c r="AQ1531" s="2">
        <f t="shared" si="770"/>
        <v>0</v>
      </c>
      <c r="AR1531" s="5">
        <f t="shared" si="771"/>
        <v>0</v>
      </c>
    </row>
    <row r="1532" spans="1:44">
      <c r="A1532" s="2">
        <v>20260502</v>
      </c>
      <c r="B1532" s="2" t="s">
        <v>3105</v>
      </c>
      <c r="C1532" s="2" t="s">
        <v>3106</v>
      </c>
      <c r="D1532" s="2">
        <v>0</v>
      </c>
      <c r="E1532" s="2">
        <v>0</v>
      </c>
      <c r="F1532" s="2">
        <v>0</v>
      </c>
      <c r="G1532" s="2">
        <v>3</v>
      </c>
      <c r="H1532" s="2">
        <v>2</v>
      </c>
      <c r="I1532" s="3">
        <v>7</v>
      </c>
      <c r="J1532" s="2">
        <v>5</v>
      </c>
      <c r="K1532" s="2">
        <v>2</v>
      </c>
      <c r="L1532" s="2">
        <v>0</v>
      </c>
      <c r="M1532" s="2">
        <v>1</v>
      </c>
      <c r="N1532" s="2">
        <v>2</v>
      </c>
      <c r="O1532" s="2">
        <v>0</v>
      </c>
      <c r="P1532" s="3">
        <v>1</v>
      </c>
      <c r="Q1532" s="2">
        <v>0</v>
      </c>
      <c r="R1532" s="2">
        <v>98</v>
      </c>
      <c r="S1532" s="2">
        <v>2</v>
      </c>
      <c r="T1532" s="2">
        <v>2</v>
      </c>
      <c r="U1532" s="2">
        <v>0</v>
      </c>
      <c r="V1532" s="2">
        <f t="shared" si="772"/>
        <v>4</v>
      </c>
      <c r="W1532" s="2">
        <v>8</v>
      </c>
      <c r="X1532" s="2">
        <v>5</v>
      </c>
      <c r="Y1532" s="2">
        <v>0</v>
      </c>
      <c r="Z1532" s="2">
        <f t="shared" si="763"/>
        <v>13</v>
      </c>
      <c r="AA1532" s="2">
        <f t="shared" si="764"/>
        <v>23</v>
      </c>
      <c r="AB1532" s="2">
        <v>2074</v>
      </c>
      <c r="AC1532" s="20">
        <f t="shared" si="765"/>
        <v>1.10896817743491</v>
      </c>
      <c r="AD1532" s="2" t="s">
        <v>49</v>
      </c>
      <c r="AE1532" s="2">
        <v>188</v>
      </c>
      <c r="AF1532" s="21">
        <f t="shared" si="766"/>
        <v>1.10896817743491</v>
      </c>
      <c r="AG1532" s="4">
        <f t="shared" si="767"/>
        <v>0.192864030858245</v>
      </c>
      <c r="AH1532" s="4">
        <f t="shared" si="768"/>
        <v>0.626808100289296</v>
      </c>
      <c r="AP1532" s="2">
        <f t="shared" si="769"/>
        <v>0</v>
      </c>
      <c r="AQ1532" s="2">
        <f t="shared" si="770"/>
        <v>0</v>
      </c>
      <c r="AR1532" s="5">
        <f t="shared" si="771"/>
        <v>0</v>
      </c>
    </row>
    <row r="1533" spans="1:44">
      <c r="A1533" s="2">
        <v>20260502</v>
      </c>
      <c r="B1533" s="2" t="s">
        <v>3107</v>
      </c>
      <c r="C1533" s="2" t="s">
        <v>3108</v>
      </c>
      <c r="D1533" s="2">
        <v>0</v>
      </c>
      <c r="E1533" s="2">
        <v>1</v>
      </c>
      <c r="F1533" s="2">
        <v>1</v>
      </c>
      <c r="G1533" s="2">
        <v>4</v>
      </c>
      <c r="H1533" s="2">
        <v>4</v>
      </c>
      <c r="I1533" s="3">
        <v>5</v>
      </c>
      <c r="J1533" s="2">
        <v>8</v>
      </c>
      <c r="K1533" s="2">
        <v>0</v>
      </c>
      <c r="L1533" s="2">
        <v>0</v>
      </c>
      <c r="M1533" s="2">
        <v>1</v>
      </c>
      <c r="N1533" s="2">
        <v>4</v>
      </c>
      <c r="O1533" s="2">
        <v>2</v>
      </c>
      <c r="P1533" s="3">
        <v>1</v>
      </c>
      <c r="Q1533" s="2">
        <v>2</v>
      </c>
      <c r="R1533" s="2">
        <v>63</v>
      </c>
      <c r="S1533" s="2">
        <v>1</v>
      </c>
      <c r="T1533" s="2">
        <v>4</v>
      </c>
      <c r="U1533" s="2">
        <v>0</v>
      </c>
      <c r="V1533" s="2">
        <f t="shared" si="772"/>
        <v>7</v>
      </c>
      <c r="W1533" s="2">
        <v>4</v>
      </c>
      <c r="X1533" s="2">
        <v>2</v>
      </c>
      <c r="Y1533" s="2">
        <v>0</v>
      </c>
      <c r="Z1533" s="2">
        <f t="shared" si="763"/>
        <v>6</v>
      </c>
      <c r="AA1533" s="2">
        <f t="shared" si="764"/>
        <v>27</v>
      </c>
      <c r="AB1533" s="2">
        <v>2234</v>
      </c>
      <c r="AC1533" s="20">
        <f t="shared" si="765"/>
        <v>1.20859444941808</v>
      </c>
      <c r="AD1533" s="2" t="s">
        <v>49</v>
      </c>
      <c r="AE1533" s="2">
        <v>188</v>
      </c>
      <c r="AF1533" s="21">
        <f t="shared" si="766"/>
        <v>1.20859444941808</v>
      </c>
      <c r="AG1533" s="4">
        <f t="shared" si="767"/>
        <v>0.313339301700985</v>
      </c>
      <c r="AH1533" s="4">
        <f t="shared" si="768"/>
        <v>0.26857654431513</v>
      </c>
      <c r="AP1533" s="2">
        <f t="shared" si="769"/>
        <v>0</v>
      </c>
      <c r="AQ1533" s="2">
        <f t="shared" si="770"/>
        <v>0</v>
      </c>
      <c r="AR1533" s="5">
        <f t="shared" si="771"/>
        <v>0</v>
      </c>
    </row>
    <row r="1534" spans="1:44">
      <c r="A1534" s="2">
        <v>20260502</v>
      </c>
      <c r="B1534" s="2" t="s">
        <v>3109</v>
      </c>
      <c r="C1534" s="2" t="s">
        <v>3110</v>
      </c>
      <c r="D1534" s="2">
        <v>0</v>
      </c>
      <c r="E1534" s="2">
        <v>2</v>
      </c>
      <c r="F1534" s="2">
        <v>3</v>
      </c>
      <c r="G1534" s="2">
        <v>4</v>
      </c>
      <c r="H1534" s="2">
        <v>1</v>
      </c>
      <c r="I1534" s="3">
        <v>6</v>
      </c>
      <c r="J1534" s="2">
        <v>8</v>
      </c>
      <c r="K1534" s="2">
        <v>1</v>
      </c>
      <c r="L1534" s="2">
        <v>0</v>
      </c>
      <c r="M1534" s="2">
        <v>1</v>
      </c>
      <c r="N1534" s="2">
        <v>12</v>
      </c>
      <c r="O1534" s="2">
        <v>0</v>
      </c>
      <c r="P1534" s="3">
        <v>3</v>
      </c>
      <c r="Q1534" s="2">
        <v>2</v>
      </c>
      <c r="R1534" s="2">
        <v>57</v>
      </c>
      <c r="S1534" s="2">
        <v>1</v>
      </c>
      <c r="T1534" s="2">
        <v>4</v>
      </c>
      <c r="U1534" s="2">
        <v>2</v>
      </c>
      <c r="V1534" s="2">
        <f t="shared" si="772"/>
        <v>9</v>
      </c>
      <c r="W1534" s="2">
        <v>3</v>
      </c>
      <c r="X1534" s="2">
        <v>4</v>
      </c>
      <c r="Y1534" s="2">
        <v>0</v>
      </c>
      <c r="Z1534" s="2">
        <f t="shared" si="763"/>
        <v>9</v>
      </c>
      <c r="AA1534" s="2">
        <f t="shared" si="764"/>
        <v>30</v>
      </c>
      <c r="AB1534" s="2">
        <v>1945</v>
      </c>
      <c r="AC1534" s="20">
        <f t="shared" si="765"/>
        <v>1.54241645244216</v>
      </c>
      <c r="AD1534" s="2" t="s">
        <v>49</v>
      </c>
      <c r="AE1534" s="2">
        <v>188</v>
      </c>
      <c r="AF1534" s="21">
        <f t="shared" si="766"/>
        <v>1.54241645244216</v>
      </c>
      <c r="AG1534" s="4">
        <f t="shared" si="767"/>
        <v>0.462724935732648</v>
      </c>
      <c r="AH1534" s="4">
        <f t="shared" si="768"/>
        <v>0.462724935732648</v>
      </c>
      <c r="AP1534" s="2">
        <f t="shared" si="769"/>
        <v>0</v>
      </c>
      <c r="AQ1534" s="2">
        <f t="shared" si="770"/>
        <v>0</v>
      </c>
      <c r="AR1534" s="5">
        <f t="shared" si="771"/>
        <v>0</v>
      </c>
    </row>
    <row r="1535" spans="1:44">
      <c r="A1535" s="2">
        <v>20260502</v>
      </c>
      <c r="B1535" s="2" t="s">
        <v>3111</v>
      </c>
      <c r="C1535" s="2" t="s">
        <v>3112</v>
      </c>
      <c r="D1535" s="2">
        <v>0</v>
      </c>
      <c r="E1535" s="2">
        <v>0</v>
      </c>
      <c r="F1535" s="2">
        <v>1</v>
      </c>
      <c r="G1535" s="2">
        <v>4</v>
      </c>
      <c r="H1535" s="2">
        <v>4</v>
      </c>
      <c r="I1535" s="3">
        <v>5</v>
      </c>
      <c r="J1535" s="2">
        <v>5</v>
      </c>
      <c r="K1535" s="2">
        <v>3</v>
      </c>
      <c r="L1535" s="2">
        <v>0</v>
      </c>
      <c r="M1535" s="2">
        <v>0</v>
      </c>
      <c r="N1535" s="2">
        <v>7</v>
      </c>
      <c r="O1535" s="2">
        <v>1</v>
      </c>
      <c r="P1535" s="3">
        <v>2</v>
      </c>
      <c r="Q1535" s="2">
        <v>0</v>
      </c>
      <c r="R1535" s="2">
        <v>85</v>
      </c>
      <c r="S1535" s="2">
        <v>1</v>
      </c>
      <c r="T1535" s="2">
        <v>1</v>
      </c>
      <c r="U1535" s="2">
        <v>0</v>
      </c>
      <c r="V1535" s="2">
        <f t="shared" si="772"/>
        <v>2</v>
      </c>
      <c r="W1535" s="2">
        <v>8</v>
      </c>
      <c r="X1535" s="2">
        <v>4</v>
      </c>
      <c r="Y1535" s="2">
        <v>0</v>
      </c>
      <c r="Z1535" s="2">
        <f t="shared" si="763"/>
        <v>12</v>
      </c>
      <c r="AA1535" s="2">
        <f t="shared" si="764"/>
        <v>24</v>
      </c>
      <c r="AB1535" s="2">
        <v>2234</v>
      </c>
      <c r="AC1535" s="20">
        <f t="shared" si="765"/>
        <v>1.07430617726052</v>
      </c>
      <c r="AD1535" s="2" t="s">
        <v>49</v>
      </c>
      <c r="AE1535" s="2">
        <v>188</v>
      </c>
      <c r="AF1535" s="21">
        <f t="shared" si="766"/>
        <v>1.07430617726052</v>
      </c>
      <c r="AG1535" s="4">
        <f t="shared" si="767"/>
        <v>0.0895255147717099</v>
      </c>
      <c r="AH1535" s="4">
        <f t="shared" si="768"/>
        <v>0.53715308863026</v>
      </c>
      <c r="AP1535" s="2">
        <f t="shared" si="769"/>
        <v>0</v>
      </c>
      <c r="AQ1535" s="2">
        <f t="shared" si="770"/>
        <v>0</v>
      </c>
      <c r="AR1535" s="5">
        <f t="shared" si="771"/>
        <v>0</v>
      </c>
    </row>
    <row r="1536" spans="1:44">
      <c r="A1536" s="2">
        <v>20260502</v>
      </c>
      <c r="B1536" s="2" t="s">
        <v>3113</v>
      </c>
      <c r="C1536" s="2" t="s">
        <v>3114</v>
      </c>
      <c r="D1536" s="2">
        <v>0</v>
      </c>
      <c r="E1536" s="2">
        <v>0</v>
      </c>
      <c r="F1536" s="2">
        <v>5</v>
      </c>
      <c r="G1536" s="2">
        <v>1</v>
      </c>
      <c r="H1536" s="2">
        <v>3</v>
      </c>
      <c r="I1536" s="3">
        <v>1</v>
      </c>
      <c r="J1536" s="2">
        <v>14</v>
      </c>
      <c r="K1536" s="2">
        <v>0</v>
      </c>
      <c r="L1536" s="2">
        <v>0</v>
      </c>
      <c r="M1536" s="2">
        <v>1</v>
      </c>
      <c r="N1536" s="2">
        <v>1</v>
      </c>
      <c r="O1536" s="2">
        <v>0</v>
      </c>
      <c r="P1536" s="3">
        <v>1</v>
      </c>
      <c r="Q1536" s="2">
        <v>0</v>
      </c>
      <c r="R1536" s="2">
        <v>13</v>
      </c>
      <c r="S1536" s="2">
        <v>1</v>
      </c>
      <c r="T1536" s="2">
        <v>2</v>
      </c>
      <c r="U1536" s="2">
        <v>0</v>
      </c>
      <c r="V1536" s="2">
        <f t="shared" si="772"/>
        <v>3</v>
      </c>
      <c r="W1536" s="2">
        <v>4</v>
      </c>
      <c r="X1536" s="2">
        <v>1</v>
      </c>
      <c r="Y1536" s="2">
        <v>0</v>
      </c>
      <c r="Z1536" s="2">
        <f t="shared" si="763"/>
        <v>5</v>
      </c>
      <c r="AA1536" s="2">
        <f t="shared" si="764"/>
        <v>23</v>
      </c>
      <c r="AB1536" s="2">
        <v>2233</v>
      </c>
      <c r="AC1536" s="20">
        <f t="shared" si="765"/>
        <v>1.03000447828034</v>
      </c>
      <c r="AD1536" s="2" t="s">
        <v>49</v>
      </c>
      <c r="AE1536" s="2">
        <v>188</v>
      </c>
      <c r="AF1536" s="21">
        <f t="shared" si="766"/>
        <v>1.03000447828034</v>
      </c>
      <c r="AG1536" s="4">
        <f t="shared" si="767"/>
        <v>0.134348410210479</v>
      </c>
      <c r="AH1536" s="4">
        <f t="shared" si="768"/>
        <v>0.223914017017465</v>
      </c>
      <c r="AP1536" s="2">
        <f t="shared" si="769"/>
        <v>0</v>
      </c>
      <c r="AQ1536" s="2">
        <f t="shared" si="770"/>
        <v>0</v>
      </c>
      <c r="AR1536" s="5">
        <f t="shared" si="771"/>
        <v>0</v>
      </c>
    </row>
    <row r="1537" spans="1:44">
      <c r="A1537" s="2">
        <v>20260502</v>
      </c>
      <c r="B1537" s="2" t="s">
        <v>3115</v>
      </c>
      <c r="C1537" s="2" t="s">
        <v>3116</v>
      </c>
      <c r="D1537" s="2">
        <v>0</v>
      </c>
      <c r="E1537" s="2">
        <v>1</v>
      </c>
      <c r="F1537" s="2">
        <v>1</v>
      </c>
      <c r="G1537" s="2">
        <v>1</v>
      </c>
      <c r="H1537" s="2">
        <v>1</v>
      </c>
      <c r="I1537" s="3">
        <v>5</v>
      </c>
      <c r="J1537" s="2">
        <v>9</v>
      </c>
      <c r="K1537" s="2">
        <v>0</v>
      </c>
      <c r="L1537" s="2">
        <v>0</v>
      </c>
      <c r="M1537" s="2">
        <v>0</v>
      </c>
      <c r="N1537" s="2">
        <v>9</v>
      </c>
      <c r="O1537" s="2">
        <v>6</v>
      </c>
      <c r="P1537" s="3">
        <v>1</v>
      </c>
      <c r="Q1537" s="2">
        <v>1</v>
      </c>
      <c r="R1537" s="2">
        <v>26</v>
      </c>
      <c r="S1537" s="2">
        <v>0</v>
      </c>
      <c r="T1537" s="2">
        <v>1</v>
      </c>
      <c r="U1537" s="2">
        <v>0</v>
      </c>
      <c r="V1537" s="2">
        <f t="shared" si="772"/>
        <v>2</v>
      </c>
      <c r="W1537" s="2">
        <v>10</v>
      </c>
      <c r="X1537" s="2">
        <v>2</v>
      </c>
      <c r="Y1537" s="2">
        <v>0</v>
      </c>
      <c r="Z1537" s="2">
        <f t="shared" si="763"/>
        <v>12</v>
      </c>
      <c r="AA1537" s="2">
        <f t="shared" si="764"/>
        <v>18</v>
      </c>
      <c r="AB1537" s="2">
        <v>2233</v>
      </c>
      <c r="AC1537" s="20">
        <f t="shared" si="765"/>
        <v>0.806090461262875</v>
      </c>
      <c r="AD1537" s="2" t="s">
        <v>49</v>
      </c>
      <c r="AE1537" s="2">
        <v>188</v>
      </c>
      <c r="AF1537" s="21">
        <f t="shared" si="766"/>
        <v>0.806090461262875</v>
      </c>
      <c r="AG1537" s="4">
        <f t="shared" si="767"/>
        <v>0.0895656068069861</v>
      </c>
      <c r="AH1537" s="4">
        <f t="shared" si="768"/>
        <v>0.537393640841917</v>
      </c>
      <c r="AP1537" s="2">
        <f t="shared" si="769"/>
        <v>0</v>
      </c>
      <c r="AQ1537" s="2">
        <f t="shared" si="770"/>
        <v>0</v>
      </c>
      <c r="AR1537" s="5">
        <f t="shared" si="771"/>
        <v>0</v>
      </c>
    </row>
    <row r="1538" spans="1:44">
      <c r="A1538" s="2">
        <v>20260502</v>
      </c>
      <c r="B1538" s="2" t="s">
        <v>3117</v>
      </c>
      <c r="C1538" s="2" t="s">
        <v>3118</v>
      </c>
      <c r="D1538" s="2">
        <v>7</v>
      </c>
      <c r="E1538" s="2">
        <v>1</v>
      </c>
      <c r="F1538" s="2">
        <v>15</v>
      </c>
      <c r="G1538" s="2">
        <v>5</v>
      </c>
      <c r="H1538" s="2">
        <v>21</v>
      </c>
      <c r="I1538" s="3">
        <v>18</v>
      </c>
      <c r="J1538" s="2">
        <v>19</v>
      </c>
      <c r="K1538" s="2">
        <v>31</v>
      </c>
      <c r="L1538" s="2">
        <v>0</v>
      </c>
      <c r="M1538" s="2">
        <v>2</v>
      </c>
      <c r="N1538" s="2">
        <v>8</v>
      </c>
      <c r="O1538" s="2">
        <v>37</v>
      </c>
      <c r="P1538" s="3">
        <v>18</v>
      </c>
      <c r="Q1538" s="2">
        <v>11</v>
      </c>
      <c r="R1538" s="2">
        <v>58</v>
      </c>
      <c r="S1538" s="2">
        <v>1</v>
      </c>
      <c r="T1538" s="2">
        <v>10</v>
      </c>
      <c r="U1538" s="2">
        <v>1</v>
      </c>
      <c r="V1538" s="2">
        <f t="shared" si="772"/>
        <v>23</v>
      </c>
      <c r="W1538" s="2">
        <v>6</v>
      </c>
      <c r="X1538" s="2">
        <v>25</v>
      </c>
      <c r="Y1538" s="2">
        <v>0</v>
      </c>
      <c r="Z1538" s="2">
        <f t="shared" si="763"/>
        <v>32</v>
      </c>
      <c r="AA1538" s="2">
        <f t="shared" si="764"/>
        <v>125</v>
      </c>
      <c r="AB1538" s="2">
        <v>2512</v>
      </c>
      <c r="AC1538" s="20">
        <f t="shared" si="765"/>
        <v>4.97611464968153</v>
      </c>
      <c r="AD1538" s="2" t="s">
        <v>49</v>
      </c>
      <c r="AE1538" s="2">
        <v>188</v>
      </c>
      <c r="AF1538" s="21">
        <f t="shared" si="766"/>
        <v>4.97611464968153</v>
      </c>
      <c r="AG1538" s="4">
        <f t="shared" si="767"/>
        <v>0.915605095541401</v>
      </c>
      <c r="AH1538" s="4">
        <f t="shared" si="768"/>
        <v>1.27388535031847</v>
      </c>
      <c r="AP1538" s="2">
        <f t="shared" si="769"/>
        <v>0</v>
      </c>
      <c r="AQ1538" s="2">
        <f t="shared" si="770"/>
        <v>0</v>
      </c>
      <c r="AR1538" s="5">
        <f t="shared" si="771"/>
        <v>0</v>
      </c>
    </row>
    <row r="1539" spans="1:44">
      <c r="A1539" s="2">
        <v>20260502</v>
      </c>
      <c r="B1539" s="2" t="s">
        <v>3119</v>
      </c>
      <c r="C1539" s="2" t="s">
        <v>3120</v>
      </c>
      <c r="D1539" s="2">
        <v>3</v>
      </c>
      <c r="E1539" s="2">
        <v>1</v>
      </c>
      <c r="F1539" s="2">
        <v>0</v>
      </c>
      <c r="G1539" s="2">
        <v>0</v>
      </c>
      <c r="H1539" s="2">
        <v>4</v>
      </c>
      <c r="I1539" s="3">
        <v>10</v>
      </c>
      <c r="J1539" s="2">
        <v>5</v>
      </c>
      <c r="K1539" s="2">
        <v>0</v>
      </c>
      <c r="L1539" s="2">
        <v>0</v>
      </c>
      <c r="M1539" s="2">
        <v>1</v>
      </c>
      <c r="N1539" s="2">
        <v>4</v>
      </c>
      <c r="O1539" s="2">
        <v>3</v>
      </c>
      <c r="P1539" s="3">
        <v>0</v>
      </c>
      <c r="Q1539" s="2">
        <v>1</v>
      </c>
      <c r="R1539" s="2">
        <v>42</v>
      </c>
      <c r="S1539" s="2">
        <v>0</v>
      </c>
      <c r="T1539" s="2">
        <v>2</v>
      </c>
      <c r="U1539" s="2">
        <v>0</v>
      </c>
      <c r="V1539" s="2">
        <f t="shared" si="772"/>
        <v>3</v>
      </c>
      <c r="W1539" s="2">
        <v>1</v>
      </c>
      <c r="X1539" s="2">
        <v>10</v>
      </c>
      <c r="Y1539" s="2">
        <v>0</v>
      </c>
      <c r="Z1539" s="2">
        <f t="shared" si="763"/>
        <v>11</v>
      </c>
      <c r="AA1539" s="2">
        <f t="shared" si="764"/>
        <v>22</v>
      </c>
      <c r="AB1539" s="2">
        <v>2233</v>
      </c>
      <c r="AC1539" s="20">
        <f t="shared" si="765"/>
        <v>0.985221674876847</v>
      </c>
      <c r="AD1539" s="2" t="s">
        <v>49</v>
      </c>
      <c r="AE1539" s="2">
        <v>188</v>
      </c>
      <c r="AF1539" s="21">
        <f t="shared" si="766"/>
        <v>0.985221674876847</v>
      </c>
      <c r="AG1539" s="4">
        <f t="shared" si="767"/>
        <v>0.134348410210479</v>
      </c>
      <c r="AH1539" s="4">
        <f t="shared" si="768"/>
        <v>0.492610837438424</v>
      </c>
      <c r="AP1539" s="2">
        <f t="shared" si="769"/>
        <v>0</v>
      </c>
      <c r="AQ1539" s="2">
        <f t="shared" si="770"/>
        <v>0</v>
      </c>
      <c r="AR1539" s="5">
        <f t="shared" si="771"/>
        <v>0</v>
      </c>
    </row>
    <row r="1540" spans="1:44">
      <c r="A1540" s="2">
        <v>20260502</v>
      </c>
      <c r="B1540" s="2" t="s">
        <v>3121</v>
      </c>
      <c r="C1540" s="2" t="s">
        <v>3122</v>
      </c>
      <c r="D1540" s="2">
        <v>1</v>
      </c>
      <c r="E1540" s="2">
        <v>0</v>
      </c>
      <c r="F1540" s="2">
        <v>1</v>
      </c>
      <c r="G1540" s="2">
        <v>2</v>
      </c>
      <c r="H1540" s="2">
        <v>0</v>
      </c>
      <c r="I1540" s="3">
        <v>6</v>
      </c>
      <c r="J1540" s="2">
        <v>8</v>
      </c>
      <c r="K1540" s="2">
        <v>0</v>
      </c>
      <c r="L1540" s="2">
        <v>0</v>
      </c>
      <c r="M1540" s="2">
        <v>2</v>
      </c>
      <c r="N1540" s="2">
        <v>0</v>
      </c>
      <c r="O1540" s="2">
        <v>3</v>
      </c>
      <c r="P1540" s="3">
        <v>2</v>
      </c>
      <c r="Q1540" s="2">
        <v>0</v>
      </c>
      <c r="R1540" s="2">
        <v>45</v>
      </c>
      <c r="S1540" s="2">
        <v>0</v>
      </c>
      <c r="T1540" s="2">
        <v>0</v>
      </c>
      <c r="U1540" s="2">
        <v>0</v>
      </c>
      <c r="V1540" s="2">
        <f t="shared" si="772"/>
        <v>0</v>
      </c>
      <c r="W1540" s="2">
        <v>4</v>
      </c>
      <c r="X1540" s="2">
        <v>4</v>
      </c>
      <c r="Y1540" s="2">
        <v>0</v>
      </c>
      <c r="Z1540" s="2">
        <f t="shared" si="763"/>
        <v>8</v>
      </c>
      <c r="AA1540" s="2">
        <f t="shared" si="764"/>
        <v>20</v>
      </c>
      <c r="AB1540" s="2">
        <v>2287</v>
      </c>
      <c r="AC1540" s="20">
        <f t="shared" si="765"/>
        <v>0.874508089199825</v>
      </c>
      <c r="AD1540" s="2" t="s">
        <v>49</v>
      </c>
      <c r="AE1540" s="2">
        <v>188</v>
      </c>
      <c r="AF1540" s="21">
        <f t="shared" si="766"/>
        <v>0.874508089199825</v>
      </c>
      <c r="AG1540" s="4">
        <f t="shared" si="767"/>
        <v>0</v>
      </c>
      <c r="AH1540" s="4">
        <f t="shared" si="768"/>
        <v>0.34980323567993</v>
      </c>
      <c r="AP1540" s="2">
        <f t="shared" si="769"/>
        <v>0</v>
      </c>
      <c r="AQ1540" s="2">
        <f t="shared" si="770"/>
        <v>0</v>
      </c>
      <c r="AR1540" s="5">
        <f t="shared" si="771"/>
        <v>0</v>
      </c>
    </row>
    <row r="1541" spans="1:44">
      <c r="A1541" s="2">
        <v>20260503</v>
      </c>
      <c r="B1541" s="2" t="s">
        <v>3123</v>
      </c>
      <c r="C1541" s="2" t="s">
        <v>3124</v>
      </c>
      <c r="D1541" s="2">
        <v>1</v>
      </c>
      <c r="E1541" s="2">
        <v>10</v>
      </c>
      <c r="F1541" s="2">
        <v>8</v>
      </c>
      <c r="G1541" s="2">
        <v>1</v>
      </c>
      <c r="H1541" s="2">
        <v>5</v>
      </c>
      <c r="I1541" s="3">
        <v>18</v>
      </c>
      <c r="J1541" s="2">
        <v>10</v>
      </c>
      <c r="K1541" s="2">
        <v>0</v>
      </c>
      <c r="L1541" s="2">
        <v>0</v>
      </c>
      <c r="M1541" s="2">
        <v>4</v>
      </c>
      <c r="N1541" s="2">
        <v>4</v>
      </c>
      <c r="O1541" s="2">
        <v>47</v>
      </c>
      <c r="P1541" s="3">
        <v>2</v>
      </c>
      <c r="Q1541" s="2">
        <v>1</v>
      </c>
      <c r="R1541" s="2">
        <v>73</v>
      </c>
      <c r="S1541" s="2">
        <v>0</v>
      </c>
      <c r="T1541" s="2">
        <v>10</v>
      </c>
      <c r="U1541" s="2">
        <v>0</v>
      </c>
      <c r="V1541" s="2">
        <f t="shared" si="772"/>
        <v>11</v>
      </c>
      <c r="W1541" s="2">
        <v>2</v>
      </c>
      <c r="X1541" s="2">
        <v>1</v>
      </c>
      <c r="Y1541" s="2">
        <v>0</v>
      </c>
      <c r="Z1541" s="2">
        <f t="shared" ref="Z1541:Z1562" si="774">Y1541+X1541+W1541+U1541</f>
        <v>3</v>
      </c>
      <c r="AA1541" s="2">
        <f t="shared" ref="AA1541:AA1562" si="775">G1541+H1541+I1541+J1541+K1541+L1541+M1541+P1541+T1541+U1541</f>
        <v>50</v>
      </c>
      <c r="AB1541" s="2">
        <v>1835</v>
      </c>
      <c r="AC1541" s="20">
        <f t="shared" ref="AC1541:AC1562" si="776">AA1541/AB1541*100</f>
        <v>2.72479564032698</v>
      </c>
      <c r="AD1541" s="2" t="s">
        <v>49</v>
      </c>
      <c r="AE1541" s="2">
        <v>188</v>
      </c>
      <c r="AF1541" s="21">
        <f t="shared" ref="AF1541:AF1562" si="777">188/AE1541*AC1541</f>
        <v>2.72479564032698</v>
      </c>
      <c r="AG1541" s="4">
        <f t="shared" ref="AG1541:AG1562" si="778">V1541/AB1541*100</f>
        <v>0.599455040871935</v>
      </c>
      <c r="AH1541" s="4">
        <f t="shared" ref="AH1541:AH1562" si="779">Z1541/AB1541*100</f>
        <v>0.163487738419619</v>
      </c>
      <c r="AP1541" s="2">
        <f t="shared" si="769"/>
        <v>0</v>
      </c>
      <c r="AQ1541" s="2">
        <f t="shared" si="770"/>
        <v>0</v>
      </c>
      <c r="AR1541" s="5">
        <f t="shared" si="771"/>
        <v>0</v>
      </c>
    </row>
    <row r="1542" spans="1:44">
      <c r="A1542" s="2">
        <v>20260503</v>
      </c>
      <c r="B1542" s="2" t="s">
        <v>3125</v>
      </c>
      <c r="C1542" s="2" t="s">
        <v>3126</v>
      </c>
      <c r="D1542" s="2">
        <v>6</v>
      </c>
      <c r="E1542" s="2">
        <v>4</v>
      </c>
      <c r="F1542" s="2">
        <v>15</v>
      </c>
      <c r="G1542" s="2">
        <v>3</v>
      </c>
      <c r="H1542" s="2">
        <v>10</v>
      </c>
      <c r="I1542" s="3">
        <v>7</v>
      </c>
      <c r="J1542" s="2">
        <v>8</v>
      </c>
      <c r="K1542" s="2">
        <v>10</v>
      </c>
      <c r="L1542" s="2">
        <v>1</v>
      </c>
      <c r="M1542" s="2">
        <v>5</v>
      </c>
      <c r="N1542" s="2">
        <v>12</v>
      </c>
      <c r="O1542" s="2">
        <v>23</v>
      </c>
      <c r="P1542" s="3">
        <v>10</v>
      </c>
      <c r="Q1542" s="2">
        <v>1</v>
      </c>
      <c r="R1542" s="2">
        <v>68</v>
      </c>
      <c r="S1542" s="2">
        <v>0</v>
      </c>
      <c r="T1542" s="2">
        <v>8</v>
      </c>
      <c r="U1542" s="2">
        <v>0</v>
      </c>
      <c r="V1542" s="2">
        <f t="shared" si="772"/>
        <v>9</v>
      </c>
      <c r="W1542" s="2">
        <v>9</v>
      </c>
      <c r="X1542" s="2">
        <v>4</v>
      </c>
      <c r="Y1542" s="2">
        <v>0</v>
      </c>
      <c r="Z1542" s="2">
        <f t="shared" si="774"/>
        <v>13</v>
      </c>
      <c r="AA1542" s="2">
        <f t="shared" si="775"/>
        <v>62</v>
      </c>
      <c r="AB1542" s="2">
        <v>1929</v>
      </c>
      <c r="AC1542" s="20">
        <f t="shared" si="776"/>
        <v>3.21410057024365</v>
      </c>
      <c r="AD1542" s="2" t="s">
        <v>49</v>
      </c>
      <c r="AE1542" s="2">
        <v>188</v>
      </c>
      <c r="AF1542" s="21">
        <f t="shared" si="777"/>
        <v>3.21410057024365</v>
      </c>
      <c r="AG1542" s="4">
        <f t="shared" si="778"/>
        <v>0.46656298600311</v>
      </c>
      <c r="AH1542" s="4">
        <f t="shared" si="779"/>
        <v>0.673924313115604</v>
      </c>
      <c r="AP1542" s="2">
        <f t="shared" si="769"/>
        <v>0</v>
      </c>
      <c r="AQ1542" s="2">
        <f t="shared" si="770"/>
        <v>0</v>
      </c>
      <c r="AR1542" s="5">
        <f t="shared" si="771"/>
        <v>0</v>
      </c>
    </row>
    <row r="1543" spans="1:44">
      <c r="A1543" s="2">
        <v>20260503</v>
      </c>
      <c r="B1543" s="2" t="s">
        <v>3127</v>
      </c>
      <c r="C1543" s="2" t="s">
        <v>3128</v>
      </c>
      <c r="D1543" s="2">
        <v>0</v>
      </c>
      <c r="E1543" s="2">
        <v>2</v>
      </c>
      <c r="F1543" s="2">
        <v>1</v>
      </c>
      <c r="G1543" s="2">
        <v>3</v>
      </c>
      <c r="H1543" s="2">
        <v>0</v>
      </c>
      <c r="I1543" s="3">
        <v>7</v>
      </c>
      <c r="J1543" s="2">
        <v>7</v>
      </c>
      <c r="K1543" s="2">
        <v>0</v>
      </c>
      <c r="L1543" s="2">
        <v>0</v>
      </c>
      <c r="M1543" s="2">
        <v>1</v>
      </c>
      <c r="N1543" s="2">
        <v>2</v>
      </c>
      <c r="O1543" s="2">
        <v>0</v>
      </c>
      <c r="P1543" s="3">
        <v>4</v>
      </c>
      <c r="Q1543" s="2">
        <v>3</v>
      </c>
      <c r="R1543" s="2">
        <v>59</v>
      </c>
      <c r="S1543" s="2">
        <v>0</v>
      </c>
      <c r="T1543" s="2">
        <v>1</v>
      </c>
      <c r="U1543" s="2">
        <v>0</v>
      </c>
      <c r="V1543" s="2">
        <f t="shared" si="772"/>
        <v>4</v>
      </c>
      <c r="W1543" s="2">
        <v>2</v>
      </c>
      <c r="X1543" s="2">
        <v>7</v>
      </c>
      <c r="Y1543" s="2">
        <v>0</v>
      </c>
      <c r="Z1543" s="2">
        <f t="shared" si="774"/>
        <v>9</v>
      </c>
      <c r="AA1543" s="2">
        <f t="shared" si="775"/>
        <v>23</v>
      </c>
      <c r="AB1543" s="2">
        <v>2233</v>
      </c>
      <c r="AC1543" s="20">
        <f t="shared" si="776"/>
        <v>1.03000447828034</v>
      </c>
      <c r="AD1543" s="2" t="s">
        <v>49</v>
      </c>
      <c r="AE1543" s="2">
        <v>188</v>
      </c>
      <c r="AF1543" s="21">
        <f t="shared" si="777"/>
        <v>1.03000447828034</v>
      </c>
      <c r="AG1543" s="4">
        <f t="shared" si="778"/>
        <v>0.179131213613972</v>
      </c>
      <c r="AH1543" s="4">
        <f t="shared" si="779"/>
        <v>0.403045230631438</v>
      </c>
      <c r="AP1543" s="2">
        <f t="shared" si="769"/>
        <v>0</v>
      </c>
      <c r="AQ1543" s="2">
        <f t="shared" si="770"/>
        <v>0</v>
      </c>
      <c r="AR1543" s="5">
        <f t="shared" si="771"/>
        <v>0</v>
      </c>
    </row>
    <row r="1544" spans="1:44">
      <c r="A1544" s="2">
        <v>20260503</v>
      </c>
      <c r="B1544" s="2" t="s">
        <v>3129</v>
      </c>
      <c r="C1544" s="2" t="s">
        <v>3130</v>
      </c>
      <c r="D1544" s="2">
        <v>0</v>
      </c>
      <c r="E1544" s="2">
        <v>3</v>
      </c>
      <c r="F1544" s="2">
        <v>0</v>
      </c>
      <c r="G1544" s="2">
        <v>3</v>
      </c>
      <c r="H1544" s="2">
        <v>1</v>
      </c>
      <c r="I1544" s="3">
        <v>8</v>
      </c>
      <c r="J1544" s="2">
        <v>14</v>
      </c>
      <c r="K1544" s="2">
        <v>2</v>
      </c>
      <c r="L1544" s="2">
        <v>0</v>
      </c>
      <c r="M1544" s="2">
        <v>1</v>
      </c>
      <c r="N1544" s="2">
        <v>5</v>
      </c>
      <c r="O1544" s="2">
        <v>0</v>
      </c>
      <c r="P1544" s="3">
        <v>1</v>
      </c>
      <c r="Q1544" s="2">
        <v>4</v>
      </c>
      <c r="R1544" s="2">
        <v>88</v>
      </c>
      <c r="S1544" s="2">
        <v>4</v>
      </c>
      <c r="T1544" s="2">
        <v>3</v>
      </c>
      <c r="U1544" s="2">
        <v>0</v>
      </c>
      <c r="V1544" s="2">
        <f t="shared" si="772"/>
        <v>11</v>
      </c>
      <c r="W1544" s="2">
        <v>14</v>
      </c>
      <c r="X1544" s="2">
        <v>6</v>
      </c>
      <c r="Y1544" s="2">
        <v>0</v>
      </c>
      <c r="Z1544" s="2">
        <f t="shared" si="774"/>
        <v>20</v>
      </c>
      <c r="AA1544" s="2">
        <f t="shared" si="775"/>
        <v>33</v>
      </c>
      <c r="AB1544" s="2">
        <v>2234</v>
      </c>
      <c r="AC1544" s="20">
        <f t="shared" si="776"/>
        <v>1.47717099373321</v>
      </c>
      <c r="AD1544" s="2" t="s">
        <v>49</v>
      </c>
      <c r="AE1544" s="2">
        <v>188</v>
      </c>
      <c r="AF1544" s="21">
        <f t="shared" si="777"/>
        <v>1.47717099373321</v>
      </c>
      <c r="AG1544" s="4">
        <f t="shared" si="778"/>
        <v>0.492390331244405</v>
      </c>
      <c r="AH1544" s="4">
        <f t="shared" si="779"/>
        <v>0.895255147717099</v>
      </c>
      <c r="AP1544" s="2">
        <f t="shared" ref="AP1544:AP1575" si="780">AI1544+AJ1544+AL1544+AN1544</f>
        <v>0</v>
      </c>
      <c r="AQ1544" s="2">
        <f t="shared" ref="AQ1544:AQ1575" si="781">AP1544/AB1543*100</f>
        <v>0</v>
      </c>
      <c r="AR1544" s="5">
        <f t="shared" ref="AR1544:AR1575" si="782">AQ1544*1.88</f>
        <v>0</v>
      </c>
    </row>
    <row r="1545" spans="1:44">
      <c r="A1545" s="2">
        <v>20260503</v>
      </c>
      <c r="B1545" s="2" t="s">
        <v>3131</v>
      </c>
      <c r="C1545" s="2" t="s">
        <v>3132</v>
      </c>
      <c r="D1545" s="2">
        <v>2</v>
      </c>
      <c r="E1545" s="2">
        <v>0</v>
      </c>
      <c r="F1545" s="2">
        <v>1</v>
      </c>
      <c r="G1545" s="2">
        <v>4</v>
      </c>
      <c r="H1545" s="2">
        <v>3</v>
      </c>
      <c r="I1545" s="3">
        <v>2</v>
      </c>
      <c r="J1545" s="2">
        <v>7</v>
      </c>
      <c r="K1545" s="2">
        <v>0</v>
      </c>
      <c r="L1545" s="2">
        <v>0</v>
      </c>
      <c r="M1545" s="2">
        <v>1</v>
      </c>
      <c r="N1545" s="2">
        <v>1</v>
      </c>
      <c r="O1545" s="2">
        <v>0</v>
      </c>
      <c r="P1545" s="3">
        <v>0</v>
      </c>
      <c r="Q1545" s="2">
        <v>0</v>
      </c>
      <c r="R1545" s="2">
        <v>80</v>
      </c>
      <c r="S1545" s="2">
        <v>2</v>
      </c>
      <c r="T1545" s="2">
        <v>1</v>
      </c>
      <c r="U1545" s="2">
        <v>0</v>
      </c>
      <c r="V1545" s="2">
        <f t="shared" si="772"/>
        <v>3</v>
      </c>
      <c r="W1545" s="2">
        <v>4</v>
      </c>
      <c r="X1545" s="2">
        <v>1</v>
      </c>
      <c r="Y1545" s="2">
        <v>1</v>
      </c>
      <c r="Z1545" s="2">
        <f t="shared" si="774"/>
        <v>6</v>
      </c>
      <c r="AA1545" s="2">
        <f t="shared" si="775"/>
        <v>18</v>
      </c>
      <c r="AB1545" s="2">
        <v>2364</v>
      </c>
      <c r="AC1545" s="20">
        <f t="shared" si="776"/>
        <v>0.761421319796954</v>
      </c>
      <c r="AD1545" s="2" t="s">
        <v>49</v>
      </c>
      <c r="AE1545" s="2">
        <v>188</v>
      </c>
      <c r="AF1545" s="21">
        <f t="shared" si="777"/>
        <v>0.761421319796954</v>
      </c>
      <c r="AG1545" s="4">
        <f t="shared" si="778"/>
        <v>0.126903553299492</v>
      </c>
      <c r="AH1545" s="4">
        <f t="shared" si="779"/>
        <v>0.253807106598985</v>
      </c>
      <c r="AP1545" s="2">
        <f t="shared" si="780"/>
        <v>0</v>
      </c>
      <c r="AQ1545" s="2">
        <f t="shared" si="781"/>
        <v>0</v>
      </c>
      <c r="AR1545" s="5">
        <f t="shared" si="782"/>
        <v>0</v>
      </c>
    </row>
    <row r="1546" spans="1:44">
      <c r="A1546" s="2">
        <v>20260503</v>
      </c>
      <c r="B1546" s="2" t="s">
        <v>3133</v>
      </c>
      <c r="C1546" s="2" t="s">
        <v>3134</v>
      </c>
      <c r="D1546" s="2">
        <v>0</v>
      </c>
      <c r="E1546" s="2">
        <v>0</v>
      </c>
      <c r="F1546" s="2">
        <v>0</v>
      </c>
      <c r="G1546" s="2">
        <v>2</v>
      </c>
      <c r="H1546" s="2">
        <v>4</v>
      </c>
      <c r="I1546" s="3">
        <v>15</v>
      </c>
      <c r="J1546" s="2">
        <v>15</v>
      </c>
      <c r="K1546" s="2">
        <v>0</v>
      </c>
      <c r="L1546" s="2">
        <v>0</v>
      </c>
      <c r="M1546" s="2">
        <v>2</v>
      </c>
      <c r="N1546" s="2">
        <v>0</v>
      </c>
      <c r="O1546" s="2">
        <v>0</v>
      </c>
      <c r="P1546" s="3">
        <v>1</v>
      </c>
      <c r="Q1546" s="2">
        <v>0</v>
      </c>
      <c r="R1546" s="2">
        <v>98</v>
      </c>
      <c r="S1546" s="2">
        <v>1</v>
      </c>
      <c r="T1546" s="2">
        <v>2</v>
      </c>
      <c r="U1546" s="2">
        <v>0</v>
      </c>
      <c r="V1546" s="2">
        <f t="shared" si="772"/>
        <v>3</v>
      </c>
      <c r="W1546" s="2">
        <v>1</v>
      </c>
      <c r="X1546" s="2">
        <v>2</v>
      </c>
      <c r="Y1546" s="2">
        <v>0</v>
      </c>
      <c r="Z1546" s="2">
        <f t="shared" si="774"/>
        <v>3</v>
      </c>
      <c r="AA1546" s="2">
        <f t="shared" si="775"/>
        <v>41</v>
      </c>
      <c r="AB1546" s="2">
        <v>2314</v>
      </c>
      <c r="AC1546" s="20">
        <f t="shared" si="776"/>
        <v>1.77182368193604</v>
      </c>
      <c r="AD1546" s="2" t="s">
        <v>49</v>
      </c>
      <c r="AE1546" s="2">
        <v>188</v>
      </c>
      <c r="AF1546" s="21">
        <f t="shared" si="777"/>
        <v>1.77182368193604</v>
      </c>
      <c r="AG1546" s="4">
        <f t="shared" si="778"/>
        <v>0.129645635263613</v>
      </c>
      <c r="AH1546" s="4">
        <f t="shared" si="779"/>
        <v>0.129645635263613</v>
      </c>
      <c r="AP1546" s="2">
        <f t="shared" si="780"/>
        <v>0</v>
      </c>
      <c r="AQ1546" s="2">
        <f t="shared" si="781"/>
        <v>0</v>
      </c>
      <c r="AR1546" s="5">
        <f t="shared" si="782"/>
        <v>0</v>
      </c>
    </row>
    <row r="1547" spans="1:44">
      <c r="A1547" s="2">
        <v>20260503</v>
      </c>
      <c r="B1547" s="2" t="s">
        <v>3135</v>
      </c>
      <c r="C1547" s="2" t="s">
        <v>3136</v>
      </c>
      <c r="D1547" s="2">
        <v>15</v>
      </c>
      <c r="E1547" s="2">
        <v>0</v>
      </c>
      <c r="F1547" s="2">
        <v>14</v>
      </c>
      <c r="G1547" s="2">
        <v>4</v>
      </c>
      <c r="H1547" s="2">
        <v>18</v>
      </c>
      <c r="I1547" s="3">
        <v>22</v>
      </c>
      <c r="J1547" s="2">
        <v>15</v>
      </c>
      <c r="K1547" s="2">
        <v>18</v>
      </c>
      <c r="L1547" s="2">
        <v>0</v>
      </c>
      <c r="M1547" s="2">
        <v>2</v>
      </c>
      <c r="N1547" s="2">
        <v>27</v>
      </c>
      <c r="O1547" s="2">
        <v>34</v>
      </c>
      <c r="P1547" s="3">
        <v>18</v>
      </c>
      <c r="Q1547" s="2">
        <v>8</v>
      </c>
      <c r="R1547" s="2">
        <v>154</v>
      </c>
      <c r="S1547" s="2">
        <v>2</v>
      </c>
      <c r="T1547" s="2">
        <v>8</v>
      </c>
      <c r="U1547" s="2">
        <v>0</v>
      </c>
      <c r="V1547" s="2">
        <f t="shared" si="772"/>
        <v>18</v>
      </c>
      <c r="W1547" s="2">
        <v>11</v>
      </c>
      <c r="X1547" s="2">
        <v>0</v>
      </c>
      <c r="Y1547" s="2">
        <v>1</v>
      </c>
      <c r="Z1547" s="2">
        <f t="shared" si="774"/>
        <v>12</v>
      </c>
      <c r="AA1547" s="2">
        <f t="shared" si="775"/>
        <v>105</v>
      </c>
      <c r="AB1547" s="2">
        <v>3442</v>
      </c>
      <c r="AC1547" s="20">
        <f t="shared" si="776"/>
        <v>3.05055200464846</v>
      </c>
      <c r="AD1547" s="2" t="s">
        <v>229</v>
      </c>
      <c r="AE1547" s="2">
        <v>188</v>
      </c>
      <c r="AF1547" s="21">
        <f t="shared" si="777"/>
        <v>3.05055200464846</v>
      </c>
      <c r="AG1547" s="4">
        <f t="shared" si="778"/>
        <v>0.52295177222545</v>
      </c>
      <c r="AH1547" s="4">
        <f t="shared" si="779"/>
        <v>0.348634514816967</v>
      </c>
      <c r="AP1547" s="2">
        <f t="shared" si="780"/>
        <v>0</v>
      </c>
      <c r="AQ1547" s="2">
        <f t="shared" si="781"/>
        <v>0</v>
      </c>
      <c r="AR1547" s="5">
        <f t="shared" si="782"/>
        <v>0</v>
      </c>
    </row>
    <row r="1548" spans="1:44">
      <c r="A1548" s="2">
        <v>20260503</v>
      </c>
      <c r="B1548" s="2" t="s">
        <v>3137</v>
      </c>
      <c r="C1548" s="2" t="s">
        <v>3138</v>
      </c>
      <c r="D1548" s="2">
        <v>0</v>
      </c>
      <c r="E1548" s="2">
        <v>0</v>
      </c>
      <c r="F1548" s="2">
        <v>0</v>
      </c>
      <c r="G1548" s="2">
        <v>0</v>
      </c>
      <c r="H1548" s="2">
        <v>2</v>
      </c>
      <c r="I1548" s="3">
        <v>2</v>
      </c>
      <c r="J1548" s="2">
        <v>7</v>
      </c>
      <c r="K1548" s="2">
        <v>0</v>
      </c>
      <c r="L1548" s="2">
        <v>0</v>
      </c>
      <c r="M1548" s="2">
        <v>1</v>
      </c>
      <c r="N1548" s="2">
        <v>7</v>
      </c>
      <c r="O1548" s="2">
        <v>0</v>
      </c>
      <c r="P1548" s="3">
        <v>2</v>
      </c>
      <c r="Q1548" s="2">
        <v>2</v>
      </c>
      <c r="R1548" s="2">
        <v>30</v>
      </c>
      <c r="S1548" s="2">
        <v>0</v>
      </c>
      <c r="T1548" s="2">
        <v>3</v>
      </c>
      <c r="U1548" s="2">
        <v>0</v>
      </c>
      <c r="V1548" s="2">
        <f t="shared" si="772"/>
        <v>5</v>
      </c>
      <c r="W1548" s="2">
        <v>0</v>
      </c>
      <c r="X1548" s="2">
        <v>0</v>
      </c>
      <c r="Y1548" s="2">
        <v>0</v>
      </c>
      <c r="Z1548" s="2">
        <f t="shared" si="774"/>
        <v>0</v>
      </c>
      <c r="AA1548" s="2">
        <f t="shared" si="775"/>
        <v>17</v>
      </c>
      <c r="AB1548" s="2">
        <v>1416</v>
      </c>
      <c r="AC1548" s="20">
        <f t="shared" si="776"/>
        <v>1.20056497175141</v>
      </c>
      <c r="AD1548" s="2" t="s">
        <v>229</v>
      </c>
      <c r="AE1548" s="2">
        <v>188</v>
      </c>
      <c r="AF1548" s="21">
        <f t="shared" si="777"/>
        <v>1.20056497175141</v>
      </c>
      <c r="AG1548" s="4">
        <f t="shared" si="778"/>
        <v>0.353107344632768</v>
      </c>
      <c r="AH1548" s="4">
        <f t="shared" si="779"/>
        <v>0</v>
      </c>
      <c r="AP1548" s="2">
        <f t="shared" si="780"/>
        <v>0</v>
      </c>
      <c r="AQ1548" s="2">
        <f t="shared" si="781"/>
        <v>0</v>
      </c>
      <c r="AR1548" s="5">
        <f t="shared" si="782"/>
        <v>0</v>
      </c>
    </row>
    <row r="1549" spans="1:44">
      <c r="A1549" s="2">
        <v>20260503</v>
      </c>
      <c r="B1549" s="2" t="s">
        <v>3139</v>
      </c>
      <c r="C1549" s="2" t="s">
        <v>3140</v>
      </c>
      <c r="D1549" s="2">
        <v>0</v>
      </c>
      <c r="E1549" s="2">
        <v>0</v>
      </c>
      <c r="F1549" s="2">
        <v>0</v>
      </c>
      <c r="G1549" s="2">
        <v>1</v>
      </c>
      <c r="H1549" s="2">
        <v>3</v>
      </c>
      <c r="I1549" s="3">
        <v>4</v>
      </c>
      <c r="J1549" s="2">
        <v>2</v>
      </c>
      <c r="K1549" s="2">
        <v>2</v>
      </c>
      <c r="L1549" s="2">
        <v>0</v>
      </c>
      <c r="M1549" s="2">
        <v>0</v>
      </c>
      <c r="N1549" s="2">
        <v>3</v>
      </c>
      <c r="O1549" s="2">
        <v>2</v>
      </c>
      <c r="P1549" s="3">
        <v>12</v>
      </c>
      <c r="Q1549" s="2">
        <v>4</v>
      </c>
      <c r="R1549" s="2">
        <v>627</v>
      </c>
      <c r="S1549" s="2">
        <v>0</v>
      </c>
      <c r="T1549" s="2">
        <v>5</v>
      </c>
      <c r="U1549" s="2">
        <v>2</v>
      </c>
      <c r="V1549" s="2">
        <f t="shared" si="772"/>
        <v>11</v>
      </c>
      <c r="W1549" s="2">
        <v>0</v>
      </c>
      <c r="X1549" s="2">
        <v>0</v>
      </c>
      <c r="Y1549" s="2">
        <v>0</v>
      </c>
      <c r="Z1549" s="2">
        <f t="shared" si="774"/>
        <v>2</v>
      </c>
      <c r="AA1549" s="2">
        <f t="shared" si="775"/>
        <v>31</v>
      </c>
      <c r="AB1549" s="2">
        <v>2094</v>
      </c>
      <c r="AC1549" s="20">
        <f t="shared" si="776"/>
        <v>1.48042024832856</v>
      </c>
      <c r="AD1549" s="2" t="s">
        <v>44</v>
      </c>
      <c r="AE1549" s="2">
        <v>125</v>
      </c>
      <c r="AF1549" s="21">
        <f t="shared" si="777"/>
        <v>2.22655205348615</v>
      </c>
      <c r="AG1549" s="4">
        <f t="shared" si="778"/>
        <v>0.52531041069723</v>
      </c>
      <c r="AH1549" s="4">
        <f t="shared" si="779"/>
        <v>0.0955109837631328</v>
      </c>
      <c r="AP1549" s="2">
        <f t="shared" si="780"/>
        <v>0</v>
      </c>
      <c r="AQ1549" s="2">
        <f t="shared" si="781"/>
        <v>0</v>
      </c>
      <c r="AR1549" s="5">
        <f t="shared" si="782"/>
        <v>0</v>
      </c>
    </row>
    <row r="1550" spans="1:44">
      <c r="A1550" s="2">
        <v>20260503</v>
      </c>
      <c r="B1550" s="2" t="s">
        <v>3141</v>
      </c>
      <c r="C1550" s="2" t="s">
        <v>3142</v>
      </c>
      <c r="D1550" s="2">
        <v>1499</v>
      </c>
      <c r="E1550" s="2">
        <v>729</v>
      </c>
      <c r="F1550" s="2">
        <v>7</v>
      </c>
      <c r="G1550" s="2">
        <v>9</v>
      </c>
      <c r="H1550" s="2">
        <v>12</v>
      </c>
      <c r="I1550" s="3">
        <v>8367</v>
      </c>
      <c r="J1550" s="2">
        <v>22</v>
      </c>
      <c r="K1550" s="2">
        <v>5</v>
      </c>
      <c r="L1550" s="2">
        <v>3</v>
      </c>
      <c r="M1550" s="2">
        <v>1</v>
      </c>
      <c r="N1550" s="2">
        <v>56</v>
      </c>
      <c r="O1550" s="2">
        <v>99</v>
      </c>
      <c r="P1550" s="3">
        <v>5</v>
      </c>
      <c r="Q1550" s="2">
        <v>7</v>
      </c>
      <c r="R1550" s="2">
        <v>712</v>
      </c>
      <c r="S1550" s="2">
        <v>1</v>
      </c>
      <c r="T1550" s="2">
        <v>28</v>
      </c>
      <c r="U1550" s="2">
        <v>0</v>
      </c>
      <c r="V1550" s="2">
        <f t="shared" si="772"/>
        <v>36</v>
      </c>
      <c r="W1550" s="2">
        <v>0</v>
      </c>
      <c r="X1550" s="2">
        <v>0</v>
      </c>
      <c r="Y1550" s="2">
        <v>1</v>
      </c>
      <c r="Z1550" s="2">
        <f t="shared" si="774"/>
        <v>1</v>
      </c>
      <c r="AA1550" s="2">
        <f t="shared" si="775"/>
        <v>8452</v>
      </c>
      <c r="AB1550" s="2">
        <v>4140</v>
      </c>
      <c r="AC1550" s="20">
        <f t="shared" si="776"/>
        <v>204.154589371981</v>
      </c>
      <c r="AD1550" s="2" t="s">
        <v>44</v>
      </c>
      <c r="AE1550" s="2">
        <v>125</v>
      </c>
      <c r="AF1550" s="21">
        <f t="shared" si="777"/>
        <v>307.048502415459</v>
      </c>
      <c r="AG1550" s="4">
        <f t="shared" si="778"/>
        <v>0.869565217391304</v>
      </c>
      <c r="AH1550" s="4">
        <f t="shared" si="779"/>
        <v>0.0241545893719807</v>
      </c>
      <c r="AP1550" s="2">
        <f t="shared" si="780"/>
        <v>0</v>
      </c>
      <c r="AQ1550" s="2">
        <f t="shared" si="781"/>
        <v>0</v>
      </c>
      <c r="AR1550" s="5">
        <f t="shared" si="782"/>
        <v>0</v>
      </c>
    </row>
    <row r="1551" spans="1:44">
      <c r="A1551" s="2">
        <v>20260503</v>
      </c>
      <c r="B1551" s="2" t="s">
        <v>3143</v>
      </c>
      <c r="C1551" s="2" t="s">
        <v>3144</v>
      </c>
      <c r="D1551" s="2">
        <v>0</v>
      </c>
      <c r="E1551" s="2">
        <v>8</v>
      </c>
      <c r="F1551" s="2">
        <v>0</v>
      </c>
      <c r="G1551" s="2">
        <v>5</v>
      </c>
      <c r="H1551" s="2">
        <v>6</v>
      </c>
      <c r="I1551" s="3">
        <v>4</v>
      </c>
      <c r="J1551" s="2">
        <v>1</v>
      </c>
      <c r="K1551" s="2">
        <v>0</v>
      </c>
      <c r="L1551" s="2">
        <v>1</v>
      </c>
      <c r="M1551" s="2">
        <v>19</v>
      </c>
      <c r="N1551" s="2">
        <v>0</v>
      </c>
      <c r="O1551" s="2">
        <v>2</v>
      </c>
      <c r="P1551" s="3">
        <v>10</v>
      </c>
      <c r="Q1551" s="2">
        <v>0</v>
      </c>
      <c r="R1551" s="2">
        <v>271</v>
      </c>
      <c r="S1551" s="2">
        <v>1</v>
      </c>
      <c r="T1551" s="2">
        <v>2</v>
      </c>
      <c r="U1551" s="2">
        <v>0</v>
      </c>
      <c r="V1551" s="2">
        <f t="shared" si="772"/>
        <v>3</v>
      </c>
      <c r="W1551" s="2">
        <v>0</v>
      </c>
      <c r="X1551" s="2">
        <v>0</v>
      </c>
      <c r="Y1551" s="2">
        <v>0</v>
      </c>
      <c r="Z1551" s="2">
        <f t="shared" si="774"/>
        <v>0</v>
      </c>
      <c r="AA1551" s="2">
        <f t="shared" si="775"/>
        <v>48</v>
      </c>
      <c r="AB1551" s="2">
        <v>2084</v>
      </c>
      <c r="AC1551" s="20">
        <f t="shared" si="776"/>
        <v>2.30326295585413</v>
      </c>
      <c r="AD1551" s="2" t="s">
        <v>44</v>
      </c>
      <c r="AE1551" s="2">
        <v>125</v>
      </c>
      <c r="AF1551" s="21">
        <f t="shared" si="777"/>
        <v>3.46410748560461</v>
      </c>
      <c r="AG1551" s="4">
        <f t="shared" si="778"/>
        <v>0.143953934740883</v>
      </c>
      <c r="AH1551" s="4">
        <f t="shared" si="779"/>
        <v>0</v>
      </c>
      <c r="AP1551" s="2">
        <f t="shared" si="780"/>
        <v>0</v>
      </c>
      <c r="AQ1551" s="2">
        <f t="shared" si="781"/>
        <v>0</v>
      </c>
      <c r="AR1551" s="5">
        <f t="shared" si="782"/>
        <v>0</v>
      </c>
    </row>
    <row r="1552" spans="1:44">
      <c r="A1552" s="2">
        <v>20260503</v>
      </c>
      <c r="B1552" s="2" t="s">
        <v>3145</v>
      </c>
      <c r="C1552" s="2" t="s">
        <v>3146</v>
      </c>
      <c r="D1552" s="2">
        <v>1</v>
      </c>
      <c r="E1552" s="2">
        <v>4</v>
      </c>
      <c r="F1552" s="2">
        <v>2</v>
      </c>
      <c r="G1552" s="2">
        <v>3</v>
      </c>
      <c r="H1552" s="2">
        <v>5</v>
      </c>
      <c r="I1552" s="3">
        <v>6</v>
      </c>
      <c r="J1552" s="2">
        <v>3</v>
      </c>
      <c r="K1552" s="2">
        <v>0</v>
      </c>
      <c r="L1552" s="2">
        <v>0</v>
      </c>
      <c r="M1552" s="2">
        <v>0</v>
      </c>
      <c r="N1552" s="2">
        <v>10</v>
      </c>
      <c r="O1552" s="2">
        <v>1</v>
      </c>
      <c r="P1552" s="3">
        <v>0</v>
      </c>
      <c r="Q1552" s="2">
        <v>3</v>
      </c>
      <c r="R1552" s="2">
        <v>464</v>
      </c>
      <c r="S1552" s="2">
        <v>1</v>
      </c>
      <c r="T1552" s="2">
        <v>10</v>
      </c>
      <c r="U1552" s="2">
        <v>0</v>
      </c>
      <c r="V1552" s="2">
        <f t="shared" si="772"/>
        <v>14</v>
      </c>
      <c r="W1552" s="2">
        <v>2</v>
      </c>
      <c r="X1552" s="2">
        <v>0</v>
      </c>
      <c r="Y1552" s="2">
        <v>0</v>
      </c>
      <c r="Z1552" s="2">
        <f t="shared" si="774"/>
        <v>2</v>
      </c>
      <c r="AA1552" s="2">
        <f t="shared" si="775"/>
        <v>27</v>
      </c>
      <c r="AB1552" s="2">
        <v>2084</v>
      </c>
      <c r="AC1552" s="20">
        <f t="shared" si="776"/>
        <v>1.29558541266795</v>
      </c>
      <c r="AD1552" s="2" t="s">
        <v>44</v>
      </c>
      <c r="AE1552" s="2">
        <v>125</v>
      </c>
      <c r="AF1552" s="21">
        <f t="shared" si="777"/>
        <v>1.94856046065259</v>
      </c>
      <c r="AG1552" s="4">
        <f t="shared" si="778"/>
        <v>0.671785028790787</v>
      </c>
      <c r="AH1552" s="4">
        <f t="shared" si="779"/>
        <v>0.0959692898272553</v>
      </c>
      <c r="AP1552" s="2">
        <f t="shared" si="780"/>
        <v>0</v>
      </c>
      <c r="AQ1552" s="2">
        <f t="shared" si="781"/>
        <v>0</v>
      </c>
      <c r="AR1552" s="5">
        <f t="shared" si="782"/>
        <v>0</v>
      </c>
    </row>
    <row r="1553" spans="1:44">
      <c r="A1553" s="2">
        <v>20260503</v>
      </c>
      <c r="B1553" s="2" t="s">
        <v>3147</v>
      </c>
      <c r="C1553" s="2" t="s">
        <v>3148</v>
      </c>
      <c r="D1553" s="2">
        <v>0</v>
      </c>
      <c r="E1553" s="2">
        <v>8</v>
      </c>
      <c r="F1553" s="2">
        <v>6</v>
      </c>
      <c r="G1553" s="2">
        <v>4</v>
      </c>
      <c r="H1553" s="2">
        <v>6</v>
      </c>
      <c r="I1553" s="3">
        <v>11</v>
      </c>
      <c r="J1553" s="2">
        <v>4</v>
      </c>
      <c r="K1553" s="2">
        <v>1</v>
      </c>
      <c r="L1553" s="2">
        <v>0</v>
      </c>
      <c r="M1553" s="2">
        <v>1</v>
      </c>
      <c r="N1553" s="2">
        <v>1</v>
      </c>
      <c r="O1553" s="2">
        <v>30</v>
      </c>
      <c r="P1553" s="3">
        <v>4</v>
      </c>
      <c r="Q1553" s="2">
        <v>2</v>
      </c>
      <c r="R1553" s="2">
        <v>971</v>
      </c>
      <c r="S1553" s="2">
        <v>1</v>
      </c>
      <c r="T1553" s="2">
        <v>12</v>
      </c>
      <c r="U1553" s="2">
        <v>0</v>
      </c>
      <c r="V1553" s="2">
        <f t="shared" si="772"/>
        <v>15</v>
      </c>
      <c r="W1553" s="2">
        <v>4</v>
      </c>
      <c r="X1553" s="2">
        <v>0</v>
      </c>
      <c r="Y1553" s="2">
        <v>0</v>
      </c>
      <c r="Z1553" s="2">
        <f t="shared" si="774"/>
        <v>4</v>
      </c>
      <c r="AA1553" s="2">
        <f t="shared" si="775"/>
        <v>43</v>
      </c>
      <c r="AB1553" s="2">
        <v>3726</v>
      </c>
      <c r="AC1553" s="20">
        <f t="shared" si="776"/>
        <v>1.15405260332797</v>
      </c>
      <c r="AD1553" s="2" t="s">
        <v>49</v>
      </c>
      <c r="AE1553" s="2">
        <v>125</v>
      </c>
      <c r="AF1553" s="21">
        <f t="shared" si="777"/>
        <v>1.73569511540526</v>
      </c>
      <c r="AG1553" s="4">
        <f t="shared" si="778"/>
        <v>0.402576489533011</v>
      </c>
      <c r="AH1553" s="4">
        <f t="shared" si="779"/>
        <v>0.107353730542136</v>
      </c>
      <c r="AP1553" s="2">
        <f t="shared" si="780"/>
        <v>0</v>
      </c>
      <c r="AQ1553" s="2">
        <f t="shared" si="781"/>
        <v>0</v>
      </c>
      <c r="AR1553" s="5">
        <f t="shared" si="782"/>
        <v>0</v>
      </c>
    </row>
    <row r="1554" spans="1:44">
      <c r="A1554" s="2">
        <v>20260503</v>
      </c>
      <c r="B1554" s="2" t="s">
        <v>3149</v>
      </c>
      <c r="C1554" s="2" t="s">
        <v>3150</v>
      </c>
      <c r="D1554" s="2">
        <v>1</v>
      </c>
      <c r="E1554" s="2">
        <v>6</v>
      </c>
      <c r="F1554" s="2">
        <v>4</v>
      </c>
      <c r="G1554" s="2">
        <v>0</v>
      </c>
      <c r="H1554" s="2">
        <v>3</v>
      </c>
      <c r="I1554" s="3">
        <v>4</v>
      </c>
      <c r="J1554" s="2">
        <v>6</v>
      </c>
      <c r="K1554" s="2">
        <v>2</v>
      </c>
      <c r="L1554" s="2">
        <v>0</v>
      </c>
      <c r="M1554" s="2">
        <v>0</v>
      </c>
      <c r="N1554" s="2">
        <v>5</v>
      </c>
      <c r="O1554" s="2">
        <v>3</v>
      </c>
      <c r="P1554" s="3">
        <v>0</v>
      </c>
      <c r="Q1554" s="2">
        <v>5</v>
      </c>
      <c r="R1554" s="2">
        <v>801</v>
      </c>
      <c r="S1554" s="2">
        <v>0</v>
      </c>
      <c r="T1554" s="2">
        <v>2</v>
      </c>
      <c r="U1554" s="2">
        <v>0</v>
      </c>
      <c r="V1554" s="2">
        <f t="shared" si="772"/>
        <v>7</v>
      </c>
      <c r="W1554" s="2">
        <v>0</v>
      </c>
      <c r="X1554" s="2">
        <v>0</v>
      </c>
      <c r="Y1554" s="2">
        <v>0</v>
      </c>
      <c r="Z1554" s="2">
        <f t="shared" si="774"/>
        <v>0</v>
      </c>
      <c r="AA1554" s="2">
        <f t="shared" si="775"/>
        <v>17</v>
      </c>
      <c r="AB1554" s="2">
        <v>3192</v>
      </c>
      <c r="AC1554" s="20">
        <f t="shared" si="776"/>
        <v>0.532581453634085</v>
      </c>
      <c r="AD1554" s="2" t="s">
        <v>49</v>
      </c>
      <c r="AE1554" s="2">
        <v>125</v>
      </c>
      <c r="AF1554" s="21">
        <f t="shared" si="777"/>
        <v>0.801002506265664</v>
      </c>
      <c r="AG1554" s="4">
        <f t="shared" si="778"/>
        <v>0.219298245614035</v>
      </c>
      <c r="AH1554" s="4">
        <f t="shared" si="779"/>
        <v>0</v>
      </c>
      <c r="AP1554" s="2">
        <f t="shared" si="780"/>
        <v>0</v>
      </c>
      <c r="AQ1554" s="2">
        <f t="shared" si="781"/>
        <v>0</v>
      </c>
      <c r="AR1554" s="5">
        <f t="shared" si="782"/>
        <v>0</v>
      </c>
    </row>
    <row r="1555" spans="1:44">
      <c r="A1555" s="2">
        <v>20260503</v>
      </c>
      <c r="B1555" s="2" t="s">
        <v>3151</v>
      </c>
      <c r="C1555" s="2" t="s">
        <v>3152</v>
      </c>
      <c r="D1555" s="2">
        <v>0</v>
      </c>
      <c r="E1555" s="2">
        <v>5</v>
      </c>
      <c r="F1555" s="2">
        <v>2</v>
      </c>
      <c r="G1555" s="2">
        <v>0</v>
      </c>
      <c r="H1555" s="2">
        <v>2</v>
      </c>
      <c r="I1555" s="3">
        <v>8</v>
      </c>
      <c r="J1555" s="2">
        <v>8</v>
      </c>
      <c r="K1555" s="2">
        <v>0</v>
      </c>
      <c r="L1555" s="2">
        <v>0</v>
      </c>
      <c r="M1555" s="2">
        <v>2</v>
      </c>
      <c r="N1555" s="2">
        <v>6</v>
      </c>
      <c r="O1555" s="2">
        <v>0</v>
      </c>
      <c r="P1555" s="3">
        <v>3</v>
      </c>
      <c r="Q1555" s="2">
        <v>6</v>
      </c>
      <c r="R1555" s="2">
        <v>762</v>
      </c>
      <c r="S1555" s="2">
        <v>2</v>
      </c>
      <c r="T1555" s="2">
        <v>1</v>
      </c>
      <c r="U1555" s="2">
        <v>0</v>
      </c>
      <c r="V1555" s="2">
        <f t="shared" si="772"/>
        <v>9</v>
      </c>
      <c r="W1555" s="2">
        <v>1</v>
      </c>
      <c r="X1555" s="2">
        <v>3</v>
      </c>
      <c r="Y1555" s="2">
        <v>2</v>
      </c>
      <c r="Z1555" s="2">
        <f t="shared" si="774"/>
        <v>6</v>
      </c>
      <c r="AA1555" s="2">
        <f t="shared" si="775"/>
        <v>24</v>
      </c>
      <c r="AB1555" s="2">
        <v>3192</v>
      </c>
      <c r="AC1555" s="20">
        <f t="shared" si="776"/>
        <v>0.75187969924812</v>
      </c>
      <c r="AD1555" s="2" t="s">
        <v>49</v>
      </c>
      <c r="AE1555" s="2">
        <v>125</v>
      </c>
      <c r="AF1555" s="21">
        <f t="shared" si="777"/>
        <v>1.13082706766917</v>
      </c>
      <c r="AG1555" s="4">
        <f t="shared" si="778"/>
        <v>0.281954887218045</v>
      </c>
      <c r="AH1555" s="4">
        <f t="shared" si="779"/>
        <v>0.18796992481203</v>
      </c>
      <c r="AP1555" s="2">
        <f t="shared" si="780"/>
        <v>0</v>
      </c>
      <c r="AQ1555" s="2">
        <f t="shared" si="781"/>
        <v>0</v>
      </c>
      <c r="AR1555" s="5">
        <f t="shared" si="782"/>
        <v>0</v>
      </c>
    </row>
    <row r="1556" spans="1:44">
      <c r="A1556" s="2">
        <v>20260503</v>
      </c>
      <c r="B1556" s="2" t="s">
        <v>1338</v>
      </c>
      <c r="C1556" s="2" t="s">
        <v>3153</v>
      </c>
      <c r="D1556" s="2">
        <v>1</v>
      </c>
      <c r="E1556" s="2">
        <v>3</v>
      </c>
      <c r="F1556" s="2">
        <v>1</v>
      </c>
      <c r="G1556" s="2">
        <v>3</v>
      </c>
      <c r="H1556" s="2">
        <v>2</v>
      </c>
      <c r="I1556" s="3">
        <v>9</v>
      </c>
      <c r="J1556" s="2">
        <v>2</v>
      </c>
      <c r="K1556" s="2">
        <v>1</v>
      </c>
      <c r="L1556" s="2">
        <v>0</v>
      </c>
      <c r="M1556" s="2">
        <v>1</v>
      </c>
      <c r="N1556" s="2">
        <v>5</v>
      </c>
      <c r="O1556" s="2">
        <v>2</v>
      </c>
      <c r="P1556" s="3">
        <v>1</v>
      </c>
      <c r="Q1556" s="2">
        <v>3</v>
      </c>
      <c r="R1556" s="2">
        <v>654</v>
      </c>
      <c r="S1556" s="2">
        <v>0</v>
      </c>
      <c r="T1556" s="2">
        <v>4</v>
      </c>
      <c r="U1556" s="2">
        <v>0</v>
      </c>
      <c r="V1556" s="2">
        <f t="shared" ref="V1556:V1566" si="783">U1556+T1556+S1556+Q1556</f>
        <v>7</v>
      </c>
      <c r="W1556" s="2">
        <v>1</v>
      </c>
      <c r="X1556" s="2">
        <v>6</v>
      </c>
      <c r="Y1556" s="2">
        <v>0</v>
      </c>
      <c r="Z1556" s="2">
        <f t="shared" si="774"/>
        <v>7</v>
      </c>
      <c r="AA1556" s="2">
        <f t="shared" si="775"/>
        <v>23</v>
      </c>
      <c r="AB1556" s="2">
        <v>3202</v>
      </c>
      <c r="AC1556" s="20">
        <f t="shared" si="776"/>
        <v>0.718301061836352</v>
      </c>
      <c r="AD1556" s="2" t="s">
        <v>49</v>
      </c>
      <c r="AE1556" s="2">
        <v>125</v>
      </c>
      <c r="AF1556" s="21">
        <f t="shared" si="777"/>
        <v>1.08032479700187</v>
      </c>
      <c r="AG1556" s="4">
        <f t="shared" si="778"/>
        <v>0.218613366645846</v>
      </c>
      <c r="AH1556" s="4">
        <f t="shared" si="779"/>
        <v>0.218613366645846</v>
      </c>
      <c r="AP1556" s="2">
        <f t="shared" si="780"/>
        <v>0</v>
      </c>
      <c r="AQ1556" s="2">
        <f t="shared" si="781"/>
        <v>0</v>
      </c>
      <c r="AR1556" s="5">
        <f t="shared" si="782"/>
        <v>0</v>
      </c>
    </row>
    <row r="1557" spans="1:44">
      <c r="A1557" s="2">
        <v>20260503</v>
      </c>
      <c r="B1557" s="2" t="s">
        <v>3154</v>
      </c>
      <c r="C1557" s="2" t="s">
        <v>3155</v>
      </c>
      <c r="D1557" s="2">
        <v>0</v>
      </c>
      <c r="E1557" s="2">
        <v>7</v>
      </c>
      <c r="F1557" s="2">
        <v>0</v>
      </c>
      <c r="G1557" s="2">
        <v>1</v>
      </c>
      <c r="H1557" s="2">
        <v>0</v>
      </c>
      <c r="I1557" s="3">
        <v>9</v>
      </c>
      <c r="J1557" s="2">
        <v>4</v>
      </c>
      <c r="K1557" s="2">
        <v>2</v>
      </c>
      <c r="L1557" s="2">
        <v>2</v>
      </c>
      <c r="M1557" s="2">
        <v>1</v>
      </c>
      <c r="N1557" s="2">
        <v>7</v>
      </c>
      <c r="O1557" s="2">
        <v>1</v>
      </c>
      <c r="P1557" s="3">
        <v>1</v>
      </c>
      <c r="Q1557" s="2">
        <v>2</v>
      </c>
      <c r="R1557" s="2">
        <v>598</v>
      </c>
      <c r="S1557" s="2">
        <v>0</v>
      </c>
      <c r="T1557" s="2">
        <v>2</v>
      </c>
      <c r="U1557" s="2">
        <v>1</v>
      </c>
      <c r="V1557" s="2">
        <f t="shared" si="783"/>
        <v>5</v>
      </c>
      <c r="W1557" s="2">
        <v>1</v>
      </c>
      <c r="X1557" s="2">
        <v>8</v>
      </c>
      <c r="Y1557" s="2">
        <v>0</v>
      </c>
      <c r="Z1557" s="2">
        <f t="shared" si="774"/>
        <v>10</v>
      </c>
      <c r="AA1557" s="2">
        <f t="shared" si="775"/>
        <v>23</v>
      </c>
      <c r="AB1557" s="2">
        <v>3203</v>
      </c>
      <c r="AC1557" s="20">
        <f t="shared" si="776"/>
        <v>0.71807680299719</v>
      </c>
      <c r="AD1557" s="2" t="s">
        <v>49</v>
      </c>
      <c r="AE1557" s="2">
        <v>125</v>
      </c>
      <c r="AF1557" s="21">
        <f t="shared" si="777"/>
        <v>1.07998751170777</v>
      </c>
      <c r="AG1557" s="4">
        <f t="shared" si="778"/>
        <v>0.156103652825476</v>
      </c>
      <c r="AH1557" s="4">
        <f t="shared" si="779"/>
        <v>0.312207305650952</v>
      </c>
      <c r="AP1557" s="2">
        <f t="shared" si="780"/>
        <v>0</v>
      </c>
      <c r="AQ1557" s="2">
        <f t="shared" si="781"/>
        <v>0</v>
      </c>
      <c r="AR1557" s="5">
        <f t="shared" si="782"/>
        <v>0</v>
      </c>
    </row>
    <row r="1558" spans="1:44">
      <c r="A1558" s="2">
        <v>20260503</v>
      </c>
      <c r="B1558" s="2" t="s">
        <v>3156</v>
      </c>
      <c r="C1558" s="2" t="s">
        <v>3157</v>
      </c>
      <c r="D1558" s="2">
        <v>0</v>
      </c>
      <c r="E1558" s="2">
        <v>7</v>
      </c>
      <c r="F1558" s="2">
        <v>2</v>
      </c>
      <c r="G1558" s="2">
        <v>1</v>
      </c>
      <c r="H1558" s="2">
        <v>9</v>
      </c>
      <c r="I1558" s="3">
        <v>8</v>
      </c>
      <c r="J1558" s="2">
        <v>5</v>
      </c>
      <c r="K1558" s="2">
        <v>3</v>
      </c>
      <c r="L1558" s="2">
        <v>0</v>
      </c>
      <c r="M1558" s="2">
        <v>1</v>
      </c>
      <c r="N1558" s="2">
        <v>4</v>
      </c>
      <c r="O1558" s="2">
        <v>0</v>
      </c>
      <c r="P1558" s="3">
        <v>0</v>
      </c>
      <c r="Q1558" s="2">
        <v>1</v>
      </c>
      <c r="R1558" s="2">
        <v>736</v>
      </c>
      <c r="S1558" s="2">
        <v>3</v>
      </c>
      <c r="T1558" s="2">
        <v>1</v>
      </c>
      <c r="U1558" s="2">
        <v>0</v>
      </c>
      <c r="V1558" s="2">
        <f t="shared" si="783"/>
        <v>5</v>
      </c>
      <c r="W1558" s="2">
        <v>0</v>
      </c>
      <c r="X1558" s="2">
        <v>6</v>
      </c>
      <c r="Y1558" s="2">
        <v>0</v>
      </c>
      <c r="Z1558" s="2">
        <f t="shared" si="774"/>
        <v>6</v>
      </c>
      <c r="AA1558" s="2">
        <f t="shared" si="775"/>
        <v>28</v>
      </c>
      <c r="AB1558" s="2">
        <v>3453</v>
      </c>
      <c r="AC1558" s="20">
        <f t="shared" si="776"/>
        <v>0.810889081957718</v>
      </c>
      <c r="AD1558" s="2" t="s">
        <v>49</v>
      </c>
      <c r="AE1558" s="2">
        <v>125</v>
      </c>
      <c r="AF1558" s="21">
        <f t="shared" si="777"/>
        <v>1.21957717926441</v>
      </c>
      <c r="AG1558" s="4">
        <f t="shared" si="778"/>
        <v>0.144801621778164</v>
      </c>
      <c r="AH1558" s="4">
        <f t="shared" si="779"/>
        <v>0.173761946133797</v>
      </c>
      <c r="AP1558" s="2">
        <f t="shared" si="780"/>
        <v>0</v>
      </c>
      <c r="AQ1558" s="2">
        <f t="shared" si="781"/>
        <v>0</v>
      </c>
      <c r="AR1558" s="5">
        <f t="shared" si="782"/>
        <v>0</v>
      </c>
    </row>
    <row r="1559" spans="1:44">
      <c r="A1559" s="2">
        <v>20260503</v>
      </c>
      <c r="B1559" s="2" t="s">
        <v>3158</v>
      </c>
      <c r="C1559" s="2" t="s">
        <v>3159</v>
      </c>
      <c r="D1559" s="2">
        <v>9</v>
      </c>
      <c r="E1559" s="2">
        <v>8</v>
      </c>
      <c r="F1559" s="2">
        <v>21</v>
      </c>
      <c r="G1559" s="2">
        <v>8</v>
      </c>
      <c r="H1559" s="2">
        <v>19</v>
      </c>
      <c r="I1559" s="3">
        <v>19</v>
      </c>
      <c r="J1559" s="2">
        <v>6</v>
      </c>
      <c r="K1559" s="2">
        <v>50</v>
      </c>
      <c r="L1559" s="2">
        <v>0</v>
      </c>
      <c r="M1559" s="2">
        <v>6</v>
      </c>
      <c r="N1559" s="2">
        <v>15</v>
      </c>
      <c r="O1559" s="2">
        <v>53</v>
      </c>
      <c r="P1559" s="3">
        <v>11</v>
      </c>
      <c r="Q1559" s="2">
        <v>12</v>
      </c>
      <c r="R1559" s="2">
        <v>707</v>
      </c>
      <c r="S1559" s="2">
        <v>2</v>
      </c>
      <c r="T1559" s="2">
        <v>4</v>
      </c>
      <c r="U1559" s="2">
        <v>3</v>
      </c>
      <c r="V1559" s="2">
        <f t="shared" si="783"/>
        <v>21</v>
      </c>
      <c r="W1559" s="2">
        <v>6</v>
      </c>
      <c r="X1559" s="2">
        <v>7</v>
      </c>
      <c r="Y1559" s="2">
        <v>0</v>
      </c>
      <c r="Z1559" s="2">
        <f t="shared" si="774"/>
        <v>16</v>
      </c>
      <c r="AA1559" s="2">
        <f t="shared" si="775"/>
        <v>126</v>
      </c>
      <c r="AB1559" s="2">
        <v>3660</v>
      </c>
      <c r="AC1559" s="20">
        <f t="shared" si="776"/>
        <v>3.44262295081967</v>
      </c>
      <c r="AD1559" s="2" t="s">
        <v>49</v>
      </c>
      <c r="AE1559" s="2">
        <v>125</v>
      </c>
      <c r="AF1559" s="21">
        <f t="shared" si="777"/>
        <v>5.17770491803279</v>
      </c>
      <c r="AG1559" s="4">
        <f t="shared" si="778"/>
        <v>0.573770491803279</v>
      </c>
      <c r="AH1559" s="4">
        <f t="shared" si="779"/>
        <v>0.437158469945355</v>
      </c>
      <c r="AP1559" s="2">
        <f t="shared" si="780"/>
        <v>0</v>
      </c>
      <c r="AQ1559" s="2">
        <f t="shared" si="781"/>
        <v>0</v>
      </c>
      <c r="AR1559" s="5">
        <f t="shared" si="782"/>
        <v>0</v>
      </c>
    </row>
    <row r="1560" spans="1:44">
      <c r="A1560" s="2">
        <v>20260504</v>
      </c>
      <c r="B1560" s="2" t="s">
        <v>3160</v>
      </c>
      <c r="C1560" s="2" t="s">
        <v>3161</v>
      </c>
      <c r="D1560" s="2">
        <v>0</v>
      </c>
      <c r="E1560" s="2">
        <v>2</v>
      </c>
      <c r="F1560" s="2">
        <v>0</v>
      </c>
      <c r="G1560" s="2">
        <v>1</v>
      </c>
      <c r="H1560" s="2">
        <v>4</v>
      </c>
      <c r="I1560" s="3">
        <v>4</v>
      </c>
      <c r="J1560" s="2">
        <v>3</v>
      </c>
      <c r="K1560" s="2">
        <v>0</v>
      </c>
      <c r="L1560" s="2">
        <v>0</v>
      </c>
      <c r="M1560" s="2">
        <v>2</v>
      </c>
      <c r="N1560" s="2">
        <v>9</v>
      </c>
      <c r="O1560" s="2">
        <v>3</v>
      </c>
      <c r="P1560" s="3">
        <v>1</v>
      </c>
      <c r="Q1560" s="2">
        <v>2</v>
      </c>
      <c r="R1560" s="2">
        <v>283</v>
      </c>
      <c r="S1560" s="2">
        <v>0</v>
      </c>
      <c r="T1560" s="2">
        <v>7</v>
      </c>
      <c r="U1560" s="2">
        <v>0</v>
      </c>
      <c r="V1560" s="2">
        <f t="shared" si="783"/>
        <v>9</v>
      </c>
      <c r="W1560" s="2">
        <v>1</v>
      </c>
      <c r="X1560" s="2">
        <v>1</v>
      </c>
      <c r="Y1560" s="2">
        <v>0</v>
      </c>
      <c r="Z1560" s="2">
        <f t="shared" si="774"/>
        <v>2</v>
      </c>
      <c r="AA1560" s="2">
        <f t="shared" si="775"/>
        <v>22</v>
      </c>
      <c r="AB1560" s="2">
        <v>3203</v>
      </c>
      <c r="AC1560" s="20">
        <f t="shared" si="776"/>
        <v>0.686856072432095</v>
      </c>
      <c r="AD1560" s="2" t="s">
        <v>49</v>
      </c>
      <c r="AE1560" s="2">
        <v>125</v>
      </c>
      <c r="AF1560" s="21">
        <f t="shared" si="777"/>
        <v>1.03303153293787</v>
      </c>
      <c r="AG1560" s="4">
        <f t="shared" si="778"/>
        <v>0.280986575085857</v>
      </c>
      <c r="AH1560" s="4">
        <f t="shared" si="779"/>
        <v>0.0624414611301905</v>
      </c>
      <c r="AP1560" s="2">
        <f t="shared" si="780"/>
        <v>0</v>
      </c>
      <c r="AQ1560" s="2">
        <f t="shared" si="781"/>
        <v>0</v>
      </c>
      <c r="AR1560" s="5">
        <f t="shared" si="782"/>
        <v>0</v>
      </c>
    </row>
    <row r="1561" spans="1:44">
      <c r="A1561" s="2">
        <v>20260504</v>
      </c>
      <c r="B1561" s="2" t="s">
        <v>3162</v>
      </c>
      <c r="C1561" s="2" t="s">
        <v>3163</v>
      </c>
      <c r="D1561" s="2">
        <v>5</v>
      </c>
      <c r="E1561" s="2">
        <v>29</v>
      </c>
      <c r="F1561" s="2">
        <v>10</v>
      </c>
      <c r="G1561" s="2">
        <v>5</v>
      </c>
      <c r="H1561" s="2">
        <v>10</v>
      </c>
      <c r="I1561" s="3">
        <v>13</v>
      </c>
      <c r="J1561" s="2">
        <v>11</v>
      </c>
      <c r="K1561" s="2">
        <v>17</v>
      </c>
      <c r="L1561" s="2">
        <v>0</v>
      </c>
      <c r="M1561" s="2">
        <v>3</v>
      </c>
      <c r="N1561" s="2">
        <v>20</v>
      </c>
      <c r="O1561" s="2">
        <v>35</v>
      </c>
      <c r="P1561" s="3">
        <v>7</v>
      </c>
      <c r="Q1561" s="2">
        <v>7</v>
      </c>
      <c r="R1561" s="2">
        <v>455</v>
      </c>
      <c r="S1561" s="2">
        <v>1</v>
      </c>
      <c r="T1561" s="2">
        <v>12</v>
      </c>
      <c r="U1561" s="2">
        <v>1</v>
      </c>
      <c r="V1561" s="2">
        <f t="shared" si="783"/>
        <v>21</v>
      </c>
      <c r="W1561" s="2">
        <v>5</v>
      </c>
      <c r="X1561" s="2">
        <v>9</v>
      </c>
      <c r="Y1561" s="2">
        <v>0</v>
      </c>
      <c r="Z1561" s="2">
        <f t="shared" si="774"/>
        <v>15</v>
      </c>
      <c r="AA1561" s="2">
        <f t="shared" si="775"/>
        <v>79</v>
      </c>
      <c r="AB1561" s="2">
        <v>3620</v>
      </c>
      <c r="AC1561" s="20">
        <f t="shared" si="776"/>
        <v>2.18232044198895</v>
      </c>
      <c r="AD1561" s="2" t="s">
        <v>49</v>
      </c>
      <c r="AE1561" s="2">
        <v>125</v>
      </c>
      <c r="AF1561" s="21">
        <f t="shared" si="777"/>
        <v>3.28220994475138</v>
      </c>
      <c r="AG1561" s="4">
        <f t="shared" si="778"/>
        <v>0.580110497237569</v>
      </c>
      <c r="AH1561" s="4">
        <f t="shared" si="779"/>
        <v>0.414364640883978</v>
      </c>
      <c r="AP1561" s="2">
        <f t="shared" si="780"/>
        <v>0</v>
      </c>
      <c r="AQ1561" s="2">
        <f t="shared" si="781"/>
        <v>0</v>
      </c>
      <c r="AR1561" s="5">
        <f t="shared" si="782"/>
        <v>0</v>
      </c>
    </row>
    <row r="1562" spans="1:44">
      <c r="A1562" s="2">
        <v>20260504</v>
      </c>
      <c r="B1562" s="2" t="s">
        <v>3164</v>
      </c>
      <c r="C1562" s="2" t="s">
        <v>3165</v>
      </c>
      <c r="D1562" s="2">
        <v>0</v>
      </c>
      <c r="E1562" s="2">
        <v>8</v>
      </c>
      <c r="F1562" s="2">
        <v>0</v>
      </c>
      <c r="G1562" s="2">
        <v>6</v>
      </c>
      <c r="H1562" s="2">
        <v>13</v>
      </c>
      <c r="I1562" s="3">
        <v>8</v>
      </c>
      <c r="J1562" s="2">
        <v>8</v>
      </c>
      <c r="K1562" s="2">
        <v>2</v>
      </c>
      <c r="L1562" s="2">
        <v>0</v>
      </c>
      <c r="M1562" s="2">
        <v>1</v>
      </c>
      <c r="N1562" s="2">
        <v>2</v>
      </c>
      <c r="O1562" s="2">
        <v>2</v>
      </c>
      <c r="P1562" s="3">
        <v>2</v>
      </c>
      <c r="Q1562" s="2">
        <v>2</v>
      </c>
      <c r="R1562" s="2">
        <v>386</v>
      </c>
      <c r="S1562" s="2">
        <v>0</v>
      </c>
      <c r="T1562" s="2">
        <v>10</v>
      </c>
      <c r="U1562" s="2">
        <v>0</v>
      </c>
      <c r="V1562" s="2">
        <f t="shared" ref="V1562:V1568" si="784">U1562+T1562+S1562+Q1562</f>
        <v>12</v>
      </c>
      <c r="W1562" s="2">
        <v>0</v>
      </c>
      <c r="X1562" s="2">
        <v>3</v>
      </c>
      <c r="Y1562" s="2">
        <v>0</v>
      </c>
      <c r="Z1562" s="2">
        <f t="shared" ref="Z1562:Z1568" si="785">Y1562+X1562+W1562+U1562</f>
        <v>3</v>
      </c>
      <c r="AA1562" s="2">
        <f t="shared" ref="AA1562:AA1568" si="786">G1562+H1562+I1562+J1562+K1562+L1562+M1562+P1562+T1562+U1562</f>
        <v>50</v>
      </c>
      <c r="AB1562" s="2">
        <v>3540</v>
      </c>
      <c r="AC1562" s="20">
        <f t="shared" ref="AC1562:AC1568" si="787">AA1562/AB1562*100</f>
        <v>1.41242937853107</v>
      </c>
      <c r="AD1562" s="2" t="s">
        <v>49</v>
      </c>
      <c r="AE1562" s="2">
        <v>125</v>
      </c>
      <c r="AF1562" s="21">
        <f t="shared" ref="AF1562:AF1568" si="788">188/AE1562*AC1562</f>
        <v>2.12429378531073</v>
      </c>
      <c r="AG1562" s="4">
        <f t="shared" ref="AG1562:AG1568" si="789">V1562/AB1562*100</f>
        <v>0.338983050847458</v>
      </c>
      <c r="AH1562" s="4">
        <f t="shared" ref="AH1562:AH1568" si="790">Z1562/AB1562*100</f>
        <v>0.0847457627118644</v>
      </c>
      <c r="AP1562" s="2">
        <f t="shared" si="780"/>
        <v>0</v>
      </c>
      <c r="AQ1562" s="2">
        <f t="shared" si="781"/>
        <v>0</v>
      </c>
      <c r="AR1562" s="5">
        <f t="shared" si="782"/>
        <v>0</v>
      </c>
    </row>
    <row r="1563" spans="1:44">
      <c r="A1563" s="2">
        <v>20260504</v>
      </c>
      <c r="B1563" s="2" t="s">
        <v>3166</v>
      </c>
      <c r="C1563" s="2" t="s">
        <v>3167</v>
      </c>
      <c r="D1563" s="2">
        <v>1</v>
      </c>
      <c r="E1563" s="2">
        <v>7</v>
      </c>
      <c r="F1563" s="2">
        <v>2</v>
      </c>
      <c r="G1563" s="2">
        <v>1</v>
      </c>
      <c r="H1563" s="2">
        <v>11</v>
      </c>
      <c r="I1563" s="3">
        <v>6</v>
      </c>
      <c r="J1563" s="2">
        <v>11</v>
      </c>
      <c r="K1563" s="2">
        <v>2</v>
      </c>
      <c r="L1563" s="2">
        <v>0</v>
      </c>
      <c r="M1563" s="2">
        <v>3</v>
      </c>
      <c r="N1563" s="2">
        <v>7</v>
      </c>
      <c r="O1563" s="2">
        <v>3</v>
      </c>
      <c r="P1563" s="3">
        <v>2</v>
      </c>
      <c r="Q1563" s="2">
        <v>6</v>
      </c>
      <c r="R1563" s="2">
        <v>440</v>
      </c>
      <c r="S1563" s="2">
        <v>0</v>
      </c>
      <c r="T1563" s="2">
        <v>5</v>
      </c>
      <c r="U1563" s="2">
        <v>0</v>
      </c>
      <c r="V1563" s="2">
        <f t="shared" si="784"/>
        <v>11</v>
      </c>
      <c r="W1563" s="2">
        <v>10</v>
      </c>
      <c r="X1563" s="2">
        <v>4</v>
      </c>
      <c r="Y1563" s="2">
        <v>0</v>
      </c>
      <c r="Z1563" s="2">
        <f t="shared" si="785"/>
        <v>14</v>
      </c>
      <c r="AA1563" s="2">
        <f t="shared" si="786"/>
        <v>41</v>
      </c>
      <c r="AB1563" s="2">
        <v>3201</v>
      </c>
      <c r="AC1563" s="20">
        <f t="shared" si="787"/>
        <v>1.28084973445798</v>
      </c>
      <c r="AD1563" s="2" t="s">
        <v>49</v>
      </c>
      <c r="AE1563" s="2">
        <v>125</v>
      </c>
      <c r="AF1563" s="21">
        <f t="shared" si="788"/>
        <v>1.9263980006248</v>
      </c>
      <c r="AG1563" s="4">
        <f t="shared" si="789"/>
        <v>0.343642611683849</v>
      </c>
      <c r="AH1563" s="4">
        <f t="shared" si="790"/>
        <v>0.437363323961262</v>
      </c>
      <c r="AP1563" s="2">
        <f t="shared" si="780"/>
        <v>0</v>
      </c>
      <c r="AQ1563" s="2">
        <f t="shared" si="781"/>
        <v>0</v>
      </c>
      <c r="AR1563" s="5">
        <f t="shared" si="782"/>
        <v>0</v>
      </c>
    </row>
    <row r="1564" spans="1:44">
      <c r="A1564" s="2">
        <v>20260504</v>
      </c>
      <c r="B1564" s="2" t="s">
        <v>3168</v>
      </c>
      <c r="C1564" s="2" t="s">
        <v>3169</v>
      </c>
      <c r="D1564" s="2">
        <v>3</v>
      </c>
      <c r="E1564" s="2">
        <v>4</v>
      </c>
      <c r="F1564" s="2">
        <v>0</v>
      </c>
      <c r="G1564" s="2">
        <v>4</v>
      </c>
      <c r="H1564" s="2">
        <v>3</v>
      </c>
      <c r="I1564" s="3">
        <v>6</v>
      </c>
      <c r="J1564" s="2">
        <v>9</v>
      </c>
      <c r="K1564" s="2">
        <v>0</v>
      </c>
      <c r="L1564" s="2">
        <v>0</v>
      </c>
      <c r="M1564" s="2">
        <v>1</v>
      </c>
      <c r="N1564" s="2">
        <v>5</v>
      </c>
      <c r="O1564" s="2">
        <v>1</v>
      </c>
      <c r="P1564" s="3">
        <v>5</v>
      </c>
      <c r="Q1564" s="2">
        <v>0</v>
      </c>
      <c r="R1564" s="2">
        <v>559</v>
      </c>
      <c r="S1564" s="2">
        <v>0</v>
      </c>
      <c r="T1564" s="2">
        <v>15</v>
      </c>
      <c r="U1564" s="2">
        <v>0</v>
      </c>
      <c r="V1564" s="2">
        <f t="shared" si="784"/>
        <v>15</v>
      </c>
      <c r="W1564" s="2">
        <v>7</v>
      </c>
      <c r="X1564" s="2">
        <v>4</v>
      </c>
      <c r="Y1564" s="2">
        <v>2</v>
      </c>
      <c r="Z1564" s="2">
        <f t="shared" si="785"/>
        <v>13</v>
      </c>
      <c r="AA1564" s="2">
        <f t="shared" si="786"/>
        <v>43</v>
      </c>
      <c r="AB1564" s="2">
        <v>3202</v>
      </c>
      <c r="AC1564" s="20">
        <f t="shared" si="787"/>
        <v>1.34291068082448</v>
      </c>
      <c r="AD1564" s="2" t="s">
        <v>49</v>
      </c>
      <c r="AE1564" s="2">
        <v>125</v>
      </c>
      <c r="AF1564" s="21">
        <f t="shared" si="788"/>
        <v>2.01973766396003</v>
      </c>
      <c r="AG1564" s="4">
        <f t="shared" si="789"/>
        <v>0.468457214241099</v>
      </c>
      <c r="AH1564" s="4">
        <f t="shared" si="790"/>
        <v>0.405996252342286</v>
      </c>
      <c r="AP1564" s="2">
        <f t="shared" si="780"/>
        <v>0</v>
      </c>
      <c r="AQ1564" s="2">
        <f t="shared" si="781"/>
        <v>0</v>
      </c>
      <c r="AR1564" s="5">
        <f t="shared" si="782"/>
        <v>0</v>
      </c>
    </row>
    <row r="1565" spans="1:44">
      <c r="A1565" s="2">
        <v>20260504</v>
      </c>
      <c r="B1565" s="2" t="s">
        <v>3170</v>
      </c>
      <c r="C1565" s="2" t="s">
        <v>3171</v>
      </c>
      <c r="D1565" s="2">
        <v>10</v>
      </c>
      <c r="E1565" s="2">
        <v>10</v>
      </c>
      <c r="F1565" s="2">
        <v>17</v>
      </c>
      <c r="G1565" s="2">
        <v>2</v>
      </c>
      <c r="H1565" s="2">
        <v>12</v>
      </c>
      <c r="I1565" s="3">
        <v>13</v>
      </c>
      <c r="J1565" s="2">
        <v>9</v>
      </c>
      <c r="K1565" s="2">
        <v>30</v>
      </c>
      <c r="L1565" s="2">
        <v>1</v>
      </c>
      <c r="M1565" s="2">
        <v>4</v>
      </c>
      <c r="N1565" s="2">
        <v>13</v>
      </c>
      <c r="O1565" s="2">
        <v>40</v>
      </c>
      <c r="P1565" s="3">
        <v>12</v>
      </c>
      <c r="Q1565" s="2">
        <v>16</v>
      </c>
      <c r="R1565" s="2">
        <v>772</v>
      </c>
      <c r="S1565" s="2">
        <v>3</v>
      </c>
      <c r="T1565" s="2">
        <v>14</v>
      </c>
      <c r="U1565" s="2">
        <v>0</v>
      </c>
      <c r="V1565" s="2">
        <f t="shared" si="784"/>
        <v>33</v>
      </c>
      <c r="W1565" s="2">
        <v>1</v>
      </c>
      <c r="X1565" s="2">
        <v>7</v>
      </c>
      <c r="Y1565" s="2">
        <v>0</v>
      </c>
      <c r="Z1565" s="2">
        <f t="shared" si="785"/>
        <v>8</v>
      </c>
      <c r="AA1565" s="2">
        <f t="shared" si="786"/>
        <v>97</v>
      </c>
      <c r="AB1565" s="2">
        <v>3760</v>
      </c>
      <c r="AC1565" s="20">
        <f t="shared" si="787"/>
        <v>2.57978723404255</v>
      </c>
      <c r="AD1565" s="2" t="s">
        <v>49</v>
      </c>
      <c r="AE1565" s="2">
        <v>125</v>
      </c>
      <c r="AF1565" s="21">
        <f t="shared" si="788"/>
        <v>3.88</v>
      </c>
      <c r="AG1565" s="4">
        <f t="shared" si="789"/>
        <v>0.877659574468085</v>
      </c>
      <c r="AH1565" s="4">
        <f t="shared" si="790"/>
        <v>0.212765957446809</v>
      </c>
      <c r="AP1565" s="2">
        <f t="shared" si="780"/>
        <v>0</v>
      </c>
      <c r="AQ1565" s="2">
        <f t="shared" si="781"/>
        <v>0</v>
      </c>
      <c r="AR1565" s="5">
        <f t="shared" si="782"/>
        <v>0</v>
      </c>
    </row>
    <row r="1566" spans="1:44">
      <c r="A1566" s="2">
        <v>20260504</v>
      </c>
      <c r="B1566" s="2" t="s">
        <v>3172</v>
      </c>
      <c r="C1566" s="2" t="s">
        <v>3173</v>
      </c>
      <c r="D1566" s="2">
        <v>1</v>
      </c>
      <c r="E1566" s="2">
        <v>4</v>
      </c>
      <c r="F1566" s="2">
        <v>1</v>
      </c>
      <c r="G1566" s="2">
        <v>4</v>
      </c>
      <c r="H1566" s="2">
        <v>4</v>
      </c>
      <c r="I1566" s="3">
        <v>2</v>
      </c>
      <c r="J1566" s="2">
        <v>4</v>
      </c>
      <c r="K1566" s="2">
        <v>0</v>
      </c>
      <c r="L1566" s="2">
        <v>0</v>
      </c>
      <c r="M1566" s="2">
        <v>1</v>
      </c>
      <c r="N1566" s="2">
        <v>8</v>
      </c>
      <c r="O1566" s="2">
        <v>5</v>
      </c>
      <c r="P1566" s="3">
        <v>4</v>
      </c>
      <c r="Q1566" s="2">
        <v>4</v>
      </c>
      <c r="R1566" s="2">
        <v>440</v>
      </c>
      <c r="S1566" s="2">
        <v>2</v>
      </c>
      <c r="T1566" s="2">
        <v>11</v>
      </c>
      <c r="U1566" s="2">
        <v>0</v>
      </c>
      <c r="V1566" s="2">
        <f t="shared" si="784"/>
        <v>17</v>
      </c>
      <c r="W1566" s="2">
        <v>3</v>
      </c>
      <c r="X1566" s="2">
        <v>1</v>
      </c>
      <c r="Y1566" s="2">
        <v>0</v>
      </c>
      <c r="Z1566" s="2">
        <f t="shared" si="785"/>
        <v>4</v>
      </c>
      <c r="AA1566" s="2">
        <f t="shared" si="786"/>
        <v>30</v>
      </c>
      <c r="AB1566" s="2">
        <v>3202</v>
      </c>
      <c r="AC1566" s="20">
        <f t="shared" si="787"/>
        <v>0.936914428482199</v>
      </c>
      <c r="AD1566" s="2" t="s">
        <v>49</v>
      </c>
      <c r="AE1566" s="2">
        <v>125</v>
      </c>
      <c r="AF1566" s="21">
        <f t="shared" si="788"/>
        <v>1.40911930043723</v>
      </c>
      <c r="AG1566" s="4">
        <f t="shared" si="789"/>
        <v>0.530918176139913</v>
      </c>
      <c r="AH1566" s="4">
        <f t="shared" si="790"/>
        <v>0.124921923797626</v>
      </c>
      <c r="AP1566" s="2">
        <f t="shared" si="780"/>
        <v>0</v>
      </c>
      <c r="AQ1566" s="2">
        <f t="shared" si="781"/>
        <v>0</v>
      </c>
      <c r="AR1566" s="5">
        <f t="shared" si="782"/>
        <v>0</v>
      </c>
    </row>
    <row r="1567" spans="1:44">
      <c r="A1567" s="2">
        <v>20260504</v>
      </c>
      <c r="B1567" s="2" t="s">
        <v>3174</v>
      </c>
      <c r="C1567" s="2" t="s">
        <v>3175</v>
      </c>
      <c r="D1567" s="2">
        <v>6</v>
      </c>
      <c r="E1567" s="2">
        <v>5</v>
      </c>
      <c r="F1567" s="2">
        <v>15</v>
      </c>
      <c r="G1567" s="2">
        <v>3</v>
      </c>
      <c r="H1567" s="2">
        <v>11</v>
      </c>
      <c r="I1567" s="3">
        <v>18</v>
      </c>
      <c r="J1567" s="2">
        <v>6</v>
      </c>
      <c r="K1567" s="2">
        <v>33</v>
      </c>
      <c r="L1567" s="2">
        <v>1</v>
      </c>
      <c r="M1567" s="2">
        <v>1</v>
      </c>
      <c r="N1567" s="2">
        <v>18</v>
      </c>
      <c r="O1567" s="2">
        <v>50</v>
      </c>
      <c r="P1567" s="3">
        <v>9</v>
      </c>
      <c r="Q1567" s="2">
        <v>12</v>
      </c>
      <c r="R1567" s="2">
        <v>469</v>
      </c>
      <c r="S1567" s="2">
        <v>1</v>
      </c>
      <c r="T1567" s="2">
        <v>7</v>
      </c>
      <c r="U1567" s="2">
        <v>1</v>
      </c>
      <c r="V1567" s="2">
        <f t="shared" si="784"/>
        <v>21</v>
      </c>
      <c r="W1567" s="2">
        <v>2</v>
      </c>
      <c r="X1567" s="2">
        <v>6</v>
      </c>
      <c r="Y1567" s="2">
        <v>1</v>
      </c>
      <c r="Z1567" s="2">
        <f t="shared" si="785"/>
        <v>10</v>
      </c>
      <c r="AA1567" s="2">
        <f t="shared" si="786"/>
        <v>90</v>
      </c>
      <c r="AB1567" s="2">
        <v>3460</v>
      </c>
      <c r="AC1567" s="20">
        <f t="shared" si="787"/>
        <v>2.60115606936416</v>
      </c>
      <c r="AD1567" s="2" t="s">
        <v>49</v>
      </c>
      <c r="AE1567" s="2">
        <v>125</v>
      </c>
      <c r="AF1567" s="21">
        <f t="shared" si="788"/>
        <v>3.9121387283237</v>
      </c>
      <c r="AG1567" s="4">
        <f t="shared" si="789"/>
        <v>0.606936416184971</v>
      </c>
      <c r="AH1567" s="4">
        <f t="shared" si="790"/>
        <v>0.289017341040462</v>
      </c>
      <c r="AP1567" s="2">
        <f t="shared" si="780"/>
        <v>0</v>
      </c>
      <c r="AQ1567" s="2">
        <f t="shared" si="781"/>
        <v>0</v>
      </c>
      <c r="AR1567" s="5">
        <f t="shared" si="782"/>
        <v>0</v>
      </c>
    </row>
    <row r="1568" spans="1:44">
      <c r="A1568" s="2">
        <v>20260504</v>
      </c>
      <c r="B1568" s="2" t="s">
        <v>3176</v>
      </c>
      <c r="C1568" s="2" t="s">
        <v>3177</v>
      </c>
      <c r="D1568" s="2">
        <v>0</v>
      </c>
      <c r="E1568" s="2">
        <v>9</v>
      </c>
      <c r="F1568" s="2">
        <v>2</v>
      </c>
      <c r="G1568" s="2">
        <v>7</v>
      </c>
      <c r="H1568" s="2">
        <v>4</v>
      </c>
      <c r="I1568" s="3">
        <v>14</v>
      </c>
      <c r="J1568" s="2">
        <v>9</v>
      </c>
      <c r="K1568" s="2">
        <v>1</v>
      </c>
      <c r="L1568" s="2">
        <v>0</v>
      </c>
      <c r="M1568" s="2">
        <v>2</v>
      </c>
      <c r="N1568" s="2">
        <v>2</v>
      </c>
      <c r="O1568" s="2">
        <v>0</v>
      </c>
      <c r="P1568" s="3">
        <v>7</v>
      </c>
      <c r="Q1568" s="2">
        <v>2</v>
      </c>
      <c r="R1568" s="2">
        <v>123</v>
      </c>
      <c r="S1568" s="2">
        <v>4</v>
      </c>
      <c r="T1568" s="2">
        <v>6</v>
      </c>
      <c r="U1568" s="2">
        <v>0</v>
      </c>
      <c r="V1568" s="2">
        <f t="shared" si="784"/>
        <v>12</v>
      </c>
      <c r="W1568" s="2">
        <v>10</v>
      </c>
      <c r="X1568" s="2">
        <v>6</v>
      </c>
      <c r="Y1568" s="2">
        <v>1</v>
      </c>
      <c r="Z1568" s="2">
        <f t="shared" ref="Z1568:Z1576" si="791">Y1568+X1568+W1568+U1568</f>
        <v>17</v>
      </c>
      <c r="AA1568" s="2">
        <f t="shared" ref="AA1568:AA1576" si="792">G1568+H1568+I1568+J1568+K1568+L1568+M1568+P1568+T1568+U1568</f>
        <v>50</v>
      </c>
      <c r="AB1568" s="2" t="s">
        <v>3178</v>
      </c>
      <c r="AC1568" s="20" t="e">
        <f t="shared" ref="AC1568:AC1580" si="793">AA1568/AB1568*100</f>
        <v>#VALUE!</v>
      </c>
      <c r="AD1568" s="2" t="s">
        <v>49</v>
      </c>
      <c r="AE1568" s="2">
        <v>125</v>
      </c>
      <c r="AF1568" s="21" t="e">
        <f t="shared" si="788"/>
        <v>#VALUE!</v>
      </c>
      <c r="AG1568" s="4" t="e">
        <f t="shared" si="789"/>
        <v>#VALUE!</v>
      </c>
      <c r="AH1568" s="4" t="e">
        <f t="shared" si="790"/>
        <v>#VALUE!</v>
      </c>
      <c r="AP1568" s="2">
        <f t="shared" si="780"/>
        <v>0</v>
      </c>
      <c r="AQ1568" s="2">
        <f t="shared" si="781"/>
        <v>0</v>
      </c>
      <c r="AR1568" s="5">
        <f t="shared" si="782"/>
        <v>0</v>
      </c>
    </row>
    <row r="1569" spans="1:44">
      <c r="A1569" s="2">
        <v>20260504</v>
      </c>
      <c r="B1569" s="2" t="s">
        <v>3178</v>
      </c>
      <c r="C1569" s="2" t="s">
        <v>3179</v>
      </c>
      <c r="D1569" s="2">
        <v>0</v>
      </c>
      <c r="E1569" s="2">
        <v>63</v>
      </c>
      <c r="F1569" s="2">
        <v>42</v>
      </c>
      <c r="G1569" s="2">
        <v>6</v>
      </c>
      <c r="H1569" s="2">
        <v>16</v>
      </c>
      <c r="I1569" s="3">
        <v>7</v>
      </c>
      <c r="J1569" s="2">
        <v>32</v>
      </c>
      <c r="K1569" s="2">
        <v>7</v>
      </c>
      <c r="L1569" s="2">
        <v>1</v>
      </c>
      <c r="M1569" s="2">
        <v>3</v>
      </c>
      <c r="N1569" s="2">
        <v>66</v>
      </c>
      <c r="O1569" s="2">
        <v>17</v>
      </c>
      <c r="P1569" s="3">
        <v>2</v>
      </c>
      <c r="Q1569" s="2">
        <v>45</v>
      </c>
      <c r="R1569" s="2">
        <v>33</v>
      </c>
      <c r="S1569" s="2">
        <v>1</v>
      </c>
      <c r="T1569" s="2">
        <v>41</v>
      </c>
      <c r="U1569" s="2">
        <v>4</v>
      </c>
      <c r="V1569" s="2">
        <f t="shared" ref="V1569:V1581" si="794">U1569+T1569+S1569+Q1569</f>
        <v>91</v>
      </c>
      <c r="W1569" s="2">
        <v>8</v>
      </c>
      <c r="X1569" s="2">
        <v>2</v>
      </c>
      <c r="Y1569" s="2">
        <v>0</v>
      </c>
      <c r="Z1569" s="2">
        <f t="shared" si="791"/>
        <v>14</v>
      </c>
      <c r="AA1569" s="2">
        <f t="shared" si="792"/>
        <v>119</v>
      </c>
      <c r="AB1569" s="2">
        <v>3452</v>
      </c>
      <c r="AC1569" s="20">
        <f t="shared" si="793"/>
        <v>3.44727694090382</v>
      </c>
      <c r="AD1569" s="2" t="s">
        <v>49</v>
      </c>
      <c r="AE1569" s="2">
        <v>125</v>
      </c>
      <c r="AF1569" s="21">
        <f t="shared" ref="AF1569:AF1578" si="795">188/AE1569*AC1569</f>
        <v>5.18470451911935</v>
      </c>
      <c r="AG1569" s="4">
        <f t="shared" ref="AG1569:AG1578" si="796">V1569/AB1569*100</f>
        <v>2.63615295480881</v>
      </c>
      <c r="AH1569" s="4">
        <f t="shared" ref="AH1569:AH1578" si="797">Z1569/AB1569*100</f>
        <v>0.405561993047509</v>
      </c>
      <c r="AP1569" s="2">
        <f t="shared" si="780"/>
        <v>0</v>
      </c>
      <c r="AQ1569" s="2" t="e">
        <f t="shared" si="781"/>
        <v>#VALUE!</v>
      </c>
      <c r="AR1569" s="5" t="e">
        <f t="shared" si="782"/>
        <v>#VALUE!</v>
      </c>
    </row>
    <row r="1570" spans="1:44">
      <c r="A1570" s="2">
        <v>20260504</v>
      </c>
      <c r="B1570" s="2" t="s">
        <v>3180</v>
      </c>
      <c r="C1570" s="2" t="s">
        <v>3181</v>
      </c>
      <c r="D1570" s="2">
        <v>2</v>
      </c>
      <c r="E1570" s="2">
        <v>1</v>
      </c>
      <c r="F1570" s="2">
        <v>7</v>
      </c>
      <c r="G1570" s="2">
        <v>6</v>
      </c>
      <c r="H1570" s="2">
        <v>6</v>
      </c>
      <c r="I1570" s="3">
        <v>10</v>
      </c>
      <c r="J1570" s="2">
        <v>8</v>
      </c>
      <c r="K1570" s="2">
        <v>4</v>
      </c>
      <c r="L1570" s="2">
        <v>0</v>
      </c>
      <c r="M1570" s="2">
        <v>3</v>
      </c>
      <c r="N1570" s="2">
        <v>0</v>
      </c>
      <c r="O1570" s="2">
        <v>1</v>
      </c>
      <c r="P1570" s="3">
        <v>7</v>
      </c>
      <c r="Q1570" s="2">
        <v>4</v>
      </c>
      <c r="R1570" s="2">
        <v>741</v>
      </c>
      <c r="S1570" s="2">
        <v>1</v>
      </c>
      <c r="T1570" s="2">
        <v>4</v>
      </c>
      <c r="U1570" s="2">
        <v>1</v>
      </c>
      <c r="V1570" s="2">
        <f t="shared" si="794"/>
        <v>10</v>
      </c>
      <c r="W1570" s="2">
        <v>5</v>
      </c>
      <c r="X1570" s="2">
        <v>1</v>
      </c>
      <c r="Y1570" s="2">
        <v>0</v>
      </c>
      <c r="Z1570" s="2">
        <f t="shared" si="791"/>
        <v>7</v>
      </c>
      <c r="AA1570" s="2">
        <f t="shared" si="792"/>
        <v>49</v>
      </c>
      <c r="AB1570" s="2">
        <v>3530</v>
      </c>
      <c r="AC1570" s="20">
        <f t="shared" si="793"/>
        <v>1.38810198300283</v>
      </c>
      <c r="AD1570" s="2" t="s">
        <v>49</v>
      </c>
      <c r="AE1570" s="2">
        <v>125</v>
      </c>
      <c r="AF1570" s="21">
        <f t="shared" si="795"/>
        <v>2.08770538243626</v>
      </c>
      <c r="AG1570" s="4">
        <f t="shared" si="796"/>
        <v>0.28328611898017</v>
      </c>
      <c r="AH1570" s="4">
        <f t="shared" si="797"/>
        <v>0.198300283286119</v>
      </c>
      <c r="AP1570" s="2">
        <f t="shared" si="780"/>
        <v>0</v>
      </c>
      <c r="AQ1570" s="2">
        <f t="shared" si="781"/>
        <v>0</v>
      </c>
      <c r="AR1570" s="5">
        <f t="shared" si="782"/>
        <v>0</v>
      </c>
    </row>
    <row r="1571" spans="1:44">
      <c r="A1571" s="2">
        <v>20260504</v>
      </c>
      <c r="B1571" s="2" t="s">
        <v>3182</v>
      </c>
      <c r="C1571" s="2" t="s">
        <v>3183</v>
      </c>
      <c r="D1571" s="2">
        <v>1</v>
      </c>
      <c r="E1571" s="2">
        <v>6</v>
      </c>
      <c r="F1571" s="2">
        <v>0</v>
      </c>
      <c r="G1571" s="2">
        <v>1</v>
      </c>
      <c r="H1571" s="2">
        <v>2</v>
      </c>
      <c r="I1571" s="3">
        <v>11</v>
      </c>
      <c r="J1571" s="2">
        <v>7</v>
      </c>
      <c r="K1571" s="2">
        <v>2</v>
      </c>
      <c r="L1571" s="2">
        <v>0</v>
      </c>
      <c r="M1571" s="2">
        <v>2</v>
      </c>
      <c r="N1571" s="2">
        <v>9</v>
      </c>
      <c r="O1571" s="2">
        <v>5</v>
      </c>
      <c r="P1571" s="3">
        <v>4</v>
      </c>
      <c r="Q1571" s="2">
        <v>7</v>
      </c>
      <c r="R1571" s="2">
        <v>344</v>
      </c>
      <c r="S1571" s="2">
        <v>2</v>
      </c>
      <c r="T1571" s="2">
        <v>2</v>
      </c>
      <c r="U1571" s="2">
        <v>0</v>
      </c>
      <c r="V1571" s="2">
        <f t="shared" si="794"/>
        <v>11</v>
      </c>
      <c r="W1571" s="2">
        <v>4</v>
      </c>
      <c r="X1571" s="2">
        <v>7</v>
      </c>
      <c r="Y1571" s="2">
        <v>0</v>
      </c>
      <c r="Z1571" s="2">
        <f t="shared" si="791"/>
        <v>11</v>
      </c>
      <c r="AA1571" s="2">
        <f t="shared" si="792"/>
        <v>31</v>
      </c>
      <c r="AB1571" s="2">
        <v>3650</v>
      </c>
      <c r="AC1571" s="20">
        <f t="shared" si="793"/>
        <v>0.849315068493151</v>
      </c>
      <c r="AD1571" s="2" t="s">
        <v>49</v>
      </c>
      <c r="AE1571" s="2">
        <v>125</v>
      </c>
      <c r="AF1571" s="21">
        <f t="shared" si="795"/>
        <v>1.2773698630137</v>
      </c>
      <c r="AG1571" s="4">
        <f t="shared" si="796"/>
        <v>0.301369863013699</v>
      </c>
      <c r="AH1571" s="4">
        <f t="shared" si="797"/>
        <v>0.301369863013699</v>
      </c>
      <c r="AP1571" s="2">
        <f t="shared" si="780"/>
        <v>0</v>
      </c>
      <c r="AQ1571" s="2">
        <f t="shared" si="781"/>
        <v>0</v>
      </c>
      <c r="AR1571" s="5">
        <f t="shared" si="782"/>
        <v>0</v>
      </c>
    </row>
    <row r="1572" spans="1:44">
      <c r="A1572" s="2">
        <v>20260504</v>
      </c>
      <c r="B1572" s="2" t="s">
        <v>3184</v>
      </c>
      <c r="C1572" s="2" t="s">
        <v>3185</v>
      </c>
      <c r="D1572" s="2">
        <v>0</v>
      </c>
      <c r="E1572" s="2">
        <v>7</v>
      </c>
      <c r="F1572" s="2">
        <v>2</v>
      </c>
      <c r="G1572" s="2">
        <v>2</v>
      </c>
      <c r="H1572" s="2">
        <v>21</v>
      </c>
      <c r="I1572" s="3">
        <v>10</v>
      </c>
      <c r="J1572" s="2">
        <v>8</v>
      </c>
      <c r="K1572" s="2">
        <v>2</v>
      </c>
      <c r="L1572" s="2">
        <v>1</v>
      </c>
      <c r="M1572" s="2">
        <v>9</v>
      </c>
      <c r="N1572" s="2">
        <v>9</v>
      </c>
      <c r="O1572" s="2">
        <v>3</v>
      </c>
      <c r="P1572" s="3">
        <v>1</v>
      </c>
      <c r="Q1572" s="2">
        <v>2</v>
      </c>
      <c r="R1572" s="2">
        <v>888</v>
      </c>
      <c r="S1572" s="2">
        <v>1</v>
      </c>
      <c r="T1572" s="2">
        <v>4</v>
      </c>
      <c r="U1572" s="2">
        <v>0</v>
      </c>
      <c r="V1572" s="2">
        <f t="shared" si="794"/>
        <v>7</v>
      </c>
      <c r="W1572" s="2">
        <v>16</v>
      </c>
      <c r="X1572" s="2">
        <v>5</v>
      </c>
      <c r="Y1572" s="2">
        <v>0</v>
      </c>
      <c r="Z1572" s="2">
        <f t="shared" si="791"/>
        <v>21</v>
      </c>
      <c r="AA1572" s="2">
        <f t="shared" si="792"/>
        <v>58</v>
      </c>
      <c r="AB1572" s="2">
        <v>3650</v>
      </c>
      <c r="AC1572" s="20">
        <f t="shared" si="793"/>
        <v>1.58904109589041</v>
      </c>
      <c r="AD1572" s="2" t="s">
        <v>49</v>
      </c>
      <c r="AE1572" s="2">
        <v>125</v>
      </c>
      <c r="AF1572" s="21">
        <f t="shared" si="795"/>
        <v>2.38991780821918</v>
      </c>
      <c r="AG1572" s="4">
        <f t="shared" si="796"/>
        <v>0.191780821917808</v>
      </c>
      <c r="AH1572" s="4">
        <f t="shared" si="797"/>
        <v>0.575342465753425</v>
      </c>
      <c r="AP1572" s="2">
        <f t="shared" si="780"/>
        <v>0</v>
      </c>
      <c r="AQ1572" s="2">
        <f t="shared" si="781"/>
        <v>0</v>
      </c>
      <c r="AR1572" s="5">
        <f t="shared" si="782"/>
        <v>0</v>
      </c>
    </row>
    <row r="1573" spans="1:44">
      <c r="A1573" s="2">
        <v>20260504</v>
      </c>
      <c r="B1573" s="2" t="s">
        <v>3186</v>
      </c>
      <c r="C1573" s="2" t="s">
        <v>3187</v>
      </c>
      <c r="D1573" s="2">
        <v>0</v>
      </c>
      <c r="E1573" s="2">
        <v>2</v>
      </c>
      <c r="F1573" s="2">
        <v>0</v>
      </c>
      <c r="G1573" s="2">
        <v>4</v>
      </c>
      <c r="H1573" s="2">
        <v>17</v>
      </c>
      <c r="I1573" s="3">
        <v>13</v>
      </c>
      <c r="J1573" s="2">
        <v>18</v>
      </c>
      <c r="K1573" s="2">
        <v>4</v>
      </c>
      <c r="L1573" s="2">
        <v>0</v>
      </c>
      <c r="M1573" s="2">
        <v>6</v>
      </c>
      <c r="N1573" s="2">
        <v>11</v>
      </c>
      <c r="O1573" s="2">
        <v>5</v>
      </c>
      <c r="P1573" s="3">
        <v>2</v>
      </c>
      <c r="Q1573" s="2">
        <v>0</v>
      </c>
      <c r="R1573" s="2">
        <v>658</v>
      </c>
      <c r="S1573" s="2">
        <v>15</v>
      </c>
      <c r="T1573" s="2">
        <v>0</v>
      </c>
      <c r="U1573" s="2">
        <v>0</v>
      </c>
      <c r="V1573" s="2">
        <f t="shared" si="794"/>
        <v>15</v>
      </c>
      <c r="W1573" s="2">
        <v>6</v>
      </c>
      <c r="X1573" s="2">
        <v>3</v>
      </c>
      <c r="Y1573" s="2">
        <v>0</v>
      </c>
      <c r="Z1573" s="2">
        <f t="shared" si="791"/>
        <v>9</v>
      </c>
      <c r="AA1573" s="2">
        <f t="shared" si="792"/>
        <v>64</v>
      </c>
      <c r="AB1573" s="2">
        <v>3201</v>
      </c>
      <c r="AC1573" s="20">
        <f t="shared" si="793"/>
        <v>1.99937519525148</v>
      </c>
      <c r="AD1573" s="2" t="s">
        <v>49</v>
      </c>
      <c r="AE1573" s="2">
        <v>125</v>
      </c>
      <c r="AF1573" s="21">
        <f t="shared" si="795"/>
        <v>3.00706029365823</v>
      </c>
      <c r="AG1573" s="4">
        <f t="shared" si="796"/>
        <v>0.468603561387066</v>
      </c>
      <c r="AH1573" s="4">
        <f t="shared" si="797"/>
        <v>0.28116213683224</v>
      </c>
      <c r="AP1573" s="2">
        <f t="shared" si="780"/>
        <v>0</v>
      </c>
      <c r="AQ1573" s="2">
        <f t="shared" si="781"/>
        <v>0</v>
      </c>
      <c r="AR1573" s="5">
        <f t="shared" si="782"/>
        <v>0</v>
      </c>
    </row>
    <row r="1574" spans="1:44">
      <c r="A1574" s="2">
        <v>20260504</v>
      </c>
      <c r="B1574" s="2" t="s">
        <v>3188</v>
      </c>
      <c r="C1574" s="2" t="s">
        <v>3189</v>
      </c>
      <c r="D1574" s="2">
        <v>1</v>
      </c>
      <c r="E1574" s="2">
        <v>2</v>
      </c>
      <c r="F1574" s="2">
        <v>0</v>
      </c>
      <c r="G1574" s="2">
        <v>4</v>
      </c>
      <c r="H1574" s="2">
        <v>10</v>
      </c>
      <c r="I1574" s="3">
        <v>11</v>
      </c>
      <c r="J1574" s="2">
        <v>33</v>
      </c>
      <c r="K1574" s="2">
        <v>2</v>
      </c>
      <c r="L1574" s="2">
        <v>0</v>
      </c>
      <c r="M1574" s="2">
        <v>9</v>
      </c>
      <c r="N1574" s="2">
        <v>7</v>
      </c>
      <c r="O1574" s="2">
        <v>0</v>
      </c>
      <c r="P1574" s="3">
        <v>12</v>
      </c>
      <c r="Q1574" s="2">
        <v>1</v>
      </c>
      <c r="R1574" s="2">
        <v>567</v>
      </c>
      <c r="S1574" s="2">
        <v>2</v>
      </c>
      <c r="T1574" s="2">
        <v>10</v>
      </c>
      <c r="U1574" s="2">
        <v>0</v>
      </c>
      <c r="V1574" s="2">
        <f t="shared" si="794"/>
        <v>13</v>
      </c>
      <c r="W1574" s="2">
        <v>28</v>
      </c>
      <c r="X1574" s="2">
        <v>3</v>
      </c>
      <c r="Y1574" s="2">
        <v>1</v>
      </c>
      <c r="Z1574" s="2">
        <f t="shared" si="791"/>
        <v>32</v>
      </c>
      <c r="AA1574" s="2">
        <f t="shared" si="792"/>
        <v>91</v>
      </c>
      <c r="AB1574" s="2">
        <v>3301</v>
      </c>
      <c r="AC1574" s="20">
        <f t="shared" si="793"/>
        <v>2.75674038170251</v>
      </c>
      <c r="AD1574" s="2" t="s">
        <v>49</v>
      </c>
      <c r="AE1574" s="2">
        <v>125</v>
      </c>
      <c r="AF1574" s="21">
        <f t="shared" si="795"/>
        <v>4.14613753408058</v>
      </c>
      <c r="AG1574" s="4">
        <f t="shared" si="796"/>
        <v>0.393820054528931</v>
      </c>
      <c r="AH1574" s="4">
        <f t="shared" si="797"/>
        <v>0.969403211148137</v>
      </c>
      <c r="AP1574" s="2">
        <f t="shared" si="780"/>
        <v>0</v>
      </c>
      <c r="AQ1574" s="2">
        <f t="shared" si="781"/>
        <v>0</v>
      </c>
      <c r="AR1574" s="5">
        <f t="shared" si="782"/>
        <v>0</v>
      </c>
    </row>
    <row r="1575" spans="1:44">
      <c r="A1575" s="2">
        <v>20260504</v>
      </c>
      <c r="B1575" s="2" t="s">
        <v>3190</v>
      </c>
      <c r="C1575" s="2" t="s">
        <v>3191</v>
      </c>
      <c r="D1575" s="2">
        <v>4</v>
      </c>
      <c r="E1575" s="2">
        <v>34</v>
      </c>
      <c r="F1575" s="2">
        <v>2</v>
      </c>
      <c r="G1575" s="2">
        <v>22</v>
      </c>
      <c r="H1575" s="2">
        <v>240</v>
      </c>
      <c r="I1575" s="3">
        <v>27</v>
      </c>
      <c r="J1575" s="2">
        <v>197</v>
      </c>
      <c r="K1575" s="2">
        <v>20</v>
      </c>
      <c r="L1575" s="2">
        <v>2</v>
      </c>
      <c r="M1575" s="2">
        <v>48</v>
      </c>
      <c r="N1575" s="2">
        <v>92</v>
      </c>
      <c r="O1575" s="2">
        <v>2</v>
      </c>
      <c r="P1575" s="3">
        <v>57</v>
      </c>
      <c r="Q1575" s="2">
        <v>3</v>
      </c>
      <c r="R1575" s="2">
        <v>1159</v>
      </c>
      <c r="S1575" s="2">
        <v>11</v>
      </c>
      <c r="T1575" s="2">
        <v>135</v>
      </c>
      <c r="U1575" s="2">
        <v>4</v>
      </c>
      <c r="V1575" s="2">
        <f t="shared" si="794"/>
        <v>153</v>
      </c>
      <c r="W1575" s="2">
        <v>4</v>
      </c>
      <c r="X1575" s="2">
        <v>5</v>
      </c>
      <c r="Y1575" s="2">
        <v>0</v>
      </c>
      <c r="Z1575" s="2">
        <f t="shared" si="791"/>
        <v>13</v>
      </c>
      <c r="AA1575" s="2">
        <f t="shared" si="792"/>
        <v>752</v>
      </c>
      <c r="AB1575" s="2">
        <v>4200</v>
      </c>
      <c r="AC1575" s="20">
        <f t="shared" si="793"/>
        <v>17.9047619047619</v>
      </c>
      <c r="AD1575" s="2" t="s">
        <v>49</v>
      </c>
      <c r="AE1575" s="2">
        <v>125</v>
      </c>
      <c r="AF1575" s="21">
        <f t="shared" si="795"/>
        <v>26.9287619047619</v>
      </c>
      <c r="AG1575" s="4">
        <f t="shared" si="796"/>
        <v>3.64285714285714</v>
      </c>
      <c r="AH1575" s="4">
        <f t="shared" si="797"/>
        <v>0.30952380952381</v>
      </c>
      <c r="AP1575" s="2">
        <f t="shared" si="780"/>
        <v>0</v>
      </c>
      <c r="AQ1575" s="2">
        <f t="shared" si="781"/>
        <v>0</v>
      </c>
      <c r="AR1575" s="5">
        <f t="shared" si="782"/>
        <v>0</v>
      </c>
    </row>
    <row r="1576" spans="1:44">
      <c r="A1576" s="2">
        <v>20260504</v>
      </c>
      <c r="B1576" t="s">
        <v>3192</v>
      </c>
      <c r="C1576" s="2" t="s">
        <v>3193</v>
      </c>
      <c r="D1576" s="2">
        <v>0</v>
      </c>
      <c r="E1576" s="2">
        <v>3</v>
      </c>
      <c r="F1576" s="2">
        <v>0</v>
      </c>
      <c r="G1576" s="2">
        <v>3</v>
      </c>
      <c r="H1576" s="2">
        <v>3</v>
      </c>
      <c r="I1576" s="3">
        <v>4</v>
      </c>
      <c r="J1576" s="2">
        <v>15</v>
      </c>
      <c r="K1576" s="2">
        <v>2</v>
      </c>
      <c r="L1576" s="2">
        <v>0</v>
      </c>
      <c r="M1576" s="2">
        <v>0</v>
      </c>
      <c r="N1576" s="2">
        <v>5</v>
      </c>
      <c r="O1576" s="2">
        <v>0</v>
      </c>
      <c r="P1576" s="3">
        <v>4</v>
      </c>
      <c r="Q1576" s="2">
        <v>0</v>
      </c>
      <c r="R1576" s="2">
        <v>452</v>
      </c>
      <c r="S1576" s="2">
        <v>1</v>
      </c>
      <c r="T1576" s="2">
        <v>2</v>
      </c>
      <c r="U1576" s="2">
        <v>0</v>
      </c>
      <c r="V1576" s="2">
        <f t="shared" si="794"/>
        <v>3</v>
      </c>
      <c r="W1576" s="2">
        <v>11</v>
      </c>
      <c r="X1576" s="2">
        <v>2</v>
      </c>
      <c r="Y1576" s="2">
        <v>0</v>
      </c>
      <c r="Z1576" s="2">
        <f t="shared" ref="Z1576:Z1592" si="798">Y1576+X1576+W1576+U1576</f>
        <v>13</v>
      </c>
      <c r="AA1576" s="2">
        <f t="shared" ref="AA1576:AA1595" si="799">G1576+H1576+I1576+J1576+K1576+L1576+M1576+P1576+T1576+U1576</f>
        <v>33</v>
      </c>
      <c r="AB1576" s="2">
        <v>2594</v>
      </c>
      <c r="AC1576" s="20">
        <f t="shared" si="793"/>
        <v>1.272166538165</v>
      </c>
      <c r="AD1576" s="2" t="s">
        <v>49</v>
      </c>
      <c r="AE1576" s="2">
        <v>125</v>
      </c>
      <c r="AF1576" s="21">
        <f t="shared" si="795"/>
        <v>1.91333847340015</v>
      </c>
      <c r="AG1576" s="4">
        <f t="shared" si="796"/>
        <v>0.115651503469545</v>
      </c>
      <c r="AH1576" s="4">
        <f t="shared" si="797"/>
        <v>0.501156515034695</v>
      </c>
      <c r="AP1576" s="2">
        <f t="shared" ref="AP1576:AP1607" si="800">AI1576+AJ1576+AL1576+AN1576</f>
        <v>0</v>
      </c>
      <c r="AQ1576" s="2">
        <f t="shared" ref="AQ1576:AQ1607" si="801">AP1576/AB1575*100</f>
        <v>0</v>
      </c>
      <c r="AR1576" s="5">
        <f t="shared" ref="AR1576:AR1607" si="802">AQ1576*1.88</f>
        <v>0</v>
      </c>
    </row>
    <row r="1577" spans="1:44">
      <c r="A1577" s="2">
        <v>20260504</v>
      </c>
      <c r="B1577" s="31" t="s">
        <v>3194</v>
      </c>
      <c r="C1577" s="2" t="s">
        <v>3195</v>
      </c>
      <c r="D1577" s="2">
        <v>1</v>
      </c>
      <c r="E1577" s="2">
        <v>2</v>
      </c>
      <c r="F1577" s="2">
        <v>1</v>
      </c>
      <c r="G1577" s="2">
        <v>3</v>
      </c>
      <c r="H1577" s="2">
        <v>2</v>
      </c>
      <c r="I1577" s="3">
        <v>16</v>
      </c>
      <c r="J1577" s="2">
        <v>21</v>
      </c>
      <c r="K1577" s="2">
        <v>0</v>
      </c>
      <c r="L1577" s="2">
        <v>0</v>
      </c>
      <c r="M1577" s="2">
        <v>3</v>
      </c>
      <c r="N1577" s="2">
        <v>9</v>
      </c>
      <c r="O1577" s="2">
        <v>0</v>
      </c>
      <c r="P1577" s="3">
        <v>4</v>
      </c>
      <c r="Q1577" s="2">
        <v>3</v>
      </c>
      <c r="R1577" s="2">
        <v>352</v>
      </c>
      <c r="S1577" s="2">
        <v>0</v>
      </c>
      <c r="T1577" s="2">
        <v>2</v>
      </c>
      <c r="U1577" s="2">
        <v>0</v>
      </c>
      <c r="V1577" s="2">
        <f t="shared" si="794"/>
        <v>5</v>
      </c>
      <c r="W1577" s="2">
        <v>4</v>
      </c>
      <c r="X1577" s="2">
        <v>0</v>
      </c>
      <c r="Y1577" s="2">
        <v>2</v>
      </c>
      <c r="Z1577" s="2">
        <f t="shared" si="798"/>
        <v>6</v>
      </c>
      <c r="AA1577" s="2">
        <f t="shared" si="799"/>
        <v>51</v>
      </c>
      <c r="AB1577" s="2">
        <v>4151</v>
      </c>
      <c r="AC1577" s="20">
        <f t="shared" si="793"/>
        <v>1.22861960973259</v>
      </c>
      <c r="AD1577" s="2" t="s">
        <v>44</v>
      </c>
      <c r="AE1577" s="2">
        <v>125</v>
      </c>
      <c r="AF1577" s="21">
        <f t="shared" si="795"/>
        <v>1.84784389303782</v>
      </c>
      <c r="AG1577" s="4">
        <f t="shared" si="796"/>
        <v>0.12045290291496</v>
      </c>
      <c r="AH1577" s="4">
        <f t="shared" si="797"/>
        <v>0.144543483497952</v>
      </c>
      <c r="AP1577" s="2">
        <f t="shared" si="800"/>
        <v>0</v>
      </c>
      <c r="AQ1577" s="2">
        <f t="shared" si="801"/>
        <v>0</v>
      </c>
      <c r="AR1577" s="5">
        <f t="shared" si="802"/>
        <v>0</v>
      </c>
    </row>
    <row r="1578" spans="1:44">
      <c r="A1578" s="2">
        <v>20260504</v>
      </c>
      <c r="B1578" s="2" t="s">
        <v>3196</v>
      </c>
      <c r="C1578" s="2" t="s">
        <v>3197</v>
      </c>
      <c r="D1578" s="2">
        <v>0</v>
      </c>
      <c r="E1578" s="2">
        <v>138</v>
      </c>
      <c r="F1578" s="2">
        <v>7</v>
      </c>
      <c r="G1578" s="2">
        <v>2</v>
      </c>
      <c r="H1578" s="2">
        <v>9</v>
      </c>
      <c r="I1578" s="3">
        <v>14</v>
      </c>
      <c r="J1578" s="2">
        <v>15</v>
      </c>
      <c r="K1578" s="2">
        <v>0</v>
      </c>
      <c r="L1578" s="2">
        <v>0</v>
      </c>
      <c r="M1578" s="2">
        <v>3</v>
      </c>
      <c r="N1578" s="2">
        <v>5</v>
      </c>
      <c r="O1578" s="2">
        <v>34</v>
      </c>
      <c r="P1578" s="3">
        <v>8</v>
      </c>
      <c r="Q1578" s="2">
        <v>5</v>
      </c>
      <c r="R1578" s="2">
        <v>385</v>
      </c>
      <c r="S1578" s="2">
        <v>0</v>
      </c>
      <c r="T1578" s="2">
        <v>6</v>
      </c>
      <c r="U1578" s="2">
        <v>1</v>
      </c>
      <c r="V1578" s="2">
        <f t="shared" ref="V1578:V1589" si="803">U1578+T1578+S1578+Q1578</f>
        <v>12</v>
      </c>
      <c r="W1578" s="2">
        <v>0</v>
      </c>
      <c r="X1578" s="2">
        <v>0</v>
      </c>
      <c r="Y1578" s="2">
        <v>0</v>
      </c>
      <c r="Z1578" s="2">
        <f t="shared" si="798"/>
        <v>1</v>
      </c>
      <c r="AA1578" s="2">
        <f t="shared" si="799"/>
        <v>58</v>
      </c>
      <c r="AB1578" s="2">
        <v>4490</v>
      </c>
      <c r="AC1578" s="20">
        <f t="shared" ref="AC1578:AC1612" si="804">AA1578/AB1578*100</f>
        <v>1.29175946547884</v>
      </c>
      <c r="AD1578" s="2" t="s">
        <v>44</v>
      </c>
      <c r="AE1578" s="2">
        <v>125</v>
      </c>
      <c r="AF1578" s="21">
        <f t="shared" ref="AF1578:AF1598" si="805">188/AE1578*AC1578</f>
        <v>1.94280623608018</v>
      </c>
      <c r="AG1578" s="4">
        <f t="shared" ref="AG1578:AG1598" si="806">V1578/AB1578*100</f>
        <v>0.267260579064588</v>
      </c>
      <c r="AH1578" s="4">
        <f t="shared" ref="AH1578:AH1598" si="807">Z1578/AB1578*100</f>
        <v>0.022271714922049</v>
      </c>
      <c r="AP1578" s="2">
        <f t="shared" si="800"/>
        <v>0</v>
      </c>
      <c r="AQ1578" s="2">
        <f t="shared" si="801"/>
        <v>0</v>
      </c>
      <c r="AR1578" s="5">
        <f t="shared" si="802"/>
        <v>0</v>
      </c>
    </row>
    <row r="1579" spans="1:44">
      <c r="A1579" s="2">
        <v>20260504</v>
      </c>
      <c r="B1579" s="2" t="s">
        <v>3198</v>
      </c>
      <c r="C1579" s="2" t="s">
        <v>3199</v>
      </c>
      <c r="D1579" s="2">
        <v>0</v>
      </c>
      <c r="E1579" s="2">
        <v>8</v>
      </c>
      <c r="F1579" s="2">
        <v>2</v>
      </c>
      <c r="G1579" s="2">
        <v>1</v>
      </c>
      <c r="H1579" s="2">
        <v>1</v>
      </c>
      <c r="I1579" s="3">
        <v>21</v>
      </c>
      <c r="J1579" s="2">
        <v>3</v>
      </c>
      <c r="K1579" s="2">
        <v>0</v>
      </c>
      <c r="L1579" s="2">
        <v>0</v>
      </c>
      <c r="M1579" s="2">
        <v>1</v>
      </c>
      <c r="N1579" s="2">
        <v>19</v>
      </c>
      <c r="O1579" s="2">
        <v>2</v>
      </c>
      <c r="P1579" s="3">
        <v>5</v>
      </c>
      <c r="Q1579" s="2">
        <v>1</v>
      </c>
      <c r="R1579" s="2">
        <v>167</v>
      </c>
      <c r="S1579" s="2">
        <v>1</v>
      </c>
      <c r="T1579" s="2">
        <v>1</v>
      </c>
      <c r="U1579" s="2">
        <v>0</v>
      </c>
      <c r="V1579" s="2">
        <f t="shared" si="803"/>
        <v>3</v>
      </c>
      <c r="W1579" s="2">
        <v>0</v>
      </c>
      <c r="X1579" s="2">
        <v>13</v>
      </c>
      <c r="Y1579" s="2">
        <v>0</v>
      </c>
      <c r="Z1579" s="2">
        <f t="shared" si="798"/>
        <v>13</v>
      </c>
      <c r="AA1579" s="2">
        <f t="shared" si="799"/>
        <v>33</v>
      </c>
      <c r="AB1579" s="2">
        <v>2094</v>
      </c>
      <c r="AC1579" s="20">
        <f t="shared" si="804"/>
        <v>1.57593123209169</v>
      </c>
      <c r="AD1579" s="2" t="s">
        <v>44</v>
      </c>
      <c r="AE1579" s="2">
        <v>125</v>
      </c>
      <c r="AF1579" s="21">
        <f t="shared" si="805"/>
        <v>2.3702005730659</v>
      </c>
      <c r="AG1579" s="4">
        <f t="shared" si="806"/>
        <v>0.143266475644699</v>
      </c>
      <c r="AH1579" s="4">
        <f t="shared" si="807"/>
        <v>0.620821394460363</v>
      </c>
      <c r="AP1579" s="2">
        <f t="shared" si="800"/>
        <v>0</v>
      </c>
      <c r="AQ1579" s="2">
        <f t="shared" si="801"/>
        <v>0</v>
      </c>
      <c r="AR1579" s="5">
        <f t="shared" si="802"/>
        <v>0</v>
      </c>
    </row>
    <row r="1580" spans="1:44">
      <c r="A1580" s="2">
        <v>20260504</v>
      </c>
      <c r="B1580" s="2" t="s">
        <v>3200</v>
      </c>
      <c r="C1580" s="2" t="s">
        <v>3201</v>
      </c>
      <c r="D1580" s="2">
        <v>0</v>
      </c>
      <c r="E1580" s="2">
        <v>1</v>
      </c>
      <c r="F1580" s="2">
        <v>1</v>
      </c>
      <c r="G1580" s="2">
        <v>4</v>
      </c>
      <c r="H1580" s="2">
        <v>4</v>
      </c>
      <c r="I1580" s="3">
        <v>14</v>
      </c>
      <c r="J1580" s="2">
        <v>7</v>
      </c>
      <c r="K1580" s="2">
        <v>1</v>
      </c>
      <c r="L1580" s="2">
        <v>0</v>
      </c>
      <c r="M1580" s="2">
        <v>1</v>
      </c>
      <c r="N1580" s="2">
        <v>10</v>
      </c>
      <c r="O1580" s="2">
        <v>3</v>
      </c>
      <c r="P1580" s="3">
        <v>7</v>
      </c>
      <c r="Q1580" s="2">
        <v>5</v>
      </c>
      <c r="R1580" s="2">
        <v>354</v>
      </c>
      <c r="S1580" s="2">
        <v>3</v>
      </c>
      <c r="T1580" s="2">
        <v>1</v>
      </c>
      <c r="U1580" s="2">
        <v>0</v>
      </c>
      <c r="V1580" s="2">
        <f t="shared" si="803"/>
        <v>9</v>
      </c>
      <c r="W1580" s="2">
        <v>6</v>
      </c>
      <c r="X1580" s="2">
        <v>0</v>
      </c>
      <c r="Y1580" s="2">
        <v>2</v>
      </c>
      <c r="Z1580" s="2">
        <f t="shared" si="798"/>
        <v>8</v>
      </c>
      <c r="AA1580" s="2">
        <f t="shared" si="799"/>
        <v>39</v>
      </c>
      <c r="AB1580" s="2">
        <v>4143</v>
      </c>
      <c r="AC1580" s="20">
        <f t="shared" si="804"/>
        <v>0.941346850108617</v>
      </c>
      <c r="AD1580" s="2" t="s">
        <v>44</v>
      </c>
      <c r="AE1580" s="2">
        <v>125</v>
      </c>
      <c r="AF1580" s="21">
        <f t="shared" si="805"/>
        <v>1.41578566256336</v>
      </c>
      <c r="AG1580" s="4">
        <f t="shared" si="806"/>
        <v>0.217233888486604</v>
      </c>
      <c r="AH1580" s="4">
        <f t="shared" si="807"/>
        <v>0.19309678976587</v>
      </c>
      <c r="AP1580" s="2">
        <f t="shared" si="800"/>
        <v>0</v>
      </c>
      <c r="AQ1580" s="2">
        <f t="shared" si="801"/>
        <v>0</v>
      </c>
      <c r="AR1580" s="5">
        <f t="shared" si="802"/>
        <v>0</v>
      </c>
    </row>
    <row r="1581" spans="1:44">
      <c r="A1581" s="2">
        <v>20260504</v>
      </c>
      <c r="B1581" s="2" t="s">
        <v>3202</v>
      </c>
      <c r="C1581" s="2" t="s">
        <v>3203</v>
      </c>
      <c r="D1581" s="2">
        <v>0</v>
      </c>
      <c r="E1581" s="2">
        <v>57</v>
      </c>
      <c r="F1581" s="2">
        <v>12</v>
      </c>
      <c r="G1581" s="2">
        <v>5</v>
      </c>
      <c r="H1581" s="2">
        <v>13</v>
      </c>
      <c r="I1581" s="3">
        <v>19</v>
      </c>
      <c r="J1581" s="2">
        <v>12</v>
      </c>
      <c r="K1581" s="2">
        <v>2</v>
      </c>
      <c r="L1581" s="2">
        <v>0</v>
      </c>
      <c r="M1581" s="2">
        <v>4</v>
      </c>
      <c r="N1581" s="2">
        <v>11</v>
      </c>
      <c r="O1581" s="2">
        <v>40</v>
      </c>
      <c r="P1581" s="3">
        <v>5</v>
      </c>
      <c r="Q1581" s="2">
        <v>1</v>
      </c>
      <c r="R1581" s="2">
        <v>108</v>
      </c>
      <c r="S1581" s="2">
        <v>0</v>
      </c>
      <c r="T1581" s="2">
        <v>57</v>
      </c>
      <c r="U1581" s="2">
        <v>0</v>
      </c>
      <c r="V1581" s="2">
        <f t="shared" si="803"/>
        <v>58</v>
      </c>
      <c r="W1581" s="2">
        <v>0</v>
      </c>
      <c r="X1581" s="2">
        <v>0</v>
      </c>
      <c r="Y1581" s="2">
        <v>2</v>
      </c>
      <c r="Z1581" s="2">
        <f t="shared" si="798"/>
        <v>2</v>
      </c>
      <c r="AA1581" s="2">
        <f t="shared" si="799"/>
        <v>117</v>
      </c>
      <c r="AB1581" s="2">
        <v>3606</v>
      </c>
      <c r="AC1581" s="20">
        <f t="shared" si="804"/>
        <v>3.24459234608985</v>
      </c>
      <c r="AD1581" s="2" t="s">
        <v>83</v>
      </c>
      <c r="AE1581" s="2">
        <v>100</v>
      </c>
      <c r="AF1581" s="21">
        <f t="shared" si="805"/>
        <v>6.09983361064892</v>
      </c>
      <c r="AG1581" s="4">
        <f t="shared" si="806"/>
        <v>1.60843039378813</v>
      </c>
      <c r="AH1581" s="4">
        <f t="shared" si="807"/>
        <v>0.0554631170271769</v>
      </c>
      <c r="AP1581" s="2">
        <f t="shared" si="800"/>
        <v>0</v>
      </c>
      <c r="AQ1581" s="2">
        <f t="shared" si="801"/>
        <v>0</v>
      </c>
      <c r="AR1581" s="5">
        <f t="shared" si="802"/>
        <v>0</v>
      </c>
    </row>
    <row r="1582" spans="1:44">
      <c r="A1582" s="2">
        <v>20260504</v>
      </c>
      <c r="B1582" s="2" t="s">
        <v>3204</v>
      </c>
      <c r="C1582" s="2" t="s">
        <v>3205</v>
      </c>
      <c r="D1582" s="2">
        <v>1</v>
      </c>
      <c r="E1582" s="2">
        <v>5</v>
      </c>
      <c r="F1582" s="2">
        <v>3</v>
      </c>
      <c r="G1582" s="2">
        <v>2</v>
      </c>
      <c r="H1582" s="2">
        <v>3</v>
      </c>
      <c r="I1582" s="3">
        <v>15</v>
      </c>
      <c r="J1582" s="2">
        <v>6</v>
      </c>
      <c r="K1582" s="2">
        <v>0</v>
      </c>
      <c r="L1582" s="2">
        <v>0</v>
      </c>
      <c r="M1582" s="2">
        <v>3</v>
      </c>
      <c r="N1582" s="2">
        <v>7</v>
      </c>
      <c r="O1582" s="2">
        <v>2</v>
      </c>
      <c r="P1582" s="3">
        <v>5</v>
      </c>
      <c r="Q1582" s="2">
        <v>2</v>
      </c>
      <c r="R1582" s="2">
        <v>22</v>
      </c>
      <c r="S1582" s="2">
        <v>1</v>
      </c>
      <c r="T1582" s="2">
        <v>5</v>
      </c>
      <c r="U1582" s="2">
        <v>0</v>
      </c>
      <c r="V1582" s="2">
        <f t="shared" si="803"/>
        <v>8</v>
      </c>
      <c r="W1582" s="2">
        <v>1</v>
      </c>
      <c r="X1582" s="2">
        <v>9</v>
      </c>
      <c r="Y1582" s="2">
        <v>2</v>
      </c>
      <c r="Z1582" s="2">
        <f t="shared" si="798"/>
        <v>12</v>
      </c>
      <c r="AA1582" s="2">
        <f t="shared" si="799"/>
        <v>39</v>
      </c>
      <c r="AB1582" s="2">
        <v>6304</v>
      </c>
      <c r="AC1582" s="20">
        <f t="shared" si="804"/>
        <v>0.618654822335025</v>
      </c>
      <c r="AD1582" s="2" t="s">
        <v>83</v>
      </c>
      <c r="AE1582" s="2">
        <v>100</v>
      </c>
      <c r="AF1582" s="21">
        <f t="shared" si="805"/>
        <v>1.16307106598985</v>
      </c>
      <c r="AG1582" s="4">
        <f t="shared" si="806"/>
        <v>0.126903553299492</v>
      </c>
      <c r="AH1582" s="4">
        <f t="shared" si="807"/>
        <v>0.190355329949239</v>
      </c>
      <c r="AP1582" s="2">
        <f t="shared" si="800"/>
        <v>0</v>
      </c>
      <c r="AQ1582" s="2">
        <f t="shared" si="801"/>
        <v>0</v>
      </c>
      <c r="AR1582" s="5">
        <f t="shared" si="802"/>
        <v>0</v>
      </c>
    </row>
    <row r="1583" spans="1:44">
      <c r="A1583" s="2">
        <v>20260504</v>
      </c>
      <c r="B1583" s="2" t="s">
        <v>3206</v>
      </c>
      <c r="C1583" s="2" t="s">
        <v>3207</v>
      </c>
      <c r="D1583" s="2">
        <v>1</v>
      </c>
      <c r="E1583" s="2">
        <v>2</v>
      </c>
      <c r="F1583" s="2">
        <v>3</v>
      </c>
      <c r="G1583" s="2">
        <v>0</v>
      </c>
      <c r="H1583" s="2">
        <v>1</v>
      </c>
      <c r="I1583" s="3">
        <v>10</v>
      </c>
      <c r="J1583" s="2">
        <v>5</v>
      </c>
      <c r="K1583" s="2">
        <v>2</v>
      </c>
      <c r="L1583" s="2">
        <v>0</v>
      </c>
      <c r="M1583" s="2">
        <v>7</v>
      </c>
      <c r="N1583" s="2">
        <v>14</v>
      </c>
      <c r="O1583" s="2">
        <v>0</v>
      </c>
      <c r="P1583" s="3">
        <v>4</v>
      </c>
      <c r="Q1583" s="2">
        <v>4</v>
      </c>
      <c r="R1583" s="2">
        <v>116</v>
      </c>
      <c r="S1583" s="2">
        <v>0</v>
      </c>
      <c r="T1583" s="2">
        <v>2</v>
      </c>
      <c r="U1583" s="2">
        <v>0</v>
      </c>
      <c r="V1583" s="2">
        <f t="shared" si="803"/>
        <v>6</v>
      </c>
      <c r="W1583" s="2">
        <v>1</v>
      </c>
      <c r="X1583" s="2">
        <v>3</v>
      </c>
      <c r="Y1583" s="2">
        <v>0</v>
      </c>
      <c r="Z1583" s="2">
        <f t="shared" si="798"/>
        <v>4</v>
      </c>
      <c r="AA1583" s="2">
        <f t="shared" si="799"/>
        <v>31</v>
      </c>
      <c r="AB1583" s="2">
        <v>6303</v>
      </c>
      <c r="AC1583" s="20">
        <f t="shared" si="804"/>
        <v>0.491829287640806</v>
      </c>
      <c r="AD1583" s="2" t="s">
        <v>83</v>
      </c>
      <c r="AE1583" s="2">
        <v>100</v>
      </c>
      <c r="AF1583" s="21">
        <f t="shared" si="805"/>
        <v>0.924639060764715</v>
      </c>
      <c r="AG1583" s="4">
        <f t="shared" si="806"/>
        <v>0.0951927653498334</v>
      </c>
      <c r="AH1583" s="4">
        <f t="shared" si="807"/>
        <v>0.0634618435665556</v>
      </c>
      <c r="AP1583" s="2">
        <f t="shared" si="800"/>
        <v>0</v>
      </c>
      <c r="AQ1583" s="2">
        <f t="shared" si="801"/>
        <v>0</v>
      </c>
      <c r="AR1583" s="5">
        <f t="shared" si="802"/>
        <v>0</v>
      </c>
    </row>
    <row r="1584" spans="1:44">
      <c r="A1584" s="2">
        <v>20260504</v>
      </c>
      <c r="B1584" s="2" t="s">
        <v>3208</v>
      </c>
      <c r="C1584" s="2" t="s">
        <v>3209</v>
      </c>
      <c r="D1584" s="2">
        <v>0</v>
      </c>
      <c r="E1584" s="2">
        <v>4</v>
      </c>
      <c r="F1584" s="2">
        <v>0</v>
      </c>
      <c r="G1584" s="2">
        <v>1</v>
      </c>
      <c r="H1584" s="2">
        <v>2</v>
      </c>
      <c r="I1584" s="3">
        <v>9</v>
      </c>
      <c r="J1584" s="2">
        <v>3</v>
      </c>
      <c r="K1584" s="2">
        <v>0</v>
      </c>
      <c r="L1584" s="2">
        <v>0</v>
      </c>
      <c r="M1584" s="2">
        <v>4</v>
      </c>
      <c r="N1584" s="2">
        <v>5</v>
      </c>
      <c r="O1584" s="2">
        <v>0</v>
      </c>
      <c r="P1584" s="3">
        <v>3</v>
      </c>
      <c r="Q1584" s="2">
        <v>3</v>
      </c>
      <c r="R1584" s="2">
        <v>79</v>
      </c>
      <c r="S1584" s="2">
        <v>0</v>
      </c>
      <c r="T1584" s="2">
        <v>5</v>
      </c>
      <c r="U1584" s="2">
        <v>0</v>
      </c>
      <c r="V1584" s="2">
        <f t="shared" si="803"/>
        <v>8</v>
      </c>
      <c r="W1584" s="2">
        <v>0</v>
      </c>
      <c r="X1584" s="2">
        <v>0</v>
      </c>
      <c r="Y1584" s="2">
        <v>0</v>
      </c>
      <c r="Z1584" s="2">
        <f t="shared" si="798"/>
        <v>0</v>
      </c>
      <c r="AA1584" s="2">
        <f t="shared" si="799"/>
        <v>27</v>
      </c>
      <c r="AB1584" s="2">
        <v>3103</v>
      </c>
      <c r="AC1584" s="20">
        <f t="shared" si="804"/>
        <v>0.870125684821141</v>
      </c>
      <c r="AD1584" s="2" t="s">
        <v>83</v>
      </c>
      <c r="AE1584" s="2">
        <v>100</v>
      </c>
      <c r="AF1584" s="21">
        <f t="shared" si="805"/>
        <v>1.63583628746374</v>
      </c>
      <c r="AG1584" s="4">
        <f t="shared" si="806"/>
        <v>0.257815017724782</v>
      </c>
      <c r="AH1584" s="4">
        <f t="shared" si="807"/>
        <v>0</v>
      </c>
      <c r="AP1584" s="2">
        <f t="shared" si="800"/>
        <v>0</v>
      </c>
      <c r="AQ1584" s="2">
        <f t="shared" si="801"/>
        <v>0</v>
      </c>
      <c r="AR1584" s="5">
        <f t="shared" si="802"/>
        <v>0</v>
      </c>
    </row>
    <row r="1585" spans="1:44">
      <c r="A1585" s="2">
        <v>20260504</v>
      </c>
      <c r="B1585" s="2" t="s">
        <v>3210</v>
      </c>
      <c r="C1585" s="2" t="s">
        <v>3211</v>
      </c>
      <c r="D1585" s="2">
        <v>0</v>
      </c>
      <c r="E1585" s="2">
        <v>0</v>
      </c>
      <c r="F1585" s="2">
        <v>0</v>
      </c>
      <c r="G1585" s="2">
        <v>0</v>
      </c>
      <c r="H1585" s="2">
        <v>0</v>
      </c>
      <c r="I1585" s="3">
        <v>0</v>
      </c>
      <c r="J1585" s="2">
        <v>3</v>
      </c>
      <c r="K1585" s="2">
        <v>0</v>
      </c>
      <c r="L1585" s="2">
        <v>0</v>
      </c>
      <c r="M1585" s="2">
        <v>0</v>
      </c>
      <c r="N1585" s="2">
        <v>0</v>
      </c>
      <c r="O1585" s="2">
        <v>0</v>
      </c>
      <c r="P1585" s="3">
        <v>0</v>
      </c>
      <c r="Q1585" s="2">
        <v>0</v>
      </c>
      <c r="R1585" s="2">
        <v>139</v>
      </c>
      <c r="S1585" s="2">
        <v>0</v>
      </c>
      <c r="T1585" s="2">
        <v>1</v>
      </c>
      <c r="U1585" s="2">
        <v>0</v>
      </c>
      <c r="V1585" s="2">
        <f t="shared" si="803"/>
        <v>1</v>
      </c>
      <c r="W1585" s="2">
        <v>1</v>
      </c>
      <c r="X1585" s="2">
        <v>0</v>
      </c>
      <c r="Y1585" s="2">
        <v>0</v>
      </c>
      <c r="Z1585" s="2">
        <f t="shared" si="798"/>
        <v>1</v>
      </c>
      <c r="AA1585" s="2">
        <f t="shared" si="799"/>
        <v>4</v>
      </c>
      <c r="AB1585" s="2">
        <v>6178</v>
      </c>
      <c r="AC1585" s="20">
        <f t="shared" si="804"/>
        <v>0.0647458724506313</v>
      </c>
      <c r="AD1585" s="2" t="s">
        <v>83</v>
      </c>
      <c r="AE1585" s="2">
        <v>100</v>
      </c>
      <c r="AF1585" s="21">
        <f t="shared" si="805"/>
        <v>0.121722240207187</v>
      </c>
      <c r="AG1585" s="4">
        <f t="shared" si="806"/>
        <v>0.0161864681126578</v>
      </c>
      <c r="AH1585" s="4">
        <f t="shared" si="807"/>
        <v>0.0161864681126578</v>
      </c>
      <c r="AP1585" s="2">
        <f t="shared" si="800"/>
        <v>0</v>
      </c>
      <c r="AQ1585" s="2">
        <f t="shared" si="801"/>
        <v>0</v>
      </c>
      <c r="AR1585" s="5">
        <f t="shared" si="802"/>
        <v>0</v>
      </c>
    </row>
    <row r="1586" spans="1:44">
      <c r="A1586" s="2">
        <v>20260504</v>
      </c>
      <c r="B1586" s="2" t="s">
        <v>3212</v>
      </c>
      <c r="C1586" s="2" t="s">
        <v>3213</v>
      </c>
      <c r="D1586" s="2">
        <v>0</v>
      </c>
      <c r="E1586" s="2">
        <v>1</v>
      </c>
      <c r="F1586" s="2">
        <v>1</v>
      </c>
      <c r="G1586" s="2">
        <v>1</v>
      </c>
      <c r="H1586" s="2">
        <v>3</v>
      </c>
      <c r="I1586" s="3">
        <v>5</v>
      </c>
      <c r="J1586" s="2">
        <v>3</v>
      </c>
      <c r="K1586" s="2">
        <v>2</v>
      </c>
      <c r="L1586" s="2">
        <v>0</v>
      </c>
      <c r="M1586" s="2">
        <v>2</v>
      </c>
      <c r="N1586" s="2">
        <v>4</v>
      </c>
      <c r="O1586" s="2">
        <v>0</v>
      </c>
      <c r="P1586" s="3">
        <v>1</v>
      </c>
      <c r="Q1586" s="2">
        <v>0</v>
      </c>
      <c r="R1586" s="2">
        <v>441</v>
      </c>
      <c r="S1586" s="2">
        <v>1</v>
      </c>
      <c r="T1586" s="2">
        <v>5</v>
      </c>
      <c r="U1586" s="2">
        <v>2</v>
      </c>
      <c r="V1586" s="2">
        <f t="shared" si="803"/>
        <v>8</v>
      </c>
      <c r="W1586" s="2">
        <v>2</v>
      </c>
      <c r="X1586" s="2">
        <v>1</v>
      </c>
      <c r="Y1586" s="2">
        <v>0</v>
      </c>
      <c r="Z1586" s="2">
        <f t="shared" si="798"/>
        <v>5</v>
      </c>
      <c r="AA1586" s="2">
        <f t="shared" si="799"/>
        <v>24</v>
      </c>
      <c r="AB1586" s="2">
        <v>3108</v>
      </c>
      <c r="AC1586" s="20">
        <f t="shared" si="804"/>
        <v>0.772200772200772</v>
      </c>
      <c r="AD1586" s="2" t="s">
        <v>83</v>
      </c>
      <c r="AE1586" s="2">
        <v>100</v>
      </c>
      <c r="AF1586" s="21">
        <f t="shared" si="805"/>
        <v>1.45173745173745</v>
      </c>
      <c r="AG1586" s="4">
        <f t="shared" si="806"/>
        <v>0.257400257400257</v>
      </c>
      <c r="AH1586" s="4">
        <f t="shared" si="807"/>
        <v>0.160875160875161</v>
      </c>
      <c r="AP1586" s="2">
        <f t="shared" si="800"/>
        <v>0</v>
      </c>
      <c r="AQ1586" s="2">
        <f t="shared" si="801"/>
        <v>0</v>
      </c>
      <c r="AR1586" s="5">
        <f t="shared" si="802"/>
        <v>0</v>
      </c>
    </row>
    <row r="1587" spans="1:44">
      <c r="A1587" s="2">
        <v>20260504</v>
      </c>
      <c r="B1587" s="2" t="s">
        <v>3214</v>
      </c>
      <c r="C1587" s="2" t="s">
        <v>3215</v>
      </c>
      <c r="D1587" s="2">
        <v>0</v>
      </c>
      <c r="E1587" s="2">
        <v>11</v>
      </c>
      <c r="F1587" s="2">
        <v>2</v>
      </c>
      <c r="G1587" s="2">
        <v>2</v>
      </c>
      <c r="H1587" s="2">
        <v>9</v>
      </c>
      <c r="I1587" s="3">
        <v>12</v>
      </c>
      <c r="J1587" s="2">
        <v>14</v>
      </c>
      <c r="K1587" s="2">
        <v>0</v>
      </c>
      <c r="L1587" s="2">
        <v>0</v>
      </c>
      <c r="M1587" s="2">
        <v>2</v>
      </c>
      <c r="N1587" s="2">
        <v>4</v>
      </c>
      <c r="O1587" s="2">
        <v>1</v>
      </c>
      <c r="P1587" s="3">
        <v>7</v>
      </c>
      <c r="Q1587" s="2">
        <v>0</v>
      </c>
      <c r="R1587" s="2">
        <v>202</v>
      </c>
      <c r="S1587" s="2">
        <v>0</v>
      </c>
      <c r="T1587" s="2">
        <v>8</v>
      </c>
      <c r="U1587" s="2">
        <v>0</v>
      </c>
      <c r="V1587" s="2">
        <f t="shared" si="803"/>
        <v>8</v>
      </c>
      <c r="W1587" s="2">
        <v>5</v>
      </c>
      <c r="X1587" s="2">
        <v>5</v>
      </c>
      <c r="Y1587" s="2">
        <v>0</v>
      </c>
      <c r="Z1587" s="2">
        <v>0</v>
      </c>
      <c r="AA1587" s="2">
        <f t="shared" si="799"/>
        <v>54</v>
      </c>
      <c r="AB1587" s="2">
        <v>6173</v>
      </c>
      <c r="AC1587" s="20">
        <f t="shared" si="804"/>
        <v>0.874777255791349</v>
      </c>
      <c r="AD1587" s="2" t="s">
        <v>83</v>
      </c>
      <c r="AE1587" s="2">
        <v>100</v>
      </c>
      <c r="AF1587" s="21">
        <f t="shared" si="805"/>
        <v>1.64458124088774</v>
      </c>
      <c r="AG1587" s="4">
        <f t="shared" si="806"/>
        <v>0.129596630487607</v>
      </c>
      <c r="AH1587" s="4">
        <f t="shared" si="807"/>
        <v>0</v>
      </c>
      <c r="AP1587" s="2">
        <f t="shared" si="800"/>
        <v>0</v>
      </c>
      <c r="AQ1587" s="2">
        <f t="shared" si="801"/>
        <v>0</v>
      </c>
      <c r="AR1587" s="5">
        <f t="shared" si="802"/>
        <v>0</v>
      </c>
    </row>
    <row r="1588" spans="1:44">
      <c r="A1588" s="2">
        <v>20260504</v>
      </c>
      <c r="B1588" s="2" t="s">
        <v>3216</v>
      </c>
      <c r="C1588" s="2" t="s">
        <v>3217</v>
      </c>
      <c r="D1588" s="2">
        <v>1</v>
      </c>
      <c r="E1588" s="2">
        <v>5</v>
      </c>
      <c r="F1588" s="2">
        <v>2</v>
      </c>
      <c r="G1588" s="2">
        <v>8</v>
      </c>
      <c r="H1588" s="2">
        <v>77</v>
      </c>
      <c r="I1588" s="3">
        <v>21</v>
      </c>
      <c r="J1588" s="2">
        <v>46</v>
      </c>
      <c r="K1588" s="2">
        <v>2</v>
      </c>
      <c r="L1588" s="2">
        <v>0</v>
      </c>
      <c r="M1588" s="2">
        <v>16</v>
      </c>
      <c r="N1588" s="2">
        <v>14</v>
      </c>
      <c r="O1588" s="2">
        <v>0</v>
      </c>
      <c r="P1588" s="3">
        <v>32</v>
      </c>
      <c r="Q1588" s="2">
        <v>0</v>
      </c>
      <c r="R1588" s="2">
        <v>141</v>
      </c>
      <c r="S1588" s="2">
        <v>0</v>
      </c>
      <c r="T1588" s="2">
        <v>79</v>
      </c>
      <c r="U1588" s="2">
        <v>0</v>
      </c>
      <c r="V1588" s="2">
        <f t="shared" si="803"/>
        <v>79</v>
      </c>
      <c r="W1588" s="2">
        <v>0</v>
      </c>
      <c r="X1588" s="2">
        <v>1</v>
      </c>
      <c r="Y1588" s="2">
        <v>0</v>
      </c>
      <c r="Z1588" s="2">
        <f t="shared" si="798"/>
        <v>1</v>
      </c>
      <c r="AA1588" s="2">
        <f t="shared" si="799"/>
        <v>281</v>
      </c>
      <c r="AB1588" s="2">
        <v>6173</v>
      </c>
      <c r="AC1588" s="20">
        <f t="shared" si="804"/>
        <v>4.55208164587721</v>
      </c>
      <c r="AD1588" s="2" t="s">
        <v>83</v>
      </c>
      <c r="AE1588" s="2">
        <v>100</v>
      </c>
      <c r="AF1588" s="21">
        <f t="shared" si="805"/>
        <v>8.55791349424915</v>
      </c>
      <c r="AG1588" s="4">
        <f t="shared" si="806"/>
        <v>1.27976672606512</v>
      </c>
      <c r="AH1588" s="4">
        <f t="shared" si="807"/>
        <v>0.0161995788109509</v>
      </c>
      <c r="AP1588" s="2">
        <f t="shared" si="800"/>
        <v>0</v>
      </c>
      <c r="AQ1588" s="2">
        <f t="shared" si="801"/>
        <v>0</v>
      </c>
      <c r="AR1588" s="5">
        <f t="shared" si="802"/>
        <v>0</v>
      </c>
    </row>
    <row r="1589" spans="1:44">
      <c r="A1589" s="2">
        <v>20260504</v>
      </c>
      <c r="B1589" s="2" t="s">
        <v>3218</v>
      </c>
      <c r="C1589" s="2" t="s">
        <v>3219</v>
      </c>
      <c r="D1589" s="2">
        <v>0</v>
      </c>
      <c r="E1589" s="2">
        <v>14</v>
      </c>
      <c r="F1589" s="2">
        <v>12</v>
      </c>
      <c r="G1589" s="2">
        <v>8</v>
      </c>
      <c r="H1589" s="2">
        <v>18</v>
      </c>
      <c r="I1589" s="3">
        <v>10</v>
      </c>
      <c r="J1589" s="2">
        <v>12</v>
      </c>
      <c r="K1589" s="2">
        <v>3</v>
      </c>
      <c r="L1589" s="2">
        <v>2</v>
      </c>
      <c r="M1589" s="2">
        <v>3</v>
      </c>
      <c r="N1589" s="2">
        <v>6</v>
      </c>
      <c r="O1589" s="2">
        <v>18</v>
      </c>
      <c r="P1589" s="2">
        <v>10</v>
      </c>
      <c r="Q1589" s="3">
        <v>2</v>
      </c>
      <c r="R1589" s="2">
        <v>103</v>
      </c>
      <c r="S1589" s="2">
        <v>4</v>
      </c>
      <c r="T1589" s="2">
        <v>24</v>
      </c>
      <c r="U1589" s="2">
        <v>0</v>
      </c>
      <c r="V1589" s="2">
        <f t="shared" si="803"/>
        <v>30</v>
      </c>
      <c r="W1589" s="2">
        <v>0</v>
      </c>
      <c r="X1589" s="2">
        <v>5</v>
      </c>
      <c r="Y1589" s="2">
        <v>0</v>
      </c>
      <c r="Z1589" s="2">
        <f t="shared" si="798"/>
        <v>5</v>
      </c>
      <c r="AA1589" s="2">
        <f t="shared" si="799"/>
        <v>90</v>
      </c>
      <c r="AB1589" s="2">
        <v>3115</v>
      </c>
      <c r="AC1589" s="20">
        <f t="shared" si="804"/>
        <v>2.8892455858748</v>
      </c>
      <c r="AD1589" s="2" t="s">
        <v>83</v>
      </c>
      <c r="AE1589" s="2">
        <v>100</v>
      </c>
      <c r="AF1589" s="21">
        <f t="shared" si="805"/>
        <v>5.43178170144462</v>
      </c>
      <c r="AG1589" s="4">
        <f t="shared" si="806"/>
        <v>0.963081861958266</v>
      </c>
      <c r="AH1589" s="4">
        <f t="shared" si="807"/>
        <v>0.160513643659711</v>
      </c>
      <c r="AP1589" s="2">
        <f t="shared" si="800"/>
        <v>0</v>
      </c>
      <c r="AQ1589" s="2">
        <f t="shared" si="801"/>
        <v>0</v>
      </c>
      <c r="AR1589" s="5">
        <f t="shared" si="802"/>
        <v>0</v>
      </c>
    </row>
    <row r="1590" spans="1:44">
      <c r="A1590" s="2">
        <v>20260504</v>
      </c>
      <c r="B1590" s="2" t="s">
        <v>3220</v>
      </c>
      <c r="C1590" s="2" t="s">
        <v>3221</v>
      </c>
      <c r="D1590" s="2">
        <v>0</v>
      </c>
      <c r="E1590" s="2">
        <v>3</v>
      </c>
      <c r="F1590" s="2">
        <v>1</v>
      </c>
      <c r="G1590" s="2">
        <v>1</v>
      </c>
      <c r="H1590" s="2">
        <v>2</v>
      </c>
      <c r="I1590" s="3">
        <v>5</v>
      </c>
      <c r="J1590" s="2">
        <v>3</v>
      </c>
      <c r="K1590" s="2">
        <v>2</v>
      </c>
      <c r="L1590" s="2">
        <v>1</v>
      </c>
      <c r="M1590" s="2">
        <v>0</v>
      </c>
      <c r="N1590" s="2">
        <v>4</v>
      </c>
      <c r="O1590" s="2">
        <v>0</v>
      </c>
      <c r="P1590" s="3">
        <v>6</v>
      </c>
      <c r="Q1590" s="2">
        <v>0</v>
      </c>
      <c r="R1590" s="2">
        <v>475</v>
      </c>
      <c r="S1590" s="2">
        <v>0</v>
      </c>
      <c r="T1590" s="2">
        <v>0</v>
      </c>
      <c r="U1590" s="2">
        <v>0</v>
      </c>
      <c r="V1590" s="2">
        <f t="shared" ref="V1590:V1595" si="808">U1590+T1590+S1590+Q1590</f>
        <v>0</v>
      </c>
      <c r="W1590" s="2">
        <v>0</v>
      </c>
      <c r="X1590" s="2">
        <v>5</v>
      </c>
      <c r="Y1590" s="2">
        <v>0</v>
      </c>
      <c r="Z1590" s="2">
        <f t="shared" si="798"/>
        <v>5</v>
      </c>
      <c r="AA1590" s="2">
        <f t="shared" si="799"/>
        <v>20</v>
      </c>
      <c r="AB1590" s="2">
        <v>2108</v>
      </c>
      <c r="AC1590" s="20">
        <f t="shared" si="804"/>
        <v>0.94876660341556</v>
      </c>
      <c r="AD1590" s="2" t="s">
        <v>83</v>
      </c>
      <c r="AE1590" s="2">
        <v>100</v>
      </c>
      <c r="AF1590" s="21">
        <f t="shared" si="805"/>
        <v>1.78368121442125</v>
      </c>
      <c r="AG1590" s="4">
        <f t="shared" si="806"/>
        <v>0</v>
      </c>
      <c r="AH1590" s="4">
        <f t="shared" si="807"/>
        <v>0.23719165085389</v>
      </c>
      <c r="AP1590" s="2">
        <f t="shared" si="800"/>
        <v>0</v>
      </c>
      <c r="AQ1590" s="2">
        <f t="shared" si="801"/>
        <v>0</v>
      </c>
      <c r="AR1590" s="5">
        <f t="shared" si="802"/>
        <v>0</v>
      </c>
    </row>
    <row r="1591" spans="1:44">
      <c r="A1591" s="2">
        <v>20260504</v>
      </c>
      <c r="B1591" s="2" t="s">
        <v>3222</v>
      </c>
      <c r="C1591" s="2" t="s">
        <v>3223</v>
      </c>
      <c r="D1591" s="2">
        <v>0</v>
      </c>
      <c r="E1591" s="2">
        <v>0</v>
      </c>
      <c r="F1591" s="2">
        <v>1</v>
      </c>
      <c r="G1591" s="2">
        <v>1</v>
      </c>
      <c r="H1591" s="2">
        <v>4</v>
      </c>
      <c r="I1591" s="3">
        <v>11</v>
      </c>
      <c r="J1591" s="2">
        <v>7</v>
      </c>
      <c r="K1591" s="2">
        <v>1</v>
      </c>
      <c r="L1591" s="2">
        <v>1</v>
      </c>
      <c r="M1591" s="2">
        <v>3</v>
      </c>
      <c r="N1591" s="2">
        <v>8</v>
      </c>
      <c r="O1591" s="2">
        <v>0</v>
      </c>
      <c r="P1591" s="3">
        <v>1</v>
      </c>
      <c r="Q1591" s="2">
        <v>1</v>
      </c>
      <c r="R1591" s="2">
        <v>106</v>
      </c>
      <c r="S1591" s="2">
        <v>0</v>
      </c>
      <c r="T1591" s="2">
        <v>3</v>
      </c>
      <c r="U1591" s="2">
        <v>0</v>
      </c>
      <c r="V1591" s="2">
        <f t="shared" si="808"/>
        <v>4</v>
      </c>
      <c r="W1591" s="2">
        <v>0</v>
      </c>
      <c r="X1591" s="2">
        <v>10</v>
      </c>
      <c r="Y1591" s="2">
        <v>0</v>
      </c>
      <c r="Z1591" s="2">
        <f t="shared" si="798"/>
        <v>10</v>
      </c>
      <c r="AA1591" s="2">
        <f t="shared" si="799"/>
        <v>32</v>
      </c>
      <c r="AB1591" s="2">
        <v>4174</v>
      </c>
      <c r="AC1591" s="20">
        <f t="shared" si="804"/>
        <v>0.766650694777192</v>
      </c>
      <c r="AD1591" s="2" t="s">
        <v>83</v>
      </c>
      <c r="AE1591" s="2">
        <v>100</v>
      </c>
      <c r="AF1591" s="21">
        <f t="shared" si="805"/>
        <v>1.44130330618112</v>
      </c>
      <c r="AG1591" s="4">
        <f t="shared" si="806"/>
        <v>0.095831336847149</v>
      </c>
      <c r="AH1591" s="4">
        <f t="shared" si="807"/>
        <v>0.239578342117873</v>
      </c>
      <c r="AP1591" s="2">
        <f t="shared" si="800"/>
        <v>0</v>
      </c>
      <c r="AQ1591" s="2">
        <f t="shared" si="801"/>
        <v>0</v>
      </c>
      <c r="AR1591" s="5">
        <f t="shared" si="802"/>
        <v>0</v>
      </c>
    </row>
    <row r="1592" spans="1:44">
      <c r="A1592" s="2">
        <v>20260505</v>
      </c>
      <c r="B1592" s="2" t="s">
        <v>3224</v>
      </c>
      <c r="C1592" s="2" t="s">
        <v>3225</v>
      </c>
      <c r="D1592" s="2">
        <v>4</v>
      </c>
      <c r="E1592" s="2">
        <v>3</v>
      </c>
      <c r="F1592" s="2">
        <v>4</v>
      </c>
      <c r="G1592" s="2">
        <v>2</v>
      </c>
      <c r="H1592" s="2">
        <v>6</v>
      </c>
      <c r="I1592" s="3">
        <v>36</v>
      </c>
      <c r="J1592" s="2">
        <v>1</v>
      </c>
      <c r="K1592" s="2">
        <v>1</v>
      </c>
      <c r="L1592" s="2">
        <v>0</v>
      </c>
      <c r="M1592" s="2">
        <v>1</v>
      </c>
      <c r="N1592" s="2">
        <v>4</v>
      </c>
      <c r="O1592" s="2">
        <v>2</v>
      </c>
      <c r="P1592" s="3">
        <v>5</v>
      </c>
      <c r="Q1592" s="2">
        <v>5</v>
      </c>
      <c r="R1592" s="2">
        <v>189</v>
      </c>
      <c r="S1592" s="2">
        <v>0</v>
      </c>
      <c r="T1592" s="2">
        <v>2</v>
      </c>
      <c r="U1592" s="2">
        <v>0</v>
      </c>
      <c r="V1592" s="2">
        <f t="shared" si="808"/>
        <v>7</v>
      </c>
      <c r="W1592" s="2">
        <v>12</v>
      </c>
      <c r="X1592" s="2">
        <v>2</v>
      </c>
      <c r="Y1592" s="2">
        <v>0</v>
      </c>
      <c r="Z1592" s="2">
        <f t="shared" si="798"/>
        <v>14</v>
      </c>
      <c r="AA1592" s="2">
        <f t="shared" si="799"/>
        <v>54</v>
      </c>
      <c r="AB1592" s="2">
        <v>3201</v>
      </c>
      <c r="AC1592" s="20">
        <f t="shared" si="804"/>
        <v>1.68697282099344</v>
      </c>
      <c r="AD1592" s="2" t="s">
        <v>44</v>
      </c>
      <c r="AE1592" s="2">
        <v>125</v>
      </c>
      <c r="AF1592" s="21">
        <f t="shared" si="805"/>
        <v>2.53720712277413</v>
      </c>
      <c r="AG1592" s="4">
        <f t="shared" si="806"/>
        <v>0.218681661980631</v>
      </c>
      <c r="AH1592" s="4">
        <f t="shared" si="807"/>
        <v>0.437363323961262</v>
      </c>
      <c r="AP1592" s="2">
        <f t="shared" si="800"/>
        <v>0</v>
      </c>
      <c r="AQ1592" s="2">
        <f t="shared" si="801"/>
        <v>0</v>
      </c>
      <c r="AR1592" s="5">
        <f t="shared" si="802"/>
        <v>0</v>
      </c>
    </row>
    <row r="1593" spans="1:44">
      <c r="A1593" s="2">
        <v>20260505</v>
      </c>
      <c r="B1593" s="2" t="s">
        <v>3226</v>
      </c>
      <c r="C1593" s="2" t="s">
        <v>3227</v>
      </c>
      <c r="D1593" s="2">
        <v>0</v>
      </c>
      <c r="E1593" s="2">
        <v>0</v>
      </c>
      <c r="F1593" s="2">
        <v>2</v>
      </c>
      <c r="G1593" s="2">
        <v>8</v>
      </c>
      <c r="H1593" s="2">
        <v>3</v>
      </c>
      <c r="I1593" s="3">
        <v>10</v>
      </c>
      <c r="J1593" s="2">
        <v>3</v>
      </c>
      <c r="K1593" s="2">
        <v>1</v>
      </c>
      <c r="L1593" s="2">
        <v>0</v>
      </c>
      <c r="M1593" s="2">
        <v>1</v>
      </c>
      <c r="N1593" s="2">
        <v>4</v>
      </c>
      <c r="O1593" s="2">
        <v>4</v>
      </c>
      <c r="P1593" s="3">
        <v>5</v>
      </c>
      <c r="Q1593" s="2">
        <v>5</v>
      </c>
      <c r="R1593" s="2">
        <v>147</v>
      </c>
      <c r="S1593" s="2">
        <v>2</v>
      </c>
      <c r="T1593" s="2">
        <v>8</v>
      </c>
      <c r="U1593" s="2">
        <v>0</v>
      </c>
      <c r="V1593" s="2">
        <f t="shared" si="808"/>
        <v>15</v>
      </c>
      <c r="W1593" s="2">
        <v>2</v>
      </c>
      <c r="X1593" s="2">
        <v>8</v>
      </c>
      <c r="Y1593" s="2">
        <v>1</v>
      </c>
      <c r="Z1593" s="2">
        <f t="shared" ref="Z1593:Z1607" si="809">Y1593+X1593+W1593+U1593</f>
        <v>11</v>
      </c>
      <c r="AA1593" s="2">
        <f t="shared" ref="AA1593:AA1607" si="810">G1593+H1593+I1593+J1593+K1593+L1593+M1593+P1593+T1593+U1593</f>
        <v>39</v>
      </c>
      <c r="AB1593" s="2">
        <v>3201</v>
      </c>
      <c r="AC1593" s="20">
        <f t="shared" si="804"/>
        <v>1.21836925960637</v>
      </c>
      <c r="AD1593" s="2" t="s">
        <v>44</v>
      </c>
      <c r="AE1593" s="2">
        <v>125</v>
      </c>
      <c r="AF1593" s="21">
        <f t="shared" si="805"/>
        <v>1.83242736644799</v>
      </c>
      <c r="AG1593" s="4">
        <f t="shared" si="806"/>
        <v>0.468603561387066</v>
      </c>
      <c r="AH1593" s="4">
        <f t="shared" si="807"/>
        <v>0.343642611683849</v>
      </c>
      <c r="AP1593" s="2">
        <f t="shared" si="800"/>
        <v>0</v>
      </c>
      <c r="AQ1593" s="2">
        <f t="shared" si="801"/>
        <v>0</v>
      </c>
      <c r="AR1593" s="5">
        <f t="shared" si="802"/>
        <v>0</v>
      </c>
    </row>
    <row r="1594" spans="1:44">
      <c r="A1594" s="2">
        <v>20260505</v>
      </c>
      <c r="B1594" s="2" t="s">
        <v>3228</v>
      </c>
      <c r="C1594" s="2" t="s">
        <v>3229</v>
      </c>
      <c r="D1594" s="2">
        <v>0</v>
      </c>
      <c r="E1594" s="2">
        <v>1</v>
      </c>
      <c r="F1594" s="2">
        <v>2</v>
      </c>
      <c r="G1594" s="2">
        <v>4</v>
      </c>
      <c r="H1594" s="2">
        <v>2</v>
      </c>
      <c r="I1594" s="3">
        <v>8</v>
      </c>
      <c r="J1594" s="2">
        <v>2</v>
      </c>
      <c r="K1594" s="2">
        <v>2</v>
      </c>
      <c r="L1594" s="2">
        <v>0</v>
      </c>
      <c r="M1594" s="2">
        <v>1</v>
      </c>
      <c r="N1594" s="2">
        <v>4</v>
      </c>
      <c r="O1594" s="2">
        <v>1</v>
      </c>
      <c r="P1594" s="3">
        <v>6</v>
      </c>
      <c r="Q1594" s="2">
        <v>0</v>
      </c>
      <c r="R1594" s="2">
        <v>101</v>
      </c>
      <c r="S1594" s="2">
        <v>0</v>
      </c>
      <c r="T1594" s="2">
        <v>11</v>
      </c>
      <c r="U1594" s="2">
        <v>1</v>
      </c>
      <c r="V1594" s="2">
        <f t="shared" si="808"/>
        <v>12</v>
      </c>
      <c r="W1594" s="2">
        <v>0</v>
      </c>
      <c r="X1594" s="2">
        <v>4</v>
      </c>
      <c r="Y1594" s="2">
        <v>0</v>
      </c>
      <c r="Z1594" s="2">
        <f t="shared" si="809"/>
        <v>5</v>
      </c>
      <c r="AA1594" s="2">
        <f t="shared" si="810"/>
        <v>37</v>
      </c>
      <c r="AB1594" s="2">
        <v>3350</v>
      </c>
      <c r="AC1594" s="20">
        <f t="shared" si="804"/>
        <v>1.1044776119403</v>
      </c>
      <c r="AD1594" s="2" t="s">
        <v>44</v>
      </c>
      <c r="AE1594" s="2">
        <v>125</v>
      </c>
      <c r="AF1594" s="21">
        <f t="shared" si="805"/>
        <v>1.66113432835821</v>
      </c>
      <c r="AG1594" s="4">
        <f t="shared" si="806"/>
        <v>0.358208955223881</v>
      </c>
      <c r="AH1594" s="4">
        <f t="shared" si="807"/>
        <v>0.149253731343284</v>
      </c>
      <c r="AP1594" s="2">
        <f t="shared" si="800"/>
        <v>0</v>
      </c>
      <c r="AQ1594" s="2">
        <f t="shared" si="801"/>
        <v>0</v>
      </c>
      <c r="AR1594" s="5">
        <f t="shared" si="802"/>
        <v>0</v>
      </c>
    </row>
    <row r="1595" spans="1:44">
      <c r="A1595" s="2">
        <v>20260505</v>
      </c>
      <c r="B1595" s="2" t="s">
        <v>3230</v>
      </c>
      <c r="C1595" s="2" t="s">
        <v>3231</v>
      </c>
      <c r="D1595" s="2">
        <v>5</v>
      </c>
      <c r="E1595" s="2">
        <v>1</v>
      </c>
      <c r="F1595" s="2">
        <v>0</v>
      </c>
      <c r="G1595" s="2">
        <v>3</v>
      </c>
      <c r="H1595" s="2">
        <v>0</v>
      </c>
      <c r="I1595" s="3">
        <v>4</v>
      </c>
      <c r="J1595" s="2">
        <v>4</v>
      </c>
      <c r="K1595" s="2">
        <v>2</v>
      </c>
      <c r="L1595" s="2">
        <v>1</v>
      </c>
      <c r="M1595" s="2">
        <v>0</v>
      </c>
      <c r="N1595" s="2">
        <v>2</v>
      </c>
      <c r="O1595" s="2">
        <v>0</v>
      </c>
      <c r="P1595" s="3">
        <v>3</v>
      </c>
      <c r="Q1595" s="2">
        <v>0</v>
      </c>
      <c r="R1595" s="2">
        <v>357</v>
      </c>
      <c r="S1595" s="2">
        <v>0</v>
      </c>
      <c r="T1595" s="2">
        <v>2</v>
      </c>
      <c r="U1595" s="2">
        <v>0</v>
      </c>
      <c r="V1595" s="2">
        <f t="shared" si="808"/>
        <v>2</v>
      </c>
      <c r="W1595" s="2">
        <v>2</v>
      </c>
      <c r="X1595" s="2">
        <v>2</v>
      </c>
      <c r="Y1595" s="2">
        <v>1</v>
      </c>
      <c r="Z1595" s="2">
        <f t="shared" si="809"/>
        <v>5</v>
      </c>
      <c r="AA1595" s="2">
        <f t="shared" si="810"/>
        <v>19</v>
      </c>
      <c r="AB1595" s="2">
        <v>3676</v>
      </c>
      <c r="AC1595" s="20">
        <f t="shared" si="804"/>
        <v>0.516866158868335</v>
      </c>
      <c r="AD1595" s="2" t="s">
        <v>3232</v>
      </c>
      <c r="AE1595" s="2">
        <v>100</v>
      </c>
      <c r="AF1595" s="21">
        <f t="shared" si="805"/>
        <v>0.97170837867247</v>
      </c>
      <c r="AG1595" s="4">
        <f t="shared" si="806"/>
        <v>0.0544069640914037</v>
      </c>
      <c r="AH1595" s="4">
        <f t="shared" si="807"/>
        <v>0.136017410228509</v>
      </c>
      <c r="AP1595" s="2">
        <f t="shared" si="800"/>
        <v>0</v>
      </c>
      <c r="AQ1595" s="2">
        <f t="shared" si="801"/>
        <v>0</v>
      </c>
      <c r="AR1595" s="5">
        <f t="shared" si="802"/>
        <v>0</v>
      </c>
    </row>
    <row r="1596" spans="1:44">
      <c r="A1596" s="2">
        <v>20260506</v>
      </c>
      <c r="B1596" s="2" t="s">
        <v>3233</v>
      </c>
      <c r="C1596" s="2" t="s">
        <v>3234</v>
      </c>
      <c r="D1596" s="2">
        <v>0</v>
      </c>
      <c r="E1596" s="2">
        <v>0</v>
      </c>
      <c r="F1596" s="2">
        <v>6</v>
      </c>
      <c r="G1596" s="2">
        <v>0</v>
      </c>
      <c r="H1596" s="2">
        <v>2</v>
      </c>
      <c r="I1596" s="3">
        <v>0</v>
      </c>
      <c r="J1596" s="2">
        <v>0</v>
      </c>
      <c r="K1596" s="2">
        <v>0</v>
      </c>
      <c r="L1596" s="2">
        <v>0</v>
      </c>
      <c r="M1596" s="2">
        <v>0</v>
      </c>
      <c r="N1596" s="2">
        <v>7</v>
      </c>
      <c r="O1596" s="2">
        <v>0</v>
      </c>
      <c r="P1596" s="3">
        <v>2</v>
      </c>
      <c r="Q1596" s="2">
        <v>0</v>
      </c>
      <c r="R1596" s="2">
        <v>256</v>
      </c>
      <c r="S1596" s="2">
        <v>0</v>
      </c>
      <c r="T1596" s="2">
        <v>1</v>
      </c>
      <c r="U1596" s="2">
        <v>2</v>
      </c>
      <c r="V1596" s="2">
        <f t="shared" ref="V1596:V1618" si="811">U1596+T1596+S1596+Q1596</f>
        <v>3</v>
      </c>
      <c r="W1596" s="2">
        <v>0</v>
      </c>
      <c r="X1596" s="2">
        <v>0</v>
      </c>
      <c r="Y1596" s="2">
        <v>0</v>
      </c>
      <c r="Z1596" s="2">
        <f t="shared" si="809"/>
        <v>2</v>
      </c>
      <c r="AA1596" s="2">
        <f t="shared" si="810"/>
        <v>7</v>
      </c>
      <c r="AB1596" s="2">
        <v>2119</v>
      </c>
      <c r="AC1596" s="20">
        <f t="shared" si="804"/>
        <v>0.330344502123643</v>
      </c>
      <c r="AD1596" s="2" t="s">
        <v>3232</v>
      </c>
      <c r="AE1596" s="2">
        <v>100</v>
      </c>
      <c r="AF1596" s="21">
        <f t="shared" si="805"/>
        <v>0.621047663992449</v>
      </c>
      <c r="AG1596" s="4">
        <f t="shared" si="806"/>
        <v>0.141576215195847</v>
      </c>
      <c r="AH1596" s="4">
        <f t="shared" si="807"/>
        <v>0.0943841434638981</v>
      </c>
      <c r="AP1596" s="2">
        <f t="shared" si="800"/>
        <v>0</v>
      </c>
      <c r="AQ1596" s="2">
        <f t="shared" si="801"/>
        <v>0</v>
      </c>
      <c r="AR1596" s="5">
        <f t="shared" si="802"/>
        <v>0</v>
      </c>
    </row>
    <row r="1597" spans="1:44">
      <c r="A1597" s="2">
        <v>20260506</v>
      </c>
      <c r="B1597" s="2" t="s">
        <v>3235</v>
      </c>
      <c r="C1597" s="2" t="s">
        <v>3236</v>
      </c>
      <c r="D1597" s="2">
        <v>1</v>
      </c>
      <c r="E1597" s="2">
        <v>12</v>
      </c>
      <c r="F1597" s="2">
        <v>0</v>
      </c>
      <c r="G1597" s="2">
        <v>0</v>
      </c>
      <c r="H1597" s="2">
        <v>2</v>
      </c>
      <c r="I1597" s="3">
        <v>9</v>
      </c>
      <c r="J1597" s="2">
        <v>4</v>
      </c>
      <c r="K1597" s="2">
        <v>1</v>
      </c>
      <c r="L1597" s="2">
        <v>0</v>
      </c>
      <c r="M1597" s="2">
        <v>2</v>
      </c>
      <c r="N1597" s="2">
        <v>6</v>
      </c>
      <c r="O1597" s="2">
        <v>0</v>
      </c>
      <c r="P1597" s="3">
        <v>2</v>
      </c>
      <c r="Q1597" s="2">
        <v>3</v>
      </c>
      <c r="R1597" s="2">
        <v>1062</v>
      </c>
      <c r="S1597" s="2">
        <v>3</v>
      </c>
      <c r="T1597" s="2">
        <v>3</v>
      </c>
      <c r="U1597" s="2">
        <v>0</v>
      </c>
      <c r="V1597" s="2">
        <f t="shared" si="811"/>
        <v>9</v>
      </c>
      <c r="W1597" s="2">
        <v>4</v>
      </c>
      <c r="X1597" s="2">
        <v>10</v>
      </c>
      <c r="Y1597" s="2">
        <v>0</v>
      </c>
      <c r="Z1597" s="2">
        <f t="shared" si="809"/>
        <v>14</v>
      </c>
      <c r="AA1597" s="2">
        <f t="shared" si="810"/>
        <v>23</v>
      </c>
      <c r="AB1597" s="2">
        <v>4793</v>
      </c>
      <c r="AC1597" s="20">
        <f t="shared" si="804"/>
        <v>0.479866471938243</v>
      </c>
      <c r="AD1597" s="2" t="s">
        <v>3232</v>
      </c>
      <c r="AE1597" s="2">
        <v>100</v>
      </c>
      <c r="AF1597" s="21">
        <f t="shared" si="805"/>
        <v>0.902148967243897</v>
      </c>
      <c r="AG1597" s="4">
        <f t="shared" si="806"/>
        <v>0.1877738368454</v>
      </c>
      <c r="AH1597" s="4">
        <f t="shared" si="807"/>
        <v>0.292092635092844</v>
      </c>
      <c r="AP1597" s="2">
        <f t="shared" si="800"/>
        <v>0</v>
      </c>
      <c r="AQ1597" s="2">
        <f t="shared" si="801"/>
        <v>0</v>
      </c>
      <c r="AR1597" s="5">
        <f t="shared" si="802"/>
        <v>0</v>
      </c>
    </row>
    <row r="1598" spans="1:44">
      <c r="A1598" s="2">
        <v>20260506</v>
      </c>
      <c r="B1598" s="2" t="s">
        <v>839</v>
      </c>
      <c r="C1598" s="2" t="s">
        <v>3237</v>
      </c>
      <c r="D1598" s="2">
        <v>1</v>
      </c>
      <c r="E1598" s="2">
        <v>2</v>
      </c>
      <c r="F1598" s="2">
        <v>8</v>
      </c>
      <c r="G1598" s="2">
        <v>1</v>
      </c>
      <c r="H1598" s="2">
        <v>4</v>
      </c>
      <c r="I1598" s="3">
        <v>8</v>
      </c>
      <c r="J1598" s="2">
        <v>6</v>
      </c>
      <c r="K1598" s="2">
        <v>0</v>
      </c>
      <c r="L1598" s="2">
        <v>0</v>
      </c>
      <c r="M1598" s="2">
        <v>1</v>
      </c>
      <c r="N1598" s="2">
        <v>3</v>
      </c>
      <c r="O1598" s="2">
        <v>19</v>
      </c>
      <c r="P1598" s="3">
        <v>5</v>
      </c>
      <c r="Q1598" s="2">
        <v>1</v>
      </c>
      <c r="R1598" s="2">
        <v>1053</v>
      </c>
      <c r="S1598" s="2">
        <v>0</v>
      </c>
      <c r="T1598" s="2">
        <v>3</v>
      </c>
      <c r="U1598" s="2">
        <v>0</v>
      </c>
      <c r="V1598" s="2">
        <f t="shared" si="811"/>
        <v>4</v>
      </c>
      <c r="W1598" s="2">
        <v>1</v>
      </c>
      <c r="X1598" s="2">
        <v>7</v>
      </c>
      <c r="Y1598" s="2">
        <v>0</v>
      </c>
      <c r="Z1598" s="2">
        <f t="shared" si="809"/>
        <v>8</v>
      </c>
      <c r="AA1598" s="2">
        <f t="shared" si="810"/>
        <v>28</v>
      </c>
      <c r="AB1598" s="2">
        <v>3617</v>
      </c>
      <c r="AC1598" s="20">
        <f t="shared" si="804"/>
        <v>0.774122200718828</v>
      </c>
      <c r="AD1598" s="2" t="s">
        <v>3232</v>
      </c>
      <c r="AE1598" s="2">
        <v>100</v>
      </c>
      <c r="AF1598" s="21">
        <f t="shared" si="805"/>
        <v>1.4553497373514</v>
      </c>
      <c r="AG1598" s="4">
        <f t="shared" si="806"/>
        <v>0.110588885816975</v>
      </c>
      <c r="AH1598" s="4">
        <f t="shared" si="807"/>
        <v>0.221177771633951</v>
      </c>
      <c r="AP1598" s="2">
        <f t="shared" si="800"/>
        <v>0</v>
      </c>
      <c r="AQ1598" s="2">
        <f t="shared" si="801"/>
        <v>0</v>
      </c>
      <c r="AR1598" s="5">
        <f t="shared" si="802"/>
        <v>0</v>
      </c>
    </row>
    <row r="1599" spans="1:44">
      <c r="A1599" s="2">
        <v>20260506</v>
      </c>
      <c r="B1599" s="2" t="s">
        <v>3238</v>
      </c>
      <c r="C1599" s="2" t="s">
        <v>3239</v>
      </c>
      <c r="D1599" s="2">
        <v>0</v>
      </c>
      <c r="E1599" s="2">
        <v>37</v>
      </c>
      <c r="F1599" s="2">
        <v>1</v>
      </c>
      <c r="G1599" s="2">
        <v>3</v>
      </c>
      <c r="H1599" s="2">
        <v>3</v>
      </c>
      <c r="I1599" s="3">
        <v>10</v>
      </c>
      <c r="J1599" s="2">
        <v>24</v>
      </c>
      <c r="K1599" s="2">
        <v>0</v>
      </c>
      <c r="L1599" s="2">
        <v>0</v>
      </c>
      <c r="M1599" s="2">
        <v>1</v>
      </c>
      <c r="N1599" s="2">
        <v>3</v>
      </c>
      <c r="O1599" s="2">
        <v>0</v>
      </c>
      <c r="P1599" s="3">
        <v>4</v>
      </c>
      <c r="Q1599" s="2">
        <v>0</v>
      </c>
      <c r="R1599" s="2">
        <v>1950</v>
      </c>
      <c r="S1599" s="2">
        <v>0</v>
      </c>
      <c r="T1599" s="2">
        <v>8</v>
      </c>
      <c r="U1599" s="2">
        <v>0</v>
      </c>
      <c r="V1599" s="2">
        <f t="shared" si="811"/>
        <v>8</v>
      </c>
      <c r="W1599" s="2">
        <v>1</v>
      </c>
      <c r="X1599" s="2">
        <v>8</v>
      </c>
      <c r="Y1599" s="2">
        <v>0</v>
      </c>
      <c r="Z1599" s="2">
        <f t="shared" si="809"/>
        <v>9</v>
      </c>
      <c r="AA1599" s="2">
        <f t="shared" si="810"/>
        <v>53</v>
      </c>
      <c r="AB1599" s="2">
        <v>6473</v>
      </c>
      <c r="AC1599" s="20">
        <f t="shared" si="804"/>
        <v>0.818785725320562</v>
      </c>
      <c r="AD1599" s="2" t="s">
        <v>3240</v>
      </c>
      <c r="AE1599" s="2">
        <v>100</v>
      </c>
      <c r="AF1599" s="21">
        <f t="shared" ref="AF1599:AF1613" si="812">188/AE1599*AC1599</f>
        <v>1.53931716360266</v>
      </c>
      <c r="AG1599" s="4">
        <f t="shared" ref="AG1599:AG1613" si="813">V1599/AB1599*100</f>
        <v>0.123590298161594</v>
      </c>
      <c r="AH1599" s="4">
        <f t="shared" ref="AH1599:AH1613" si="814">Z1599/AB1599*100</f>
        <v>0.139039085431794</v>
      </c>
      <c r="AP1599" s="2">
        <f t="shared" si="800"/>
        <v>0</v>
      </c>
      <c r="AQ1599" s="2">
        <f t="shared" si="801"/>
        <v>0</v>
      </c>
      <c r="AR1599" s="5">
        <f t="shared" si="802"/>
        <v>0</v>
      </c>
    </row>
    <row r="1600" spans="1:44">
      <c r="A1600" s="2">
        <v>20260506</v>
      </c>
      <c r="B1600" s="2" t="s">
        <v>3241</v>
      </c>
      <c r="C1600" s="2" t="s">
        <v>3242</v>
      </c>
      <c r="D1600" s="2">
        <v>2</v>
      </c>
      <c r="E1600" s="2">
        <v>10</v>
      </c>
      <c r="F1600" s="2">
        <v>0</v>
      </c>
      <c r="G1600" s="2">
        <v>3</v>
      </c>
      <c r="H1600" s="2">
        <v>4</v>
      </c>
      <c r="I1600" s="3">
        <v>2</v>
      </c>
      <c r="J1600" s="2">
        <v>7</v>
      </c>
      <c r="K1600" s="2">
        <v>1</v>
      </c>
      <c r="L1600" s="2">
        <v>0</v>
      </c>
      <c r="M1600" s="2">
        <v>0</v>
      </c>
      <c r="N1600" s="2">
        <v>3</v>
      </c>
      <c r="O1600" s="2">
        <v>0</v>
      </c>
      <c r="P1600" s="3">
        <v>3</v>
      </c>
      <c r="Q1600" s="2">
        <v>0</v>
      </c>
      <c r="R1600" s="2">
        <v>1716</v>
      </c>
      <c r="S1600" s="2">
        <v>2</v>
      </c>
      <c r="T1600" s="2">
        <v>10</v>
      </c>
      <c r="U1600" s="2">
        <v>0</v>
      </c>
      <c r="V1600" s="2">
        <f t="shared" si="811"/>
        <v>12</v>
      </c>
      <c r="W1600" s="2">
        <v>1</v>
      </c>
      <c r="X1600" s="2">
        <v>1</v>
      </c>
      <c r="Y1600" s="2">
        <v>1</v>
      </c>
      <c r="Z1600" s="2">
        <f t="shared" si="809"/>
        <v>3</v>
      </c>
      <c r="AA1600" s="2">
        <f t="shared" si="810"/>
        <v>30</v>
      </c>
      <c r="AB1600" s="2">
        <v>6173</v>
      </c>
      <c r="AC1600" s="20">
        <f t="shared" si="804"/>
        <v>0.485987364328527</v>
      </c>
      <c r="AD1600" s="2" t="s">
        <v>3240</v>
      </c>
      <c r="AE1600" s="2">
        <v>100</v>
      </c>
      <c r="AF1600" s="21">
        <f t="shared" si="812"/>
        <v>0.913656244937632</v>
      </c>
      <c r="AG1600" s="4">
        <f t="shared" si="813"/>
        <v>0.194394945731411</v>
      </c>
      <c r="AH1600" s="4">
        <f t="shared" si="814"/>
        <v>0.0485987364328528</v>
      </c>
      <c r="AP1600" s="2">
        <f t="shared" si="800"/>
        <v>0</v>
      </c>
      <c r="AQ1600" s="2">
        <f t="shared" si="801"/>
        <v>0</v>
      </c>
      <c r="AR1600" s="5">
        <f t="shared" si="802"/>
        <v>0</v>
      </c>
    </row>
    <row r="1601" spans="1:44">
      <c r="A1601" s="2">
        <v>20260506</v>
      </c>
      <c r="B1601" s="2" t="s">
        <v>3243</v>
      </c>
      <c r="C1601" s="2" t="s">
        <v>3244</v>
      </c>
      <c r="D1601" s="2">
        <v>0</v>
      </c>
      <c r="E1601" s="2">
        <v>26</v>
      </c>
      <c r="F1601" s="2">
        <v>6</v>
      </c>
      <c r="G1601" s="2">
        <v>4</v>
      </c>
      <c r="H1601" s="2">
        <v>7</v>
      </c>
      <c r="I1601" s="3">
        <v>11</v>
      </c>
      <c r="J1601" s="2">
        <v>10</v>
      </c>
      <c r="K1601" s="2">
        <v>3</v>
      </c>
      <c r="L1601" s="2">
        <v>0</v>
      </c>
      <c r="M1601" s="2">
        <v>2</v>
      </c>
      <c r="N1601" s="2">
        <v>6</v>
      </c>
      <c r="O1601" s="2">
        <v>26</v>
      </c>
      <c r="P1601" s="3">
        <v>5</v>
      </c>
      <c r="Q1601" s="2">
        <v>0</v>
      </c>
      <c r="R1601" s="2">
        <v>924</v>
      </c>
      <c r="S1601" s="2">
        <v>0</v>
      </c>
      <c r="T1601" s="2">
        <v>2</v>
      </c>
      <c r="U1601" s="2">
        <v>0</v>
      </c>
      <c r="V1601" s="2">
        <f t="shared" si="811"/>
        <v>2</v>
      </c>
      <c r="W1601" s="2">
        <v>1</v>
      </c>
      <c r="X1601" s="2">
        <v>8</v>
      </c>
      <c r="Y1601" s="2">
        <v>0</v>
      </c>
      <c r="Z1601" s="2">
        <f t="shared" si="809"/>
        <v>9</v>
      </c>
      <c r="AA1601" s="2">
        <f t="shared" si="810"/>
        <v>44</v>
      </c>
      <c r="AB1601" s="2">
        <v>3567</v>
      </c>
      <c r="AC1601" s="20">
        <f t="shared" si="804"/>
        <v>1.23352957667508</v>
      </c>
      <c r="AD1601" s="2" t="s">
        <v>3240</v>
      </c>
      <c r="AE1601" s="2">
        <v>100</v>
      </c>
      <c r="AF1601" s="21">
        <f t="shared" si="812"/>
        <v>2.31903560414914</v>
      </c>
      <c r="AG1601" s="4">
        <f t="shared" si="813"/>
        <v>0.0560695262125035</v>
      </c>
      <c r="AH1601" s="4">
        <f t="shared" si="814"/>
        <v>0.252312867956266</v>
      </c>
      <c r="AP1601" s="2">
        <f t="shared" si="800"/>
        <v>0</v>
      </c>
      <c r="AQ1601" s="2">
        <f t="shared" si="801"/>
        <v>0</v>
      </c>
      <c r="AR1601" s="5">
        <f t="shared" si="802"/>
        <v>0</v>
      </c>
    </row>
    <row r="1602" spans="1:44">
      <c r="A1602" s="2">
        <v>20260506</v>
      </c>
      <c r="B1602" s="2" t="s">
        <v>3245</v>
      </c>
      <c r="C1602" s="2" t="s">
        <v>3246</v>
      </c>
      <c r="D1602" s="2">
        <v>1</v>
      </c>
      <c r="E1602" s="2">
        <v>7</v>
      </c>
      <c r="F1602" s="2">
        <v>0</v>
      </c>
      <c r="G1602" s="2">
        <v>4</v>
      </c>
      <c r="H1602" s="2">
        <v>12</v>
      </c>
      <c r="I1602" s="3">
        <v>12</v>
      </c>
      <c r="J1602" s="2">
        <v>10</v>
      </c>
      <c r="K1602" s="2">
        <v>0</v>
      </c>
      <c r="L1602" s="2">
        <v>0</v>
      </c>
      <c r="M1602" s="2">
        <v>3</v>
      </c>
      <c r="N1602" s="2">
        <v>4</v>
      </c>
      <c r="O1602" s="2">
        <v>0</v>
      </c>
      <c r="P1602" s="3">
        <v>4</v>
      </c>
      <c r="Q1602" s="2">
        <v>1</v>
      </c>
      <c r="R1602" s="2">
        <v>1439</v>
      </c>
      <c r="S1602" s="2">
        <v>2</v>
      </c>
      <c r="T1602" s="2">
        <v>12</v>
      </c>
      <c r="U1602" s="2">
        <v>0</v>
      </c>
      <c r="V1602" s="2">
        <f t="shared" si="811"/>
        <v>15</v>
      </c>
      <c r="W1602" s="2">
        <v>1</v>
      </c>
      <c r="X1602" s="2">
        <v>0</v>
      </c>
      <c r="Y1602" s="2">
        <v>1</v>
      </c>
      <c r="Z1602" s="2">
        <f t="shared" si="809"/>
        <v>2</v>
      </c>
      <c r="AA1602" s="2">
        <f t="shared" si="810"/>
        <v>57</v>
      </c>
      <c r="AB1602" s="2">
        <v>6173</v>
      </c>
      <c r="AC1602" s="20">
        <f t="shared" si="804"/>
        <v>0.923375992224202</v>
      </c>
      <c r="AD1602" s="2" t="s">
        <v>3240</v>
      </c>
      <c r="AE1602" s="2">
        <v>100</v>
      </c>
      <c r="AF1602" s="21">
        <f t="shared" si="812"/>
        <v>1.7359468653815</v>
      </c>
      <c r="AG1602" s="4">
        <f t="shared" si="813"/>
        <v>0.242993682164264</v>
      </c>
      <c r="AH1602" s="4">
        <f t="shared" si="814"/>
        <v>0.0323991576219018</v>
      </c>
      <c r="AP1602" s="2">
        <f t="shared" si="800"/>
        <v>0</v>
      </c>
      <c r="AQ1602" s="2">
        <f t="shared" si="801"/>
        <v>0</v>
      </c>
      <c r="AR1602" s="5">
        <f t="shared" si="802"/>
        <v>0</v>
      </c>
    </row>
    <row r="1603" spans="1:44">
      <c r="A1603" s="2">
        <v>20260506</v>
      </c>
      <c r="B1603" s="2" t="s">
        <v>3247</v>
      </c>
      <c r="C1603" s="2" t="s">
        <v>3248</v>
      </c>
      <c r="D1603" s="2">
        <v>0</v>
      </c>
      <c r="E1603" s="2">
        <v>6</v>
      </c>
      <c r="F1603" s="2">
        <v>1</v>
      </c>
      <c r="G1603" s="2">
        <v>6</v>
      </c>
      <c r="H1603" s="2">
        <v>7</v>
      </c>
      <c r="I1603" s="3">
        <v>17</v>
      </c>
      <c r="J1603" s="2">
        <v>4</v>
      </c>
      <c r="K1603" s="2">
        <v>2</v>
      </c>
      <c r="L1603" s="2">
        <v>0</v>
      </c>
      <c r="M1603" s="2">
        <v>3</v>
      </c>
      <c r="N1603" s="2">
        <v>4</v>
      </c>
      <c r="O1603" s="2">
        <v>0</v>
      </c>
      <c r="P1603" s="3">
        <v>7</v>
      </c>
      <c r="Q1603" s="2">
        <v>0</v>
      </c>
      <c r="R1603" s="2">
        <v>1452</v>
      </c>
      <c r="S1603" s="2">
        <v>0</v>
      </c>
      <c r="T1603" s="2">
        <v>12</v>
      </c>
      <c r="U1603" s="2">
        <v>2</v>
      </c>
      <c r="V1603" s="2">
        <f t="shared" si="811"/>
        <v>14</v>
      </c>
      <c r="W1603" s="2">
        <v>0</v>
      </c>
      <c r="X1603" s="2">
        <v>1</v>
      </c>
      <c r="Y1603" s="2">
        <v>0</v>
      </c>
      <c r="Z1603" s="2">
        <f t="shared" si="809"/>
        <v>3</v>
      </c>
      <c r="AA1603" s="2">
        <f t="shared" si="810"/>
        <v>60</v>
      </c>
      <c r="AB1603" s="2">
        <v>6163</v>
      </c>
      <c r="AC1603" s="20">
        <f t="shared" si="804"/>
        <v>0.973551841635567</v>
      </c>
      <c r="AD1603" s="2" t="s">
        <v>3240</v>
      </c>
      <c r="AE1603" s="2">
        <v>100</v>
      </c>
      <c r="AF1603" s="21">
        <f t="shared" si="812"/>
        <v>1.83027746227487</v>
      </c>
      <c r="AG1603" s="4">
        <f t="shared" si="813"/>
        <v>0.227162096381632</v>
      </c>
      <c r="AH1603" s="4">
        <f t="shared" si="814"/>
        <v>0.0486775920817784</v>
      </c>
      <c r="AP1603" s="2">
        <f t="shared" si="800"/>
        <v>0</v>
      </c>
      <c r="AQ1603" s="2">
        <f t="shared" si="801"/>
        <v>0</v>
      </c>
      <c r="AR1603" s="5">
        <f t="shared" si="802"/>
        <v>0</v>
      </c>
    </row>
    <row r="1604" spans="1:44">
      <c r="A1604" s="2">
        <v>20260506</v>
      </c>
      <c r="B1604" s="2" t="s">
        <v>3249</v>
      </c>
      <c r="C1604" s="2" t="s">
        <v>3250</v>
      </c>
      <c r="D1604" s="2">
        <v>0</v>
      </c>
      <c r="E1604" s="2">
        <v>6925</v>
      </c>
      <c r="F1604" s="2">
        <v>56</v>
      </c>
      <c r="G1604" s="2">
        <v>7</v>
      </c>
      <c r="H1604" s="2">
        <v>5</v>
      </c>
      <c r="I1604" s="3">
        <v>15</v>
      </c>
      <c r="J1604" s="2">
        <v>574</v>
      </c>
      <c r="K1604" s="2">
        <v>3</v>
      </c>
      <c r="L1604" s="2">
        <v>0</v>
      </c>
      <c r="M1604" s="2">
        <v>2</v>
      </c>
      <c r="N1604" s="2">
        <v>20</v>
      </c>
      <c r="O1604" s="2">
        <v>11</v>
      </c>
      <c r="P1604" s="3">
        <v>2</v>
      </c>
      <c r="Q1604" s="2">
        <v>3</v>
      </c>
      <c r="R1604" s="2">
        <v>649</v>
      </c>
      <c r="S1604" s="2">
        <v>0</v>
      </c>
      <c r="T1604" s="2">
        <v>11</v>
      </c>
      <c r="U1604" s="2">
        <v>0</v>
      </c>
      <c r="V1604" s="2">
        <f t="shared" si="811"/>
        <v>14</v>
      </c>
      <c r="W1604" s="2">
        <v>0</v>
      </c>
      <c r="X1604" s="2">
        <v>0</v>
      </c>
      <c r="Y1604" s="2">
        <v>0</v>
      </c>
      <c r="Z1604" s="2">
        <f t="shared" si="809"/>
        <v>0</v>
      </c>
      <c r="AA1604" s="2">
        <f t="shared" si="810"/>
        <v>619</v>
      </c>
      <c r="AB1604" s="2">
        <v>1525</v>
      </c>
      <c r="AC1604" s="20">
        <f t="shared" si="804"/>
        <v>40.5901639344262</v>
      </c>
      <c r="AD1604" s="2" t="s">
        <v>257</v>
      </c>
      <c r="AE1604" s="2">
        <v>188</v>
      </c>
      <c r="AF1604" s="21">
        <f t="shared" si="812"/>
        <v>40.5901639344262</v>
      </c>
      <c r="AG1604" s="4">
        <f t="shared" si="813"/>
        <v>0.918032786885246</v>
      </c>
      <c r="AH1604" s="4">
        <f t="shared" si="814"/>
        <v>0</v>
      </c>
      <c r="AP1604" s="2">
        <f t="shared" si="800"/>
        <v>0</v>
      </c>
      <c r="AQ1604" s="2">
        <f t="shared" si="801"/>
        <v>0</v>
      </c>
      <c r="AR1604" s="5">
        <f t="shared" si="802"/>
        <v>0</v>
      </c>
    </row>
    <row r="1605" spans="1:44">
      <c r="A1605" s="2">
        <v>20260506</v>
      </c>
      <c r="B1605" s="2" t="s">
        <v>3251</v>
      </c>
      <c r="C1605" s="2" t="s">
        <v>3252</v>
      </c>
      <c r="D1605" s="2">
        <v>0</v>
      </c>
      <c r="E1605" s="2">
        <v>8</v>
      </c>
      <c r="F1605" s="2">
        <v>0</v>
      </c>
      <c r="G1605" s="2">
        <v>1</v>
      </c>
      <c r="H1605" s="2">
        <v>1</v>
      </c>
      <c r="I1605" s="3">
        <v>6</v>
      </c>
      <c r="J1605" s="2">
        <v>9</v>
      </c>
      <c r="K1605" s="2">
        <v>0</v>
      </c>
      <c r="L1605" s="2">
        <v>0</v>
      </c>
      <c r="M1605" s="2">
        <v>0</v>
      </c>
      <c r="N1605" s="2">
        <v>2</v>
      </c>
      <c r="O1605" s="2">
        <v>0</v>
      </c>
      <c r="P1605" s="3">
        <v>3</v>
      </c>
      <c r="Q1605" s="2">
        <v>0</v>
      </c>
      <c r="R1605" s="2">
        <v>66</v>
      </c>
      <c r="S1605" s="2">
        <v>0</v>
      </c>
      <c r="T1605" s="2">
        <v>1</v>
      </c>
      <c r="U1605" s="2">
        <v>0</v>
      </c>
      <c r="V1605" s="2">
        <f t="shared" si="811"/>
        <v>1</v>
      </c>
      <c r="W1605" s="2">
        <v>0</v>
      </c>
      <c r="X1605" s="2">
        <v>0</v>
      </c>
      <c r="Y1605" s="2">
        <v>1</v>
      </c>
      <c r="Z1605" s="2">
        <f t="shared" si="809"/>
        <v>1</v>
      </c>
      <c r="AA1605" s="2">
        <f t="shared" si="810"/>
        <v>21</v>
      </c>
      <c r="AB1605" s="2">
        <v>1273</v>
      </c>
      <c r="AC1605" s="20">
        <f t="shared" si="804"/>
        <v>1.6496465043205</v>
      </c>
      <c r="AD1605" s="2" t="s">
        <v>257</v>
      </c>
      <c r="AE1605" s="2">
        <v>188</v>
      </c>
      <c r="AF1605" s="21">
        <f t="shared" si="812"/>
        <v>1.6496465043205</v>
      </c>
      <c r="AG1605" s="4">
        <f t="shared" si="813"/>
        <v>0.0785545954438335</v>
      </c>
      <c r="AH1605" s="4">
        <f t="shared" si="814"/>
        <v>0.0785545954438335</v>
      </c>
      <c r="AP1605" s="2">
        <f t="shared" si="800"/>
        <v>0</v>
      </c>
      <c r="AQ1605" s="2">
        <f t="shared" si="801"/>
        <v>0</v>
      </c>
      <c r="AR1605" s="5">
        <f t="shared" si="802"/>
        <v>0</v>
      </c>
    </row>
    <row r="1606" spans="1:44">
      <c r="A1606" s="2">
        <v>20260506</v>
      </c>
      <c r="B1606" s="2" t="s">
        <v>3253</v>
      </c>
      <c r="C1606" s="2" t="s">
        <v>3254</v>
      </c>
      <c r="D1606" s="2">
        <v>2</v>
      </c>
      <c r="E1606" s="2">
        <v>1</v>
      </c>
      <c r="F1606" s="2">
        <v>0</v>
      </c>
      <c r="G1606" s="2">
        <v>3</v>
      </c>
      <c r="H1606" s="2">
        <v>5</v>
      </c>
      <c r="I1606" s="3">
        <v>17</v>
      </c>
      <c r="J1606" s="2">
        <v>5</v>
      </c>
      <c r="K1606" s="2">
        <v>0</v>
      </c>
      <c r="L1606" s="2">
        <v>0</v>
      </c>
      <c r="M1606" s="2">
        <v>3</v>
      </c>
      <c r="N1606" s="2">
        <v>0</v>
      </c>
      <c r="O1606" s="2">
        <v>0</v>
      </c>
      <c r="P1606" s="3">
        <v>9</v>
      </c>
      <c r="Q1606" s="2">
        <v>0</v>
      </c>
      <c r="R1606" s="2">
        <v>463</v>
      </c>
      <c r="S1606" s="2">
        <v>1</v>
      </c>
      <c r="T1606" s="2">
        <v>6</v>
      </c>
      <c r="U1606" s="2">
        <v>0</v>
      </c>
      <c r="V1606" s="2">
        <f t="shared" si="811"/>
        <v>7</v>
      </c>
      <c r="W1606" s="2">
        <v>0</v>
      </c>
      <c r="X1606" s="2">
        <v>6</v>
      </c>
      <c r="Y1606" s="2">
        <v>0</v>
      </c>
      <c r="Z1606" s="2">
        <f t="shared" si="809"/>
        <v>6</v>
      </c>
      <c r="AA1606" s="2">
        <f t="shared" si="810"/>
        <v>48</v>
      </c>
      <c r="AB1606" s="2">
        <v>1529</v>
      </c>
      <c r="AC1606" s="20">
        <f t="shared" si="804"/>
        <v>3.13930673642904</v>
      </c>
      <c r="AD1606" s="2" t="s">
        <v>676</v>
      </c>
      <c r="AE1606" s="2">
        <v>175</v>
      </c>
      <c r="AF1606" s="21">
        <f t="shared" si="812"/>
        <v>3.37251237970662</v>
      </c>
      <c r="AG1606" s="4">
        <f t="shared" si="813"/>
        <v>0.457815565729235</v>
      </c>
      <c r="AH1606" s="4">
        <f t="shared" si="814"/>
        <v>0.39241334205363</v>
      </c>
      <c r="AP1606" s="2">
        <f t="shared" si="800"/>
        <v>0</v>
      </c>
      <c r="AQ1606" s="2">
        <f t="shared" si="801"/>
        <v>0</v>
      </c>
      <c r="AR1606" s="5">
        <f t="shared" si="802"/>
        <v>0</v>
      </c>
    </row>
    <row r="1607" spans="1:44">
      <c r="A1607" s="2">
        <v>20260506</v>
      </c>
      <c r="B1607" s="2" t="s">
        <v>3255</v>
      </c>
      <c r="C1607" s="2" t="s">
        <v>3256</v>
      </c>
      <c r="D1607" s="2">
        <v>1</v>
      </c>
      <c r="E1607" s="2">
        <v>2</v>
      </c>
      <c r="F1607" s="2">
        <v>0</v>
      </c>
      <c r="G1607" s="2">
        <v>1</v>
      </c>
      <c r="H1607" s="2">
        <v>3</v>
      </c>
      <c r="I1607" s="3">
        <v>1</v>
      </c>
      <c r="J1607" s="2">
        <v>1</v>
      </c>
      <c r="K1607" s="2">
        <v>0</v>
      </c>
      <c r="L1607" s="2">
        <v>0</v>
      </c>
      <c r="M1607" s="2">
        <v>3</v>
      </c>
      <c r="N1607" s="2">
        <v>1</v>
      </c>
      <c r="O1607" s="2">
        <v>6</v>
      </c>
      <c r="P1607" s="3">
        <v>3</v>
      </c>
      <c r="Q1607" s="2">
        <v>0</v>
      </c>
      <c r="R1607" s="2">
        <v>101</v>
      </c>
      <c r="S1607" s="2">
        <v>0</v>
      </c>
      <c r="T1607" s="2">
        <v>2</v>
      </c>
      <c r="U1607" s="2">
        <v>0</v>
      </c>
      <c r="V1607" s="2">
        <f t="shared" si="811"/>
        <v>2</v>
      </c>
      <c r="W1607" s="2">
        <v>0</v>
      </c>
      <c r="X1607" s="2">
        <v>0</v>
      </c>
      <c r="Y1607" s="2">
        <v>0</v>
      </c>
      <c r="Z1607" s="2">
        <f t="shared" si="809"/>
        <v>0</v>
      </c>
      <c r="AA1607" s="2">
        <f t="shared" si="810"/>
        <v>14</v>
      </c>
      <c r="AB1607" s="2">
        <v>2819</v>
      </c>
      <c r="AC1607" s="20">
        <f t="shared" si="804"/>
        <v>0.496630010642072</v>
      </c>
      <c r="AD1607" s="2" t="s">
        <v>676</v>
      </c>
      <c r="AE1607" s="2">
        <v>175</v>
      </c>
      <c r="AF1607" s="21">
        <f t="shared" si="812"/>
        <v>0.53352252571834</v>
      </c>
      <c r="AG1607" s="4">
        <f t="shared" si="813"/>
        <v>0.0709471443774388</v>
      </c>
      <c r="AH1607" s="4">
        <f t="shared" si="814"/>
        <v>0</v>
      </c>
      <c r="AP1607" s="2">
        <f t="shared" si="800"/>
        <v>0</v>
      </c>
      <c r="AQ1607" s="2">
        <f t="shared" si="801"/>
        <v>0</v>
      </c>
      <c r="AR1607" s="5">
        <f t="shared" si="802"/>
        <v>0</v>
      </c>
    </row>
    <row r="1608" spans="1:44">
      <c r="A1608" s="2">
        <v>20260506</v>
      </c>
      <c r="B1608" s="2" t="s">
        <v>3257</v>
      </c>
      <c r="C1608" s="2" t="s">
        <v>3258</v>
      </c>
      <c r="D1608" s="2">
        <v>0</v>
      </c>
      <c r="E1608" s="2">
        <v>4</v>
      </c>
      <c r="F1608" s="2">
        <v>0</v>
      </c>
      <c r="G1608" s="2">
        <v>2</v>
      </c>
      <c r="H1608" s="2">
        <v>8</v>
      </c>
      <c r="I1608" s="3">
        <v>5</v>
      </c>
      <c r="J1608" s="2">
        <v>2</v>
      </c>
      <c r="K1608" s="2">
        <v>4</v>
      </c>
      <c r="L1608" s="2">
        <v>0</v>
      </c>
      <c r="M1608" s="2">
        <v>1</v>
      </c>
      <c r="N1608" s="2">
        <v>2</v>
      </c>
      <c r="O1608" s="2">
        <v>0</v>
      </c>
      <c r="P1608" s="3">
        <v>5</v>
      </c>
      <c r="Q1608" s="2">
        <v>0</v>
      </c>
      <c r="R1608" s="2">
        <v>81</v>
      </c>
      <c r="S1608" s="2">
        <v>0</v>
      </c>
      <c r="T1608" s="2">
        <v>4</v>
      </c>
      <c r="U1608" s="2">
        <v>0</v>
      </c>
      <c r="V1608" s="2">
        <f t="shared" si="811"/>
        <v>4</v>
      </c>
      <c r="W1608" s="2">
        <v>1</v>
      </c>
      <c r="X1608" s="2">
        <v>5</v>
      </c>
      <c r="Y1608" s="2">
        <v>0</v>
      </c>
      <c r="Z1608" s="2">
        <f t="shared" ref="Z1608:Z1614" si="815">Y1608+X1608+W1608+U1608</f>
        <v>6</v>
      </c>
      <c r="AA1608" s="2">
        <f t="shared" ref="AA1608:AA1614" si="816">G1608+H1608+I1608+J1608+K1608+L1608+M1608+P1608+T1608+U1608</f>
        <v>31</v>
      </c>
      <c r="AB1608" s="2">
        <v>1429</v>
      </c>
      <c r="AC1608" s="20">
        <f t="shared" si="804"/>
        <v>2.16934919524143</v>
      </c>
      <c r="AD1608" s="2" t="s">
        <v>676</v>
      </c>
      <c r="AE1608" s="2">
        <v>175</v>
      </c>
      <c r="AF1608" s="21">
        <f t="shared" si="812"/>
        <v>2.33050084974508</v>
      </c>
      <c r="AG1608" s="4">
        <f t="shared" si="813"/>
        <v>0.279916025192442</v>
      </c>
      <c r="AH1608" s="4">
        <f t="shared" si="814"/>
        <v>0.419874037788663</v>
      </c>
      <c r="AP1608" s="2">
        <f t="shared" ref="AP1608:AP1639" si="817">AI1608+AJ1608+AL1608+AN1608</f>
        <v>0</v>
      </c>
      <c r="AQ1608" s="2">
        <f t="shared" ref="AQ1608:AQ1639" si="818">AP1608/AB1607*100</f>
        <v>0</v>
      </c>
      <c r="AR1608" s="5">
        <f t="shared" ref="AR1608:AR1639" si="819">AQ1608*1.88</f>
        <v>0</v>
      </c>
    </row>
    <row r="1609" spans="1:44">
      <c r="A1609" s="2">
        <v>20260506</v>
      </c>
      <c r="B1609" s="22" t="s">
        <v>3259</v>
      </c>
      <c r="C1609" s="2" t="s">
        <v>3260</v>
      </c>
      <c r="D1609" s="2">
        <v>1</v>
      </c>
      <c r="E1609" s="2">
        <v>9</v>
      </c>
      <c r="F1609" s="2">
        <v>1</v>
      </c>
      <c r="G1609" s="2">
        <v>6</v>
      </c>
      <c r="H1609" s="2">
        <v>9</v>
      </c>
      <c r="I1609" s="3">
        <v>28</v>
      </c>
      <c r="J1609" s="2">
        <v>15</v>
      </c>
      <c r="K1609" s="2">
        <v>4</v>
      </c>
      <c r="L1609" s="2">
        <v>1</v>
      </c>
      <c r="M1609" s="2">
        <v>24</v>
      </c>
      <c r="N1609" s="2">
        <v>3</v>
      </c>
      <c r="O1609" s="2">
        <v>0</v>
      </c>
      <c r="P1609" s="3">
        <v>46</v>
      </c>
      <c r="Q1609" s="2">
        <v>5</v>
      </c>
      <c r="R1609" s="2">
        <v>667</v>
      </c>
      <c r="S1609" s="2">
        <v>2</v>
      </c>
      <c r="T1609" s="2">
        <v>13</v>
      </c>
      <c r="U1609" s="2">
        <v>1</v>
      </c>
      <c r="V1609" s="2">
        <f t="shared" si="811"/>
        <v>21</v>
      </c>
      <c r="W1609" s="2">
        <v>0</v>
      </c>
      <c r="X1609" s="2">
        <v>4</v>
      </c>
      <c r="Y1609" s="2">
        <v>0</v>
      </c>
      <c r="Z1609" s="2">
        <f t="shared" si="815"/>
        <v>5</v>
      </c>
      <c r="AA1609" s="2">
        <f t="shared" si="816"/>
        <v>147</v>
      </c>
      <c r="AB1609" s="2">
        <v>2818</v>
      </c>
      <c r="AC1609" s="20">
        <f t="shared" si="804"/>
        <v>5.21646557842441</v>
      </c>
      <c r="AD1609" s="2" t="s">
        <v>257</v>
      </c>
      <c r="AE1609" s="2">
        <v>100</v>
      </c>
      <c r="AF1609" s="21">
        <f t="shared" si="812"/>
        <v>9.8069552874379</v>
      </c>
      <c r="AG1609" s="4">
        <f t="shared" si="813"/>
        <v>0.745209368346345</v>
      </c>
      <c r="AH1609" s="4">
        <f t="shared" si="814"/>
        <v>0.177430801987225</v>
      </c>
      <c r="AP1609" s="2">
        <f t="shared" si="817"/>
        <v>0</v>
      </c>
      <c r="AQ1609" s="2">
        <f t="shared" si="818"/>
        <v>0</v>
      </c>
      <c r="AR1609" s="5">
        <f t="shared" si="819"/>
        <v>0</v>
      </c>
    </row>
    <row r="1610" spans="1:44">
      <c r="A1610" s="2">
        <v>20260506</v>
      </c>
      <c r="B1610" s="22" t="s">
        <v>3261</v>
      </c>
      <c r="C1610" s="2" t="s">
        <v>3262</v>
      </c>
      <c r="D1610" s="2">
        <v>837</v>
      </c>
      <c r="E1610" s="2">
        <v>1138</v>
      </c>
      <c r="F1610" s="2">
        <v>1</v>
      </c>
      <c r="G1610" s="2">
        <v>8</v>
      </c>
      <c r="H1610" s="2">
        <v>17</v>
      </c>
      <c r="I1610" s="3">
        <v>3775</v>
      </c>
      <c r="J1610" s="2">
        <v>25</v>
      </c>
      <c r="K1610" s="2">
        <v>0</v>
      </c>
      <c r="L1610" s="2">
        <v>3</v>
      </c>
      <c r="M1610" s="2">
        <v>36</v>
      </c>
      <c r="N1610" s="2">
        <v>9</v>
      </c>
      <c r="O1610" s="2">
        <v>223</v>
      </c>
      <c r="P1610" s="3">
        <v>56</v>
      </c>
      <c r="Q1610" s="2">
        <v>2</v>
      </c>
      <c r="R1610" s="2">
        <v>1217</v>
      </c>
      <c r="S1610" s="2">
        <v>1</v>
      </c>
      <c r="T1610" s="2">
        <v>83</v>
      </c>
      <c r="U1610" s="2">
        <v>0</v>
      </c>
      <c r="V1610" s="2">
        <f t="shared" si="811"/>
        <v>86</v>
      </c>
      <c r="W1610" s="2">
        <v>0</v>
      </c>
      <c r="X1610" s="2">
        <v>2</v>
      </c>
      <c r="Y1610" s="2">
        <v>0</v>
      </c>
      <c r="Z1610" s="2">
        <f t="shared" si="815"/>
        <v>2</v>
      </c>
      <c r="AA1610" s="2">
        <f t="shared" si="816"/>
        <v>4003</v>
      </c>
      <c r="AB1610" s="2">
        <v>4992</v>
      </c>
      <c r="AC1610" s="20">
        <f t="shared" ref="AC1610:AC1621" si="820">AA1610/AB1610*100</f>
        <v>80.1883012820513</v>
      </c>
      <c r="AD1610" s="2" t="s">
        <v>3263</v>
      </c>
      <c r="AE1610" s="2">
        <v>100</v>
      </c>
      <c r="AF1610" s="21">
        <f t="shared" si="812"/>
        <v>150.754006410256</v>
      </c>
      <c r="AG1610" s="4">
        <f t="shared" si="813"/>
        <v>1.72275641025641</v>
      </c>
      <c r="AH1610" s="4">
        <f t="shared" si="814"/>
        <v>0.0400641025641026</v>
      </c>
      <c r="AP1610" s="2">
        <f t="shared" si="817"/>
        <v>0</v>
      </c>
      <c r="AQ1610" s="2">
        <f t="shared" si="818"/>
        <v>0</v>
      </c>
      <c r="AR1610" s="5">
        <f t="shared" si="819"/>
        <v>0</v>
      </c>
    </row>
    <row r="1611" spans="1:44">
      <c r="A1611" s="2">
        <v>20260507</v>
      </c>
      <c r="B1611" s="22" t="s">
        <v>3264</v>
      </c>
      <c r="C1611" s="2" t="s">
        <v>3265</v>
      </c>
      <c r="D1611" s="2">
        <v>1</v>
      </c>
      <c r="E1611" s="2">
        <v>40</v>
      </c>
      <c r="F1611" s="2">
        <v>38</v>
      </c>
      <c r="G1611" s="2">
        <v>11</v>
      </c>
      <c r="H1611" s="2">
        <v>50</v>
      </c>
      <c r="I1611" s="3">
        <v>36</v>
      </c>
      <c r="J1611" s="2">
        <v>493</v>
      </c>
      <c r="K1611" s="2">
        <v>1</v>
      </c>
      <c r="L1611" s="2">
        <v>1</v>
      </c>
      <c r="M1611" s="2">
        <v>38</v>
      </c>
      <c r="N1611" s="2">
        <v>5754</v>
      </c>
      <c r="O1611" s="2">
        <v>2</v>
      </c>
      <c r="P1611" s="3">
        <v>58</v>
      </c>
      <c r="Q1611" s="2">
        <v>68</v>
      </c>
      <c r="R1611" s="2">
        <v>235</v>
      </c>
      <c r="S1611" s="2">
        <v>3</v>
      </c>
      <c r="T1611" s="2">
        <v>5596</v>
      </c>
      <c r="U1611" s="2">
        <v>0</v>
      </c>
      <c r="V1611" s="2">
        <f t="shared" si="811"/>
        <v>5667</v>
      </c>
      <c r="W1611" s="2">
        <v>0</v>
      </c>
      <c r="X1611" s="2">
        <v>0</v>
      </c>
      <c r="Y1611" s="2">
        <v>0</v>
      </c>
      <c r="Z1611" s="2">
        <v>0</v>
      </c>
      <c r="AA1611" s="2">
        <f t="shared" si="816"/>
        <v>6284</v>
      </c>
      <c r="AB1611" s="2">
        <v>6326</v>
      </c>
      <c r="AC1611" s="20">
        <f t="shared" si="820"/>
        <v>99.3360733480873</v>
      </c>
      <c r="AD1611" s="2" t="s">
        <v>3263</v>
      </c>
      <c r="AE1611" s="2">
        <v>100</v>
      </c>
      <c r="AF1611" s="21">
        <f t="shared" si="812"/>
        <v>186.751817894404</v>
      </c>
      <c r="AG1611" s="4">
        <f t="shared" si="813"/>
        <v>89.5826746759406</v>
      </c>
      <c r="AH1611" s="4">
        <f t="shared" si="814"/>
        <v>0</v>
      </c>
      <c r="AP1611" s="2">
        <f t="shared" si="817"/>
        <v>0</v>
      </c>
      <c r="AQ1611" s="2">
        <f t="shared" si="818"/>
        <v>0</v>
      </c>
      <c r="AR1611" s="5">
        <f t="shared" si="819"/>
        <v>0</v>
      </c>
    </row>
    <row r="1612" spans="1:44">
      <c r="A1612" s="2">
        <v>20260507</v>
      </c>
      <c r="B1612" s="22" t="s">
        <v>3266</v>
      </c>
      <c r="C1612" s="2" t="s">
        <v>3267</v>
      </c>
      <c r="D1612" s="2">
        <v>2</v>
      </c>
      <c r="E1612" s="2">
        <v>9</v>
      </c>
      <c r="F1612" s="2">
        <v>4</v>
      </c>
      <c r="G1612" s="2">
        <v>7</v>
      </c>
      <c r="H1612" s="2">
        <v>22</v>
      </c>
      <c r="I1612" s="3">
        <v>21</v>
      </c>
      <c r="J1612" s="2">
        <v>22</v>
      </c>
      <c r="K1612" s="2">
        <v>2</v>
      </c>
      <c r="L1612" s="2">
        <v>0</v>
      </c>
      <c r="M1612" s="2">
        <v>30</v>
      </c>
      <c r="N1612" s="2">
        <v>11</v>
      </c>
      <c r="O1612" s="2">
        <v>4</v>
      </c>
      <c r="P1612" s="3">
        <v>59</v>
      </c>
      <c r="Q1612" s="2">
        <v>9</v>
      </c>
      <c r="R1612" s="2">
        <v>264</v>
      </c>
      <c r="S1612" s="2">
        <v>2</v>
      </c>
      <c r="T1612" s="2">
        <v>38</v>
      </c>
      <c r="U1612" s="2">
        <v>1</v>
      </c>
      <c r="V1612" s="2">
        <f t="shared" si="811"/>
        <v>50</v>
      </c>
      <c r="W1612" s="2">
        <v>0</v>
      </c>
      <c r="X1612" s="2">
        <v>4</v>
      </c>
      <c r="Y1612" s="2">
        <v>0</v>
      </c>
      <c r="Z1612" s="2">
        <f t="shared" si="815"/>
        <v>5</v>
      </c>
      <c r="AA1612" s="2">
        <f t="shared" si="816"/>
        <v>202</v>
      </c>
      <c r="AB1612" s="2">
        <v>6326</v>
      </c>
      <c r="AC1612" s="20">
        <f t="shared" si="820"/>
        <v>3.19317104015175</v>
      </c>
      <c r="AD1612" s="2" t="s">
        <v>3263</v>
      </c>
      <c r="AE1612" s="2">
        <v>100</v>
      </c>
      <c r="AF1612" s="21">
        <f t="shared" si="812"/>
        <v>6.0031615554853</v>
      </c>
      <c r="AG1612" s="4">
        <f t="shared" si="813"/>
        <v>0.790388871324692</v>
      </c>
      <c r="AH1612" s="4">
        <f t="shared" si="814"/>
        <v>0.0790388871324692</v>
      </c>
      <c r="AP1612" s="2">
        <f t="shared" si="817"/>
        <v>0</v>
      </c>
      <c r="AQ1612" s="2">
        <f t="shared" si="818"/>
        <v>0</v>
      </c>
      <c r="AR1612" s="5">
        <f t="shared" si="819"/>
        <v>0</v>
      </c>
    </row>
    <row r="1613" spans="1:44">
      <c r="A1613" s="2">
        <v>20260507</v>
      </c>
      <c r="B1613" s="22" t="s">
        <v>3268</v>
      </c>
      <c r="C1613" s="2" t="s">
        <v>3269</v>
      </c>
      <c r="D1613" s="2">
        <v>1</v>
      </c>
      <c r="E1613" s="2">
        <v>2</v>
      </c>
      <c r="F1613" s="2">
        <v>0</v>
      </c>
      <c r="G1613" s="2">
        <v>4</v>
      </c>
      <c r="H1613" s="2">
        <v>8</v>
      </c>
      <c r="I1613" s="3">
        <v>16</v>
      </c>
      <c r="J1613" s="2">
        <v>6</v>
      </c>
      <c r="K1613" s="2">
        <v>0</v>
      </c>
      <c r="L1613" s="2">
        <v>0</v>
      </c>
      <c r="M1613" s="2">
        <v>11</v>
      </c>
      <c r="N1613" s="2">
        <v>2</v>
      </c>
      <c r="O1613" s="2">
        <v>1</v>
      </c>
      <c r="P1613" s="3">
        <v>18</v>
      </c>
      <c r="Q1613" s="2">
        <v>0</v>
      </c>
      <c r="R1613" s="2">
        <v>276</v>
      </c>
      <c r="S1613" s="2">
        <v>1</v>
      </c>
      <c r="T1613" s="2">
        <v>20</v>
      </c>
      <c r="U1613" s="2">
        <v>0</v>
      </c>
      <c r="V1613" s="2">
        <f t="shared" si="811"/>
        <v>21</v>
      </c>
      <c r="W1613" s="2">
        <v>0</v>
      </c>
      <c r="X1613" s="2">
        <v>5</v>
      </c>
      <c r="Y1613" s="2">
        <v>0</v>
      </c>
      <c r="Z1613" s="2">
        <f t="shared" si="815"/>
        <v>5</v>
      </c>
      <c r="AA1613" s="2">
        <f t="shared" si="816"/>
        <v>83</v>
      </c>
      <c r="AB1613" s="2">
        <v>3210</v>
      </c>
      <c r="AC1613" s="20">
        <f t="shared" si="820"/>
        <v>2.58566978193146</v>
      </c>
      <c r="AD1613" s="2" t="s">
        <v>257</v>
      </c>
      <c r="AE1613" s="2">
        <v>100</v>
      </c>
      <c r="AF1613" s="21">
        <f t="shared" ref="AF1613:AF1621" si="821">188/AE1613*AC1613</f>
        <v>4.86105919003115</v>
      </c>
      <c r="AG1613" s="4">
        <f t="shared" ref="AG1613:AG1621" si="822">V1613/AB1613*100</f>
        <v>0.654205607476636</v>
      </c>
      <c r="AH1613" s="4">
        <f t="shared" ref="AH1613:AH1621" si="823">Z1613/AB1613*100</f>
        <v>0.155763239875389</v>
      </c>
      <c r="AP1613" s="2">
        <f t="shared" si="817"/>
        <v>0</v>
      </c>
      <c r="AQ1613" s="2">
        <f t="shared" si="818"/>
        <v>0</v>
      </c>
      <c r="AR1613" s="5">
        <f t="shared" si="819"/>
        <v>0</v>
      </c>
    </row>
    <row r="1614" spans="1:44">
      <c r="A1614" s="2">
        <v>20260507</v>
      </c>
      <c r="B1614" s="22" t="s">
        <v>3270</v>
      </c>
      <c r="C1614" s="2" t="s">
        <v>3271</v>
      </c>
      <c r="D1614" s="2">
        <v>3</v>
      </c>
      <c r="E1614" s="2">
        <v>18</v>
      </c>
      <c r="F1614" s="2">
        <v>0</v>
      </c>
      <c r="G1614" s="2">
        <v>6</v>
      </c>
      <c r="H1614" s="2">
        <v>23</v>
      </c>
      <c r="I1614" s="3">
        <v>30</v>
      </c>
      <c r="J1614" s="2">
        <v>16</v>
      </c>
      <c r="K1614" s="2">
        <v>1</v>
      </c>
      <c r="L1614" s="2">
        <v>0</v>
      </c>
      <c r="M1614" s="2">
        <v>11</v>
      </c>
      <c r="N1614" s="2">
        <v>6</v>
      </c>
      <c r="O1614" s="2">
        <v>0</v>
      </c>
      <c r="P1614" s="3">
        <v>48</v>
      </c>
      <c r="Q1614" s="2">
        <v>2</v>
      </c>
      <c r="R1614" s="2">
        <v>402</v>
      </c>
      <c r="S1614" s="2">
        <v>5</v>
      </c>
      <c r="T1614" s="2">
        <v>29</v>
      </c>
      <c r="U1614" s="2">
        <v>0</v>
      </c>
      <c r="V1614" s="2">
        <f t="shared" si="811"/>
        <v>36</v>
      </c>
      <c r="W1614" s="2">
        <v>0</v>
      </c>
      <c r="X1614" s="2">
        <v>11</v>
      </c>
      <c r="Y1614" s="2">
        <v>1</v>
      </c>
      <c r="Z1614" s="2">
        <f t="shared" si="815"/>
        <v>12</v>
      </c>
      <c r="AA1614" s="2">
        <f t="shared" si="816"/>
        <v>164</v>
      </c>
      <c r="AB1614" s="2">
        <v>4575</v>
      </c>
      <c r="AC1614" s="20">
        <f t="shared" si="820"/>
        <v>3.58469945355191</v>
      </c>
      <c r="AD1614" s="2" t="s">
        <v>257</v>
      </c>
      <c r="AE1614" s="2">
        <v>100</v>
      </c>
      <c r="AF1614" s="21">
        <f t="shared" si="821"/>
        <v>6.7392349726776</v>
      </c>
      <c r="AG1614" s="4">
        <f t="shared" si="822"/>
        <v>0.786885245901639</v>
      </c>
      <c r="AH1614" s="4">
        <f t="shared" si="823"/>
        <v>0.262295081967213</v>
      </c>
      <c r="AP1614" s="2">
        <f t="shared" si="817"/>
        <v>0</v>
      </c>
      <c r="AQ1614" s="2">
        <f t="shared" si="818"/>
        <v>0</v>
      </c>
      <c r="AR1614" s="5">
        <f t="shared" si="819"/>
        <v>0</v>
      </c>
    </row>
    <row r="1615" spans="1:44">
      <c r="A1615" s="2">
        <v>20260507</v>
      </c>
      <c r="B1615" s="22" t="s">
        <v>3272</v>
      </c>
      <c r="C1615" s="2" t="s">
        <v>3273</v>
      </c>
      <c r="D1615" s="2">
        <v>1</v>
      </c>
      <c r="E1615" s="2">
        <v>2</v>
      </c>
      <c r="F1615" s="2">
        <v>0</v>
      </c>
      <c r="G1615" s="2">
        <v>5</v>
      </c>
      <c r="H1615" s="2">
        <v>19</v>
      </c>
      <c r="I1615" s="3">
        <v>23</v>
      </c>
      <c r="J1615" s="2">
        <v>14</v>
      </c>
      <c r="K1615" s="2">
        <v>1</v>
      </c>
      <c r="L1615" s="2">
        <v>1</v>
      </c>
      <c r="M1615" s="2">
        <v>12</v>
      </c>
      <c r="N1615" s="2">
        <v>4</v>
      </c>
      <c r="O1615" s="2">
        <v>0</v>
      </c>
      <c r="P1615" s="3">
        <v>27</v>
      </c>
      <c r="Q1615" s="2">
        <v>1</v>
      </c>
      <c r="R1615" s="2">
        <v>371</v>
      </c>
      <c r="S1615" s="2">
        <v>1</v>
      </c>
      <c r="T1615" s="2">
        <v>2</v>
      </c>
      <c r="U1615" s="2">
        <v>0</v>
      </c>
      <c r="V1615" s="2">
        <v>0</v>
      </c>
      <c r="W1615" s="2">
        <v>2</v>
      </c>
      <c r="X1615" s="2">
        <v>5</v>
      </c>
      <c r="Y1615" s="2">
        <v>0</v>
      </c>
      <c r="Z1615" s="2">
        <f t="shared" ref="Z1615:Z1623" si="824">Y1615+X1615+W1615+U1615</f>
        <v>7</v>
      </c>
      <c r="AA1615" s="2">
        <f t="shared" ref="AA1615:AA1621" si="825">G1615+H1615+I1615+J1615+K1615+L1615+M1615+P1615+T1615+U1615</f>
        <v>104</v>
      </c>
      <c r="AB1615" s="2">
        <v>4105</v>
      </c>
      <c r="AC1615" s="20">
        <f t="shared" si="820"/>
        <v>2.53349573690621</v>
      </c>
      <c r="AD1615" s="2" t="s">
        <v>257</v>
      </c>
      <c r="AE1615" s="2">
        <v>100</v>
      </c>
      <c r="AF1615" s="21">
        <f t="shared" si="821"/>
        <v>4.76297198538368</v>
      </c>
      <c r="AG1615" s="4">
        <f t="shared" si="822"/>
        <v>0</v>
      </c>
      <c r="AH1615" s="4">
        <f t="shared" si="823"/>
        <v>0.170523751522533</v>
      </c>
      <c r="AP1615" s="2">
        <f t="shared" si="817"/>
        <v>0</v>
      </c>
      <c r="AQ1615" s="2">
        <f t="shared" si="818"/>
        <v>0</v>
      </c>
      <c r="AR1615" s="5">
        <f t="shared" si="819"/>
        <v>0</v>
      </c>
    </row>
    <row r="1616" spans="1:44">
      <c r="A1616" s="2">
        <v>20260507</v>
      </c>
      <c r="B1616" s="22" t="s">
        <v>3274</v>
      </c>
      <c r="C1616" s="2" t="s">
        <v>3275</v>
      </c>
      <c r="D1616" s="2">
        <v>1</v>
      </c>
      <c r="E1616" s="2">
        <v>0</v>
      </c>
      <c r="F1616" s="2">
        <v>0</v>
      </c>
      <c r="G1616" s="2">
        <v>6</v>
      </c>
      <c r="H1616" s="2">
        <v>10</v>
      </c>
      <c r="I1616" s="3">
        <v>13</v>
      </c>
      <c r="J1616" s="2">
        <v>8</v>
      </c>
      <c r="K1616" s="2">
        <v>1</v>
      </c>
      <c r="L1616" s="2">
        <v>0</v>
      </c>
      <c r="M1616" s="2">
        <v>9</v>
      </c>
      <c r="N1616" s="2">
        <v>6</v>
      </c>
      <c r="O1616" s="2">
        <v>0</v>
      </c>
      <c r="P1616" s="3">
        <v>17</v>
      </c>
      <c r="Q1616" s="2">
        <v>4</v>
      </c>
      <c r="R1616" s="2">
        <v>1036</v>
      </c>
      <c r="S1616" s="2">
        <v>1</v>
      </c>
      <c r="T1616" s="2">
        <v>4</v>
      </c>
      <c r="U1616" s="2">
        <v>0</v>
      </c>
      <c r="V1616" s="2">
        <f t="shared" si="811"/>
        <v>9</v>
      </c>
      <c r="W1616" s="2">
        <v>0</v>
      </c>
      <c r="X1616" s="2">
        <v>1</v>
      </c>
      <c r="Y1616" s="2">
        <v>0</v>
      </c>
      <c r="Z1616" s="2">
        <f t="shared" si="824"/>
        <v>1</v>
      </c>
      <c r="AA1616" s="2">
        <f t="shared" si="825"/>
        <v>68</v>
      </c>
      <c r="AB1616" s="2">
        <v>1851</v>
      </c>
      <c r="AC1616" s="20">
        <f t="shared" si="820"/>
        <v>3.67368989735278</v>
      </c>
      <c r="AD1616" s="2" t="s">
        <v>676</v>
      </c>
      <c r="AE1616" s="2">
        <v>165</v>
      </c>
      <c r="AF1616" s="21">
        <f t="shared" si="821"/>
        <v>4.1857800042565</v>
      </c>
      <c r="AG1616" s="4">
        <f t="shared" si="822"/>
        <v>0.486223662884927</v>
      </c>
      <c r="AH1616" s="4">
        <f t="shared" si="823"/>
        <v>0.0540248514316586</v>
      </c>
      <c r="AP1616" s="2">
        <f t="shared" si="817"/>
        <v>0</v>
      </c>
      <c r="AQ1616" s="2">
        <f t="shared" si="818"/>
        <v>0</v>
      </c>
      <c r="AR1616" s="5">
        <f t="shared" si="819"/>
        <v>0</v>
      </c>
    </row>
    <row r="1617" spans="1:44">
      <c r="A1617" s="2">
        <v>20260507</v>
      </c>
      <c r="B1617" s="2" t="s">
        <v>3276</v>
      </c>
      <c r="C1617" s="2" t="s">
        <v>3275</v>
      </c>
      <c r="D1617" s="2">
        <v>1</v>
      </c>
      <c r="E1617" s="2">
        <v>2757</v>
      </c>
      <c r="F1617" s="2">
        <v>127</v>
      </c>
      <c r="G1617" s="2">
        <v>16</v>
      </c>
      <c r="H1617" s="2">
        <v>170</v>
      </c>
      <c r="I1617" s="3">
        <v>83</v>
      </c>
      <c r="J1617" s="2">
        <v>1105</v>
      </c>
      <c r="K1617" s="2">
        <v>1</v>
      </c>
      <c r="L1617" s="2">
        <v>0</v>
      </c>
      <c r="M1617" s="2">
        <v>18</v>
      </c>
      <c r="N1617" s="2">
        <v>5392</v>
      </c>
      <c r="O1617" s="2">
        <v>1</v>
      </c>
      <c r="P1617" s="3">
        <v>36</v>
      </c>
      <c r="Q1617" s="2">
        <v>7</v>
      </c>
      <c r="R1617" s="2">
        <v>1131</v>
      </c>
      <c r="S1617" s="2">
        <v>14</v>
      </c>
      <c r="T1617" s="2">
        <v>8288</v>
      </c>
      <c r="U1617" s="2">
        <v>0</v>
      </c>
      <c r="V1617" s="2">
        <f t="shared" si="811"/>
        <v>8309</v>
      </c>
      <c r="W1617" s="2">
        <v>0</v>
      </c>
      <c r="X1617" s="2">
        <v>9</v>
      </c>
      <c r="Y1617" s="2">
        <v>0</v>
      </c>
      <c r="Z1617" s="2">
        <f t="shared" si="824"/>
        <v>9</v>
      </c>
      <c r="AA1617" s="2">
        <f t="shared" si="825"/>
        <v>9717</v>
      </c>
      <c r="AB1617" s="2">
        <v>2879</v>
      </c>
      <c r="AC1617" s="20">
        <f t="shared" si="820"/>
        <v>337.513025356026</v>
      </c>
      <c r="AD1617" s="2" t="s">
        <v>676</v>
      </c>
      <c r="AE1617" s="2">
        <v>165</v>
      </c>
      <c r="AF1617" s="21">
        <f t="shared" si="821"/>
        <v>384.560295557169</v>
      </c>
      <c r="AG1617" s="4">
        <f t="shared" si="822"/>
        <v>288.607155262244</v>
      </c>
      <c r="AH1617" s="4">
        <f t="shared" si="823"/>
        <v>0.312608544633553</v>
      </c>
      <c r="AP1617" s="2">
        <f t="shared" si="817"/>
        <v>0</v>
      </c>
      <c r="AQ1617" s="2">
        <f t="shared" si="818"/>
        <v>0</v>
      </c>
      <c r="AR1617" s="5">
        <f t="shared" si="819"/>
        <v>0</v>
      </c>
    </row>
    <row r="1618" spans="1:44">
      <c r="A1618" s="2">
        <v>20260507</v>
      </c>
      <c r="B1618" s="2" t="s">
        <v>3277</v>
      </c>
      <c r="C1618" s="2" t="s">
        <v>3278</v>
      </c>
      <c r="D1618" s="2">
        <v>0</v>
      </c>
      <c r="E1618" s="2">
        <v>0</v>
      </c>
      <c r="F1618" s="2">
        <v>0</v>
      </c>
      <c r="G1618" s="2">
        <v>3</v>
      </c>
      <c r="H1618" s="2">
        <v>9</v>
      </c>
      <c r="I1618" s="3">
        <v>9</v>
      </c>
      <c r="J1618" s="2">
        <v>5</v>
      </c>
      <c r="K1618" s="2">
        <v>0</v>
      </c>
      <c r="L1618" s="2">
        <v>1</v>
      </c>
      <c r="M1618" s="2">
        <v>13</v>
      </c>
      <c r="N1618" s="2">
        <v>3</v>
      </c>
      <c r="O1618" s="2">
        <v>0</v>
      </c>
      <c r="P1618" s="3">
        <v>16</v>
      </c>
      <c r="Q1618" s="2">
        <v>0</v>
      </c>
      <c r="R1618" s="2">
        <v>469</v>
      </c>
      <c r="S1618" s="2">
        <v>3</v>
      </c>
      <c r="T1618" s="2">
        <v>8</v>
      </c>
      <c r="U1618" s="2">
        <v>0</v>
      </c>
      <c r="V1618" s="2">
        <f t="shared" si="811"/>
        <v>11</v>
      </c>
      <c r="W1618" s="2">
        <v>1</v>
      </c>
      <c r="X1618" s="2">
        <v>4</v>
      </c>
      <c r="Y1618" s="2">
        <v>0</v>
      </c>
      <c r="Z1618" s="2">
        <f t="shared" si="824"/>
        <v>5</v>
      </c>
      <c r="AA1618" s="2">
        <f t="shared" si="825"/>
        <v>64</v>
      </c>
      <c r="AB1618" s="2">
        <v>1330</v>
      </c>
      <c r="AC1618" s="20">
        <f t="shared" si="820"/>
        <v>4.81203007518797</v>
      </c>
      <c r="AD1618" s="2" t="s">
        <v>676</v>
      </c>
      <c r="AE1618" s="2">
        <v>165</v>
      </c>
      <c r="AF1618" s="21">
        <f t="shared" si="821"/>
        <v>5.48279790385054</v>
      </c>
      <c r="AG1618" s="4">
        <f t="shared" si="822"/>
        <v>0.827067669172932</v>
      </c>
      <c r="AH1618" s="4">
        <f t="shared" si="823"/>
        <v>0.37593984962406</v>
      </c>
      <c r="AP1618" s="2">
        <f t="shared" si="817"/>
        <v>0</v>
      </c>
      <c r="AQ1618" s="2">
        <f t="shared" si="818"/>
        <v>0</v>
      </c>
      <c r="AR1618" s="5">
        <f t="shared" si="819"/>
        <v>0</v>
      </c>
    </row>
    <row r="1619" spans="1:44">
      <c r="A1619" s="2">
        <v>20260507</v>
      </c>
      <c r="B1619" s="2" t="s">
        <v>3279</v>
      </c>
      <c r="C1619" s="2" t="s">
        <v>3280</v>
      </c>
      <c r="D1619" s="2">
        <v>1</v>
      </c>
      <c r="E1619" s="2">
        <v>4</v>
      </c>
      <c r="F1619" s="2">
        <v>1</v>
      </c>
      <c r="G1619" s="2">
        <v>2</v>
      </c>
      <c r="H1619" s="2">
        <v>7</v>
      </c>
      <c r="I1619" s="3">
        <v>15</v>
      </c>
      <c r="J1619" s="2">
        <v>4</v>
      </c>
      <c r="K1619" s="2">
        <v>0</v>
      </c>
      <c r="L1619" s="2">
        <v>0</v>
      </c>
      <c r="M1619" s="2">
        <v>16</v>
      </c>
      <c r="N1619" s="2">
        <v>3</v>
      </c>
      <c r="O1619" s="2">
        <v>4</v>
      </c>
      <c r="P1619" s="3">
        <v>15</v>
      </c>
      <c r="Q1619" s="2">
        <v>0</v>
      </c>
      <c r="R1619" s="2">
        <v>17</v>
      </c>
      <c r="S1619" s="2">
        <v>3</v>
      </c>
      <c r="T1619" s="2">
        <v>7</v>
      </c>
      <c r="U1619" s="2">
        <v>1</v>
      </c>
      <c r="V1619" s="2">
        <f t="shared" ref="V1619:V1625" si="826">U1619+T1619+S1619+Q1619</f>
        <v>11</v>
      </c>
      <c r="W1619" s="2">
        <v>12</v>
      </c>
      <c r="X1619" s="2">
        <v>5</v>
      </c>
      <c r="Y1619" s="2">
        <v>0</v>
      </c>
      <c r="Z1619" s="2">
        <f t="shared" si="824"/>
        <v>18</v>
      </c>
      <c r="AA1619" s="2">
        <f t="shared" si="825"/>
        <v>67</v>
      </c>
      <c r="AB1619" s="2">
        <v>3114</v>
      </c>
      <c r="AC1619" s="20">
        <f t="shared" si="820"/>
        <v>2.15157353885678</v>
      </c>
      <c r="AD1619" s="2" t="s">
        <v>3240</v>
      </c>
      <c r="AE1619" s="2">
        <v>100</v>
      </c>
      <c r="AF1619" s="21">
        <f t="shared" si="821"/>
        <v>4.04495825305074</v>
      </c>
      <c r="AG1619" s="4">
        <f t="shared" si="822"/>
        <v>0.353243416827232</v>
      </c>
      <c r="AH1619" s="4">
        <f t="shared" si="823"/>
        <v>0.578034682080925</v>
      </c>
      <c r="AP1619" s="2">
        <f t="shared" si="817"/>
        <v>0</v>
      </c>
      <c r="AQ1619" s="2">
        <f t="shared" si="818"/>
        <v>0</v>
      </c>
      <c r="AR1619" s="5">
        <f t="shared" si="819"/>
        <v>0</v>
      </c>
    </row>
    <row r="1620" spans="1:44">
      <c r="A1620" s="2">
        <v>20260507</v>
      </c>
      <c r="B1620" s="2" t="s">
        <v>3281</v>
      </c>
      <c r="C1620" s="2" t="s">
        <v>3282</v>
      </c>
      <c r="D1620" s="2">
        <v>0</v>
      </c>
      <c r="E1620" s="2">
        <v>7</v>
      </c>
      <c r="F1620" s="2">
        <v>1</v>
      </c>
      <c r="G1620" s="2">
        <v>2</v>
      </c>
      <c r="H1620" s="2">
        <v>10</v>
      </c>
      <c r="I1620" s="3">
        <v>23</v>
      </c>
      <c r="J1620" s="2">
        <v>4</v>
      </c>
      <c r="K1620" s="2">
        <v>1</v>
      </c>
      <c r="L1620" s="2">
        <v>0</v>
      </c>
      <c r="M1620" s="2">
        <v>16</v>
      </c>
      <c r="N1620" s="2">
        <v>19</v>
      </c>
      <c r="O1620" s="2">
        <v>0</v>
      </c>
      <c r="P1620" s="3">
        <v>35</v>
      </c>
      <c r="Q1620" s="2">
        <v>5</v>
      </c>
      <c r="R1620" s="2">
        <v>62</v>
      </c>
      <c r="S1620" s="2">
        <v>3</v>
      </c>
      <c r="T1620" s="2">
        <v>18</v>
      </c>
      <c r="U1620" s="2">
        <v>1</v>
      </c>
      <c r="V1620" s="2">
        <f t="shared" si="826"/>
        <v>27</v>
      </c>
      <c r="W1620" s="2">
        <v>2</v>
      </c>
      <c r="X1620" s="2">
        <v>13</v>
      </c>
      <c r="Y1620" s="2">
        <v>0</v>
      </c>
      <c r="Z1620" s="2">
        <f t="shared" si="824"/>
        <v>16</v>
      </c>
      <c r="AA1620" s="2">
        <f t="shared" si="825"/>
        <v>110</v>
      </c>
      <c r="AB1620" s="2">
        <v>6173</v>
      </c>
      <c r="AC1620" s="20">
        <f t="shared" si="820"/>
        <v>1.7819536692046</v>
      </c>
      <c r="AD1620" s="2" t="s">
        <v>3240</v>
      </c>
      <c r="AE1620" s="2">
        <v>100</v>
      </c>
      <c r="AF1620" s="21">
        <f t="shared" si="821"/>
        <v>3.35007289810465</v>
      </c>
      <c r="AG1620" s="4">
        <f t="shared" si="822"/>
        <v>0.437388627895675</v>
      </c>
      <c r="AH1620" s="4">
        <f t="shared" si="823"/>
        <v>0.259193260975215</v>
      </c>
      <c r="AI1620" s="2">
        <v>501</v>
      </c>
      <c r="AJ1620" s="2">
        <v>439</v>
      </c>
      <c r="AK1620" s="2">
        <v>40</v>
      </c>
      <c r="AL1620" s="2">
        <v>33</v>
      </c>
      <c r="AM1620" s="2">
        <v>52</v>
      </c>
      <c r="AN1620" s="2">
        <v>2</v>
      </c>
      <c r="AO1620" s="2">
        <v>0</v>
      </c>
      <c r="AP1620" s="2">
        <f t="shared" si="817"/>
        <v>975</v>
      </c>
      <c r="AQ1620" s="2">
        <f t="shared" si="818"/>
        <v>31.3102119460501</v>
      </c>
      <c r="AR1620" s="5">
        <f t="shared" si="819"/>
        <v>58.8631984585742</v>
      </c>
    </row>
    <row r="1621" spans="1:44">
      <c r="A1621" s="2">
        <v>20260507</v>
      </c>
      <c r="B1621" s="2" t="s">
        <v>3283</v>
      </c>
      <c r="C1621" s="2" t="s">
        <v>3284</v>
      </c>
      <c r="D1621" s="2">
        <v>1</v>
      </c>
      <c r="E1621" s="2">
        <v>2</v>
      </c>
      <c r="F1621" s="2">
        <v>0</v>
      </c>
      <c r="G1621" s="2">
        <v>1</v>
      </c>
      <c r="H1621" s="2">
        <v>3</v>
      </c>
      <c r="I1621" s="3">
        <v>11</v>
      </c>
      <c r="J1621" s="2">
        <v>1</v>
      </c>
      <c r="K1621" s="2">
        <v>1</v>
      </c>
      <c r="L1621" s="2">
        <v>0</v>
      </c>
      <c r="M1621" s="2">
        <v>3</v>
      </c>
      <c r="N1621" s="2">
        <v>5</v>
      </c>
      <c r="O1621" s="2">
        <v>0</v>
      </c>
      <c r="P1621" s="3">
        <v>22</v>
      </c>
      <c r="Q1621" s="2">
        <v>0</v>
      </c>
      <c r="R1621" s="2">
        <v>55</v>
      </c>
      <c r="S1621" s="2">
        <v>1</v>
      </c>
      <c r="T1621" s="2">
        <v>9</v>
      </c>
      <c r="U1621" s="2">
        <v>0</v>
      </c>
      <c r="V1621" s="2">
        <f t="shared" si="826"/>
        <v>10</v>
      </c>
      <c r="W1621" s="2">
        <v>2</v>
      </c>
      <c r="X1621" s="2">
        <v>4</v>
      </c>
      <c r="Y1621" s="2">
        <v>0</v>
      </c>
      <c r="Z1621" s="2">
        <f t="shared" si="824"/>
        <v>6</v>
      </c>
      <c r="AA1621" s="2">
        <f t="shared" si="825"/>
        <v>51</v>
      </c>
      <c r="AB1621" s="2">
        <v>3414</v>
      </c>
      <c r="AC1621" s="20">
        <f t="shared" si="820"/>
        <v>1.49384885764499</v>
      </c>
      <c r="AD1621" s="2" t="s">
        <v>3240</v>
      </c>
      <c r="AE1621" s="2">
        <v>100</v>
      </c>
      <c r="AF1621" s="21">
        <f t="shared" si="821"/>
        <v>2.80843585237258</v>
      </c>
      <c r="AG1621" s="4">
        <f t="shared" si="822"/>
        <v>0.292911540714704</v>
      </c>
      <c r="AH1621" s="4">
        <f t="shared" si="823"/>
        <v>0.175746924428822</v>
      </c>
      <c r="AI1621" s="2">
        <v>6595</v>
      </c>
      <c r="AJ1621" s="2">
        <v>327</v>
      </c>
      <c r="AK1621" s="2">
        <v>694</v>
      </c>
      <c r="AL1621" s="2">
        <v>69</v>
      </c>
      <c r="AM1621" s="2">
        <v>53</v>
      </c>
      <c r="AN1621" s="2">
        <v>2</v>
      </c>
      <c r="AO1621" s="2">
        <v>0</v>
      </c>
      <c r="AP1621" s="2">
        <f t="shared" si="817"/>
        <v>6993</v>
      </c>
      <c r="AQ1621" s="2">
        <f t="shared" si="818"/>
        <v>113.28365462498</v>
      </c>
      <c r="AR1621" s="5">
        <f t="shared" si="819"/>
        <v>212.973270694962</v>
      </c>
    </row>
    <row r="1622" spans="1:44">
      <c r="A1622" s="2">
        <v>20260507</v>
      </c>
      <c r="B1622" s="2" t="s">
        <v>3285</v>
      </c>
      <c r="C1622" s="2" t="s">
        <v>3286</v>
      </c>
      <c r="D1622" s="2">
        <v>0</v>
      </c>
      <c r="E1622" s="2">
        <v>9</v>
      </c>
      <c r="F1622" s="2">
        <v>1</v>
      </c>
      <c r="G1622" s="2">
        <v>3</v>
      </c>
      <c r="H1622" s="2">
        <v>4</v>
      </c>
      <c r="I1622" s="3">
        <v>12</v>
      </c>
      <c r="J1622" s="2">
        <v>2</v>
      </c>
      <c r="K1622" s="2">
        <v>2</v>
      </c>
      <c r="L1622" s="2">
        <v>0</v>
      </c>
      <c r="M1622" s="2">
        <v>7</v>
      </c>
      <c r="N1622" s="2">
        <v>3</v>
      </c>
      <c r="O1622" s="2">
        <v>1</v>
      </c>
      <c r="P1622" s="3">
        <v>17</v>
      </c>
      <c r="Q1622" s="2">
        <v>0</v>
      </c>
      <c r="R1622" s="2">
        <v>21</v>
      </c>
      <c r="S1622" s="2">
        <v>0</v>
      </c>
      <c r="T1622" s="2">
        <v>2</v>
      </c>
      <c r="U1622" s="2">
        <v>0</v>
      </c>
      <c r="V1622" s="2">
        <f t="shared" ref="V1622:V1653" si="827">U1622+T1622+S1622+Q1622</f>
        <v>2</v>
      </c>
      <c r="W1622" s="2">
        <v>0</v>
      </c>
      <c r="X1622" s="2">
        <v>5</v>
      </c>
      <c r="Y1622" s="2">
        <v>0</v>
      </c>
      <c r="Z1622" s="2">
        <f t="shared" ref="Z1622:Z1653" si="828">Y1622+X1622+W1622+U1622</f>
        <v>5</v>
      </c>
      <c r="AA1622" s="2">
        <f t="shared" ref="AA1622:AA1653" si="829">G1622+H1622+I1622+J1622+K1622+L1622+M1622+P1622+T1622+U1622</f>
        <v>49</v>
      </c>
      <c r="AB1622" s="2">
        <v>3464</v>
      </c>
      <c r="AC1622" s="20">
        <f t="shared" ref="AC1622:AC1653" si="830">AA1622/AB1622*100</f>
        <v>1.41454965357968</v>
      </c>
      <c r="AD1622" s="2" t="s">
        <v>3240</v>
      </c>
      <c r="AE1622" s="2">
        <v>100</v>
      </c>
      <c r="AF1622" s="21">
        <f t="shared" ref="AF1622:AF1653" si="831">188/AE1622*AC1622</f>
        <v>2.65935334872979</v>
      </c>
      <c r="AG1622" s="4">
        <f t="shared" ref="AG1622:AG1653" si="832">V1622/AB1622*100</f>
        <v>0.0577367205542725</v>
      </c>
      <c r="AH1622" s="4">
        <f t="shared" ref="AH1622:AH1653" si="833">Z1622/AB1622*100</f>
        <v>0.144341801385681</v>
      </c>
      <c r="AI1622" s="2">
        <v>6437</v>
      </c>
      <c r="AJ1622" s="2">
        <v>337</v>
      </c>
      <c r="AK1622" s="2">
        <v>811</v>
      </c>
      <c r="AL1622" s="2">
        <v>57</v>
      </c>
      <c r="AM1622" s="2">
        <v>51</v>
      </c>
      <c r="AN1622" s="2">
        <v>2</v>
      </c>
      <c r="AO1622" s="2">
        <v>0</v>
      </c>
      <c r="AP1622" s="2">
        <f t="shared" si="817"/>
        <v>6833</v>
      </c>
      <c r="AQ1622" s="2">
        <f t="shared" si="818"/>
        <v>200.146455770357</v>
      </c>
      <c r="AR1622" s="5">
        <f t="shared" si="819"/>
        <v>376.275336848272</v>
      </c>
    </row>
    <row r="1623" spans="1:44">
      <c r="A1623" s="2">
        <v>20260507</v>
      </c>
      <c r="B1623" s="2" t="s">
        <v>3287</v>
      </c>
      <c r="C1623" s="2" t="s">
        <v>3288</v>
      </c>
      <c r="D1623" s="2">
        <v>0</v>
      </c>
      <c r="E1623" s="2">
        <v>2</v>
      </c>
      <c r="F1623" s="2">
        <v>0</v>
      </c>
      <c r="G1623" s="2">
        <v>2</v>
      </c>
      <c r="H1623" s="2">
        <v>2</v>
      </c>
      <c r="I1623" s="3">
        <v>9</v>
      </c>
      <c r="J1623" s="2">
        <v>2</v>
      </c>
      <c r="K1623" s="2">
        <v>3</v>
      </c>
      <c r="L1623" s="2">
        <v>0</v>
      </c>
      <c r="M1623" s="2">
        <v>9</v>
      </c>
      <c r="N1623" s="2">
        <v>5</v>
      </c>
      <c r="O1623" s="2">
        <v>0</v>
      </c>
      <c r="P1623" s="3">
        <v>13</v>
      </c>
      <c r="Q1623" s="2">
        <v>2</v>
      </c>
      <c r="R1623" s="2">
        <v>16</v>
      </c>
      <c r="S1623" s="2">
        <v>2</v>
      </c>
      <c r="T1623" s="2">
        <v>3</v>
      </c>
      <c r="U1623" s="2">
        <v>1</v>
      </c>
      <c r="V1623" s="2">
        <f t="shared" si="827"/>
        <v>8</v>
      </c>
      <c r="W1623" s="2">
        <v>0</v>
      </c>
      <c r="X1623" s="2">
        <v>8</v>
      </c>
      <c r="Y1623" s="2">
        <v>0</v>
      </c>
      <c r="Z1623" s="2">
        <f t="shared" si="828"/>
        <v>9</v>
      </c>
      <c r="AA1623" s="2">
        <f t="shared" si="829"/>
        <v>44</v>
      </c>
      <c r="AB1623" s="2">
        <v>3202</v>
      </c>
      <c r="AC1623" s="20">
        <f t="shared" si="830"/>
        <v>1.37414116177389</v>
      </c>
      <c r="AD1623" s="2" t="s">
        <v>44</v>
      </c>
      <c r="AE1623" s="2">
        <v>125</v>
      </c>
      <c r="AF1623" s="21">
        <f t="shared" si="831"/>
        <v>2.06670830730793</v>
      </c>
      <c r="AG1623" s="4">
        <f t="shared" si="832"/>
        <v>0.249843847595253</v>
      </c>
      <c r="AH1623" s="4">
        <f t="shared" si="833"/>
        <v>0.28107432854466</v>
      </c>
      <c r="AI1623" s="2">
        <v>4805</v>
      </c>
      <c r="AJ1623" s="2">
        <v>354</v>
      </c>
      <c r="AK1623" s="2">
        <v>1150</v>
      </c>
      <c r="AL1623" s="2">
        <v>49</v>
      </c>
      <c r="AM1623" s="2">
        <v>62</v>
      </c>
      <c r="AN1623" s="2">
        <v>1</v>
      </c>
      <c r="AO1623" s="2">
        <v>0</v>
      </c>
      <c r="AP1623" s="2">
        <f t="shared" si="817"/>
        <v>5209</v>
      </c>
      <c r="AQ1623" s="2">
        <f t="shared" si="818"/>
        <v>150.375288683603</v>
      </c>
      <c r="AR1623" s="5">
        <f t="shared" si="819"/>
        <v>282.705542725173</v>
      </c>
    </row>
    <row r="1624" spans="1:44">
      <c r="A1624" s="2">
        <v>20260507</v>
      </c>
      <c r="B1624" s="2" t="s">
        <v>3289</v>
      </c>
      <c r="C1624" s="2" t="s">
        <v>3290</v>
      </c>
      <c r="D1624" s="2">
        <v>0</v>
      </c>
      <c r="E1624" s="2">
        <v>3</v>
      </c>
      <c r="F1624" s="2">
        <v>2</v>
      </c>
      <c r="G1624" s="2">
        <v>3</v>
      </c>
      <c r="H1624" s="2">
        <v>2</v>
      </c>
      <c r="I1624" s="3">
        <v>6</v>
      </c>
      <c r="J1624" s="2">
        <v>2</v>
      </c>
      <c r="K1624" s="2">
        <v>5</v>
      </c>
      <c r="L1624" s="2">
        <v>0</v>
      </c>
      <c r="M1624" s="2">
        <v>12</v>
      </c>
      <c r="N1624" s="2">
        <v>11</v>
      </c>
      <c r="O1624" s="2">
        <v>3</v>
      </c>
      <c r="P1624" s="3">
        <v>14</v>
      </c>
      <c r="Q1624" s="2">
        <v>4</v>
      </c>
      <c r="R1624" s="2">
        <v>8</v>
      </c>
      <c r="S1624" s="2">
        <v>1</v>
      </c>
      <c r="T1624" s="2">
        <v>2</v>
      </c>
      <c r="U1624" s="2">
        <v>0</v>
      </c>
      <c r="V1624" s="2">
        <f t="shared" si="827"/>
        <v>7</v>
      </c>
      <c r="W1624" s="2">
        <v>0</v>
      </c>
      <c r="X1624" s="2">
        <v>4</v>
      </c>
      <c r="Y1624" s="2">
        <v>0</v>
      </c>
      <c r="Z1624" s="2">
        <f t="shared" si="828"/>
        <v>4</v>
      </c>
      <c r="AA1624" s="2">
        <f t="shared" si="829"/>
        <v>46</v>
      </c>
      <c r="AB1624" s="2">
        <v>3352</v>
      </c>
      <c r="AC1624" s="20">
        <f t="shared" si="830"/>
        <v>1.37231503579952</v>
      </c>
      <c r="AD1624" s="2" t="s">
        <v>44</v>
      </c>
      <c r="AE1624" s="2">
        <v>125</v>
      </c>
      <c r="AF1624" s="21">
        <f t="shared" si="831"/>
        <v>2.06396181384248</v>
      </c>
      <c r="AG1624" s="4">
        <f t="shared" si="832"/>
        <v>0.208830548926014</v>
      </c>
      <c r="AH1624" s="4">
        <f t="shared" si="833"/>
        <v>0.119331742243437</v>
      </c>
      <c r="AI1624" s="2">
        <v>4715</v>
      </c>
      <c r="AJ1624" s="2">
        <v>265</v>
      </c>
      <c r="AK1624" s="2">
        <v>1105</v>
      </c>
      <c r="AL1624" s="2">
        <v>42</v>
      </c>
      <c r="AM1624" s="2">
        <v>40</v>
      </c>
      <c r="AN1624" s="2">
        <v>1</v>
      </c>
      <c r="AO1624" s="2">
        <v>0</v>
      </c>
      <c r="AP1624" s="2">
        <f t="shared" si="817"/>
        <v>5023</v>
      </c>
      <c r="AQ1624" s="2">
        <f t="shared" si="818"/>
        <v>156.870705808869</v>
      </c>
      <c r="AR1624" s="5">
        <f t="shared" si="819"/>
        <v>294.916926920675</v>
      </c>
    </row>
    <row r="1625" spans="1:44">
      <c r="A1625" s="2">
        <v>20260507</v>
      </c>
      <c r="B1625" s="2" t="s">
        <v>3291</v>
      </c>
      <c r="C1625" s="2" t="s">
        <v>3292</v>
      </c>
      <c r="D1625" s="2">
        <v>0</v>
      </c>
      <c r="E1625" s="2">
        <v>76</v>
      </c>
      <c r="F1625" s="2">
        <v>0</v>
      </c>
      <c r="G1625" s="2">
        <v>3</v>
      </c>
      <c r="H1625" s="2">
        <v>8</v>
      </c>
      <c r="I1625" s="3">
        <v>3</v>
      </c>
      <c r="J1625" s="2">
        <v>11</v>
      </c>
      <c r="K1625" s="2">
        <v>0</v>
      </c>
      <c r="L1625" s="2">
        <v>0</v>
      </c>
      <c r="M1625" s="2">
        <v>12</v>
      </c>
      <c r="N1625" s="2">
        <v>9</v>
      </c>
      <c r="O1625" s="2">
        <v>1</v>
      </c>
      <c r="P1625" s="3">
        <v>14</v>
      </c>
      <c r="Q1625" s="2">
        <v>2</v>
      </c>
      <c r="R1625" s="2">
        <v>21</v>
      </c>
      <c r="S1625" s="2">
        <v>0</v>
      </c>
      <c r="T1625" s="2">
        <v>7</v>
      </c>
      <c r="U1625" s="2">
        <v>0</v>
      </c>
      <c r="V1625" s="2">
        <f t="shared" si="827"/>
        <v>9</v>
      </c>
      <c r="W1625" s="2">
        <v>0</v>
      </c>
      <c r="X1625" s="2">
        <v>1</v>
      </c>
      <c r="Y1625" s="2">
        <v>0</v>
      </c>
      <c r="Z1625" s="2">
        <f t="shared" si="828"/>
        <v>1</v>
      </c>
      <c r="AA1625" s="2">
        <f t="shared" si="829"/>
        <v>58</v>
      </c>
      <c r="AB1625" s="2">
        <v>3716</v>
      </c>
      <c r="AC1625" s="20">
        <f t="shared" si="830"/>
        <v>1.56081808396125</v>
      </c>
      <c r="AD1625" s="2" t="s">
        <v>58</v>
      </c>
      <c r="AE1625" s="2">
        <v>100</v>
      </c>
      <c r="AF1625" s="21">
        <f t="shared" si="831"/>
        <v>2.93433799784715</v>
      </c>
      <c r="AG1625" s="4">
        <f t="shared" si="832"/>
        <v>0.242195909580194</v>
      </c>
      <c r="AH1625" s="4">
        <f t="shared" si="833"/>
        <v>0.0269106566200215</v>
      </c>
      <c r="AI1625" s="2">
        <v>8969</v>
      </c>
      <c r="AJ1625" s="2">
        <v>463</v>
      </c>
      <c r="AK1625" s="2">
        <v>1245</v>
      </c>
      <c r="AL1625" s="2">
        <v>85</v>
      </c>
      <c r="AM1625" s="2">
        <v>79</v>
      </c>
      <c r="AN1625" s="2">
        <v>2</v>
      </c>
      <c r="AO1625" s="2">
        <v>0</v>
      </c>
      <c r="AP1625" s="2">
        <f t="shared" si="817"/>
        <v>9519</v>
      </c>
      <c r="AQ1625" s="2">
        <f t="shared" si="818"/>
        <v>283.979713603819</v>
      </c>
      <c r="AR1625" s="5">
        <f t="shared" si="819"/>
        <v>533.881861575179</v>
      </c>
    </row>
    <row r="1626" spans="1:44">
      <c r="A1626" s="2">
        <v>20260507</v>
      </c>
      <c r="B1626" s="2" t="s">
        <v>3293</v>
      </c>
      <c r="C1626" s="2" t="s">
        <v>3294</v>
      </c>
      <c r="D1626" s="2">
        <v>0</v>
      </c>
      <c r="E1626" s="2">
        <v>1</v>
      </c>
      <c r="F1626" s="2">
        <v>5</v>
      </c>
      <c r="G1626" s="2">
        <v>2</v>
      </c>
      <c r="H1626" s="2">
        <v>5</v>
      </c>
      <c r="I1626" s="3">
        <v>15</v>
      </c>
      <c r="J1626" s="2">
        <v>0</v>
      </c>
      <c r="K1626" s="2">
        <v>0</v>
      </c>
      <c r="L1626" s="2">
        <v>0</v>
      </c>
      <c r="M1626" s="2">
        <v>2</v>
      </c>
      <c r="N1626" s="2">
        <v>3</v>
      </c>
      <c r="O1626" s="2">
        <v>1</v>
      </c>
      <c r="P1626" s="3">
        <v>15</v>
      </c>
      <c r="Q1626" s="2">
        <v>1</v>
      </c>
      <c r="R1626" s="2">
        <v>18</v>
      </c>
      <c r="S1626" s="2">
        <v>0</v>
      </c>
      <c r="T1626" s="2">
        <v>2</v>
      </c>
      <c r="U1626" s="2">
        <v>0</v>
      </c>
      <c r="V1626" s="2">
        <f t="shared" ref="V1626:V1633" si="834">U1626+T1626+S1626+Q1626</f>
        <v>3</v>
      </c>
      <c r="W1626" s="2">
        <v>0</v>
      </c>
      <c r="X1626" s="2">
        <v>4</v>
      </c>
      <c r="Y1626" s="2">
        <v>1</v>
      </c>
      <c r="Z1626" s="2">
        <f t="shared" si="828"/>
        <v>5</v>
      </c>
      <c r="AA1626" s="2">
        <f t="shared" si="829"/>
        <v>41</v>
      </c>
      <c r="AB1626" s="2">
        <v>3416</v>
      </c>
      <c r="AC1626" s="20">
        <f t="shared" si="830"/>
        <v>1.20023419203747</v>
      </c>
      <c r="AD1626" s="2" t="s">
        <v>58</v>
      </c>
      <c r="AE1626" s="2">
        <v>100</v>
      </c>
      <c r="AF1626" s="21">
        <f t="shared" si="831"/>
        <v>2.25644028103044</v>
      </c>
      <c r="AG1626" s="4">
        <f t="shared" si="832"/>
        <v>0.0878220140515222</v>
      </c>
      <c r="AH1626" s="4">
        <f t="shared" si="833"/>
        <v>0.146370023419204</v>
      </c>
      <c r="AI1626" s="2">
        <v>5409</v>
      </c>
      <c r="AJ1626" s="2">
        <v>288</v>
      </c>
      <c r="AK1626" s="2">
        <v>1218</v>
      </c>
      <c r="AL1626" s="2">
        <v>43</v>
      </c>
      <c r="AM1626" s="2">
        <v>29</v>
      </c>
      <c r="AN1626" s="2">
        <v>1</v>
      </c>
      <c r="AO1626" s="2">
        <v>0</v>
      </c>
      <c r="AP1626" s="2">
        <f t="shared" si="817"/>
        <v>5741</v>
      </c>
      <c r="AQ1626" s="2">
        <f t="shared" si="818"/>
        <v>154.494079655544</v>
      </c>
      <c r="AR1626" s="5">
        <f t="shared" si="819"/>
        <v>290.448869752422</v>
      </c>
    </row>
    <row r="1627" spans="1:44">
      <c r="A1627" s="2">
        <v>20260507</v>
      </c>
      <c r="B1627" s="2" t="s">
        <v>3295</v>
      </c>
      <c r="C1627" s="2" t="s">
        <v>3296</v>
      </c>
      <c r="D1627" s="2">
        <v>0</v>
      </c>
      <c r="E1627" s="2">
        <v>3</v>
      </c>
      <c r="F1627" s="2">
        <v>0</v>
      </c>
      <c r="G1627" s="2">
        <v>1</v>
      </c>
      <c r="H1627" s="2">
        <v>6</v>
      </c>
      <c r="I1627" s="3">
        <v>5</v>
      </c>
      <c r="J1627" s="2">
        <v>2</v>
      </c>
      <c r="K1627" s="2">
        <v>0</v>
      </c>
      <c r="L1627" s="2">
        <v>0</v>
      </c>
      <c r="M1627" s="2">
        <v>5</v>
      </c>
      <c r="N1627" s="2">
        <v>4</v>
      </c>
      <c r="O1627" s="2">
        <v>0</v>
      </c>
      <c r="P1627" s="3">
        <v>14</v>
      </c>
      <c r="Q1627" s="2">
        <v>3</v>
      </c>
      <c r="R1627" s="2">
        <v>25</v>
      </c>
      <c r="S1627" s="2">
        <v>1</v>
      </c>
      <c r="T1627" s="2">
        <v>2</v>
      </c>
      <c r="U1627" s="2">
        <v>0</v>
      </c>
      <c r="V1627" s="2">
        <f t="shared" si="834"/>
        <v>6</v>
      </c>
      <c r="W1627" s="2">
        <v>0</v>
      </c>
      <c r="X1627" s="2">
        <v>0</v>
      </c>
      <c r="Y1627" s="2">
        <v>0</v>
      </c>
      <c r="Z1627" s="2">
        <f t="shared" si="828"/>
        <v>0</v>
      </c>
      <c r="AA1627" s="2">
        <f t="shared" si="829"/>
        <v>35</v>
      </c>
      <c r="AB1627" s="2">
        <v>3517</v>
      </c>
      <c r="AC1627" s="20">
        <f t="shared" si="830"/>
        <v>0.995166334944555</v>
      </c>
      <c r="AD1627" s="2" t="s">
        <v>83</v>
      </c>
      <c r="AE1627" s="2">
        <v>100</v>
      </c>
      <c r="AF1627" s="21">
        <f t="shared" si="831"/>
        <v>1.87091270969576</v>
      </c>
      <c r="AG1627" s="4">
        <f t="shared" si="832"/>
        <v>0.170599943133352</v>
      </c>
      <c r="AH1627" s="4">
        <f t="shared" si="833"/>
        <v>0</v>
      </c>
      <c r="AI1627" s="2">
        <v>5686</v>
      </c>
      <c r="AJ1627" s="2">
        <v>279</v>
      </c>
      <c r="AK1627" s="2">
        <v>1181</v>
      </c>
      <c r="AL1627" s="2">
        <v>64</v>
      </c>
      <c r="AM1627" s="2">
        <v>37</v>
      </c>
      <c r="AN1627" s="2">
        <v>1</v>
      </c>
      <c r="AO1627" s="2">
        <v>0</v>
      </c>
      <c r="AP1627" s="2">
        <f t="shared" si="817"/>
        <v>6030</v>
      </c>
      <c r="AQ1627" s="2">
        <f t="shared" si="818"/>
        <v>176.52224824356</v>
      </c>
      <c r="AR1627" s="5">
        <f t="shared" si="819"/>
        <v>331.861826697892</v>
      </c>
    </row>
    <row r="1628" spans="1:44">
      <c r="A1628" s="2">
        <v>20260507</v>
      </c>
      <c r="B1628" s="2" t="s">
        <v>3297</v>
      </c>
      <c r="C1628" s="2" t="s">
        <v>3298</v>
      </c>
      <c r="D1628" s="2">
        <v>0</v>
      </c>
      <c r="E1628" s="2">
        <v>5</v>
      </c>
      <c r="F1628" s="2">
        <v>6</v>
      </c>
      <c r="G1628" s="2">
        <v>4</v>
      </c>
      <c r="H1628" s="2">
        <v>9</v>
      </c>
      <c r="I1628" s="3">
        <v>12</v>
      </c>
      <c r="J1628" s="2">
        <v>3</v>
      </c>
      <c r="K1628" s="2">
        <v>1</v>
      </c>
      <c r="L1628" s="2">
        <v>0</v>
      </c>
      <c r="M1628" s="2">
        <v>7</v>
      </c>
      <c r="N1628" s="2">
        <v>15</v>
      </c>
      <c r="O1628" s="2">
        <v>1</v>
      </c>
      <c r="P1628" s="3">
        <v>24</v>
      </c>
      <c r="Q1628" s="2">
        <v>2</v>
      </c>
      <c r="R1628" s="2">
        <v>52</v>
      </c>
      <c r="S1628" s="2">
        <v>1</v>
      </c>
      <c r="T1628" s="2">
        <v>9</v>
      </c>
      <c r="U1628" s="2">
        <v>0</v>
      </c>
      <c r="V1628" s="2">
        <f t="shared" si="834"/>
        <v>12</v>
      </c>
      <c r="W1628" s="2">
        <v>0</v>
      </c>
      <c r="X1628" s="2">
        <v>4</v>
      </c>
      <c r="Y1628" s="2">
        <v>0</v>
      </c>
      <c r="Z1628" s="2">
        <f t="shared" si="828"/>
        <v>4</v>
      </c>
      <c r="AA1628" s="2">
        <f t="shared" si="829"/>
        <v>69</v>
      </c>
      <c r="AB1628" s="2">
        <v>6165</v>
      </c>
      <c r="AC1628" s="20">
        <f t="shared" si="830"/>
        <v>1.11922141119221</v>
      </c>
      <c r="AD1628" s="2" t="s">
        <v>83</v>
      </c>
      <c r="AE1628" s="2">
        <v>100</v>
      </c>
      <c r="AF1628" s="21">
        <f t="shared" si="831"/>
        <v>2.10413625304136</v>
      </c>
      <c r="AG1628" s="4">
        <f t="shared" si="832"/>
        <v>0.194647201946472</v>
      </c>
      <c r="AH1628" s="4">
        <f t="shared" si="833"/>
        <v>0.064882400648824</v>
      </c>
      <c r="AI1628" s="2">
        <v>9446</v>
      </c>
      <c r="AJ1628" s="2">
        <v>496</v>
      </c>
      <c r="AK1628" s="2">
        <v>1858</v>
      </c>
      <c r="AL1628" s="2">
        <v>71</v>
      </c>
      <c r="AM1628" s="2">
        <v>42</v>
      </c>
      <c r="AN1628" s="2">
        <v>2</v>
      </c>
      <c r="AO1628" s="2">
        <v>0</v>
      </c>
      <c r="AP1628" s="2">
        <f t="shared" si="817"/>
        <v>10015</v>
      </c>
      <c r="AQ1628" s="2">
        <f t="shared" si="818"/>
        <v>284.759738413421</v>
      </c>
      <c r="AR1628" s="5">
        <f t="shared" si="819"/>
        <v>535.348308217231</v>
      </c>
    </row>
    <row r="1629" spans="1:44">
      <c r="A1629" s="2">
        <v>20260508</v>
      </c>
      <c r="B1629" s="2" t="s">
        <v>3299</v>
      </c>
      <c r="C1629" s="2" t="s">
        <v>3300</v>
      </c>
      <c r="D1629" s="2">
        <v>0</v>
      </c>
      <c r="E1629" s="2">
        <v>2</v>
      </c>
      <c r="F1629" s="2">
        <v>1</v>
      </c>
      <c r="G1629" s="2">
        <v>0</v>
      </c>
      <c r="H1629" s="2">
        <v>3</v>
      </c>
      <c r="I1629" s="3">
        <v>9</v>
      </c>
      <c r="J1629" s="2">
        <v>2</v>
      </c>
      <c r="K1629" s="2">
        <v>0</v>
      </c>
      <c r="L1629" s="2">
        <v>0</v>
      </c>
      <c r="M1629" s="2">
        <v>1</v>
      </c>
      <c r="N1629" s="2">
        <v>2</v>
      </c>
      <c r="O1629" s="2">
        <v>0</v>
      </c>
      <c r="P1629" s="3">
        <v>8</v>
      </c>
      <c r="Q1629" s="2">
        <v>0</v>
      </c>
      <c r="R1629" s="2">
        <v>19</v>
      </c>
      <c r="S1629" s="2">
        <v>3</v>
      </c>
      <c r="T1629" s="2">
        <v>2</v>
      </c>
      <c r="U1629" s="2">
        <v>0</v>
      </c>
      <c r="V1629" s="2">
        <f t="shared" si="834"/>
        <v>5</v>
      </c>
      <c r="W1629" s="2">
        <v>3</v>
      </c>
      <c r="X1629" s="2">
        <v>0</v>
      </c>
      <c r="Y1629" s="2">
        <v>1</v>
      </c>
      <c r="Z1629" s="2">
        <f t="shared" si="828"/>
        <v>4</v>
      </c>
      <c r="AA1629" s="2">
        <f t="shared" si="829"/>
        <v>25</v>
      </c>
      <c r="AB1629" s="2">
        <v>2144</v>
      </c>
      <c r="AC1629" s="20">
        <f t="shared" si="830"/>
        <v>1.1660447761194</v>
      </c>
      <c r="AD1629" s="2" t="s">
        <v>41</v>
      </c>
      <c r="AE1629" s="2">
        <v>125</v>
      </c>
      <c r="AF1629" s="21">
        <f t="shared" si="831"/>
        <v>1.75373134328358</v>
      </c>
      <c r="AG1629" s="4">
        <f t="shared" si="832"/>
        <v>0.233208955223881</v>
      </c>
      <c r="AH1629" s="4">
        <f t="shared" si="833"/>
        <v>0.186567164179104</v>
      </c>
      <c r="AI1629" s="2">
        <v>2570</v>
      </c>
      <c r="AJ1629" s="2">
        <v>171</v>
      </c>
      <c r="AK1629" s="2">
        <v>292</v>
      </c>
      <c r="AL1629" s="2">
        <v>61</v>
      </c>
      <c r="AM1629" s="2">
        <v>20</v>
      </c>
      <c r="AN1629" s="2">
        <v>0</v>
      </c>
      <c r="AO1629" s="2">
        <v>0</v>
      </c>
      <c r="AP1629" s="2">
        <f t="shared" si="817"/>
        <v>2802</v>
      </c>
      <c r="AQ1629" s="2">
        <f t="shared" si="818"/>
        <v>45.4501216545012</v>
      </c>
      <c r="AR1629" s="5">
        <f t="shared" si="819"/>
        <v>85.4462287104623</v>
      </c>
    </row>
    <row r="1630" spans="1:44">
      <c r="A1630" s="2">
        <v>20260508</v>
      </c>
      <c r="B1630" s="2" t="s">
        <v>3301</v>
      </c>
      <c r="C1630" s="2" t="s">
        <v>3302</v>
      </c>
      <c r="D1630" s="2">
        <v>1</v>
      </c>
      <c r="E1630" s="2">
        <v>1</v>
      </c>
      <c r="F1630" s="2">
        <v>2</v>
      </c>
      <c r="G1630" s="2">
        <v>4</v>
      </c>
      <c r="H1630" s="2">
        <v>3</v>
      </c>
      <c r="I1630" s="3">
        <v>10</v>
      </c>
      <c r="J1630" s="2">
        <v>5</v>
      </c>
      <c r="K1630" s="2">
        <v>1</v>
      </c>
      <c r="L1630" s="2">
        <v>0</v>
      </c>
      <c r="M1630" s="2">
        <v>9</v>
      </c>
      <c r="N1630" s="2">
        <v>5</v>
      </c>
      <c r="O1630" s="2">
        <v>1</v>
      </c>
      <c r="P1630" s="3">
        <v>16</v>
      </c>
      <c r="Q1630" s="2">
        <v>3</v>
      </c>
      <c r="R1630" s="2">
        <v>12</v>
      </c>
      <c r="S1630" s="2">
        <v>1</v>
      </c>
      <c r="T1630" s="2">
        <v>5</v>
      </c>
      <c r="U1630" s="2">
        <v>0</v>
      </c>
      <c r="V1630" s="2">
        <f t="shared" si="834"/>
        <v>9</v>
      </c>
      <c r="W1630" s="2">
        <v>5</v>
      </c>
      <c r="X1630" s="2">
        <v>2</v>
      </c>
      <c r="Y1630" s="2">
        <v>0</v>
      </c>
      <c r="Z1630" s="2">
        <f t="shared" si="828"/>
        <v>7</v>
      </c>
      <c r="AA1630" s="2">
        <f t="shared" si="829"/>
        <v>53</v>
      </c>
      <c r="AB1630" s="2">
        <v>4231</v>
      </c>
      <c r="AC1630" s="20">
        <f t="shared" si="830"/>
        <v>1.25265894587568</v>
      </c>
      <c r="AD1630" s="2" t="s">
        <v>41</v>
      </c>
      <c r="AE1630" s="2">
        <v>125</v>
      </c>
      <c r="AF1630" s="21">
        <f t="shared" si="831"/>
        <v>1.88399905459702</v>
      </c>
      <c r="AG1630" s="4">
        <f t="shared" si="832"/>
        <v>0.212715670054361</v>
      </c>
      <c r="AH1630" s="4">
        <f t="shared" si="833"/>
        <v>0.165445521153392</v>
      </c>
      <c r="AI1630" s="2">
        <v>5117</v>
      </c>
      <c r="AJ1630" s="2">
        <v>284</v>
      </c>
      <c r="AK1630" s="2">
        <v>457</v>
      </c>
      <c r="AL1630" s="2">
        <v>76</v>
      </c>
      <c r="AM1630" s="2">
        <v>47</v>
      </c>
      <c r="AN1630" s="2">
        <v>2</v>
      </c>
      <c r="AO1630" s="2">
        <v>0</v>
      </c>
      <c r="AP1630" s="2">
        <f t="shared" si="817"/>
        <v>5479</v>
      </c>
      <c r="AQ1630" s="2">
        <f t="shared" si="818"/>
        <v>255.550373134328</v>
      </c>
      <c r="AR1630" s="5">
        <f t="shared" si="819"/>
        <v>480.434701492537</v>
      </c>
    </row>
    <row r="1631" spans="1:44">
      <c r="A1631" s="2">
        <v>20260508</v>
      </c>
      <c r="B1631" s="8" t="s">
        <v>3303</v>
      </c>
      <c r="C1631" s="2" t="s">
        <v>3304</v>
      </c>
      <c r="D1631" s="2">
        <v>0</v>
      </c>
      <c r="E1631" s="2">
        <v>1</v>
      </c>
      <c r="F1631" s="2">
        <v>2</v>
      </c>
      <c r="G1631" s="2">
        <v>2</v>
      </c>
      <c r="H1631" s="2">
        <v>8</v>
      </c>
      <c r="I1631" s="3">
        <v>7</v>
      </c>
      <c r="J1631" s="2">
        <v>8</v>
      </c>
      <c r="K1631" s="2">
        <v>1</v>
      </c>
      <c r="L1631" s="2">
        <v>1</v>
      </c>
      <c r="M1631" s="2">
        <v>7</v>
      </c>
      <c r="N1631" s="2">
        <v>9</v>
      </c>
      <c r="O1631" s="2">
        <v>2</v>
      </c>
      <c r="P1631" s="3">
        <v>14</v>
      </c>
      <c r="Q1631" s="2">
        <v>10</v>
      </c>
      <c r="R1631" s="2">
        <v>14</v>
      </c>
      <c r="S1631" s="2">
        <v>0</v>
      </c>
      <c r="T1631" s="2">
        <v>2</v>
      </c>
      <c r="U1631" s="2">
        <v>0</v>
      </c>
      <c r="V1631" s="2">
        <f t="shared" si="834"/>
        <v>12</v>
      </c>
      <c r="W1631" s="2">
        <v>9</v>
      </c>
      <c r="X1631" s="2">
        <v>0</v>
      </c>
      <c r="Y1631" s="2">
        <v>0</v>
      </c>
      <c r="Z1631" s="2">
        <f t="shared" si="828"/>
        <v>9</v>
      </c>
      <c r="AA1631" s="2">
        <f t="shared" si="829"/>
        <v>50</v>
      </c>
      <c r="AB1631" s="2">
        <v>4231</v>
      </c>
      <c r="AC1631" s="20">
        <f t="shared" si="830"/>
        <v>1.18175372252423</v>
      </c>
      <c r="AD1631" s="2" t="s">
        <v>41</v>
      </c>
      <c r="AE1631" s="2">
        <v>125</v>
      </c>
      <c r="AF1631" s="21">
        <f t="shared" si="831"/>
        <v>1.77735759867644</v>
      </c>
      <c r="AG1631" s="4">
        <f t="shared" si="832"/>
        <v>0.283620893405814</v>
      </c>
      <c r="AH1631" s="4">
        <f t="shared" si="833"/>
        <v>0.212715670054361</v>
      </c>
      <c r="AI1631" s="2">
        <v>5022</v>
      </c>
      <c r="AJ1631" s="2">
        <v>148</v>
      </c>
      <c r="AK1631" s="2">
        <v>440</v>
      </c>
      <c r="AL1631" s="2">
        <v>77</v>
      </c>
      <c r="AM1631" s="2">
        <v>32</v>
      </c>
      <c r="AN1631" s="2">
        <v>1</v>
      </c>
      <c r="AO1631" s="2">
        <v>0</v>
      </c>
      <c r="AP1631" s="2">
        <f t="shared" si="817"/>
        <v>5248</v>
      </c>
      <c r="AQ1631" s="2">
        <f t="shared" si="818"/>
        <v>124.036870716143</v>
      </c>
      <c r="AR1631" s="5">
        <f t="shared" si="819"/>
        <v>233.189316946348</v>
      </c>
    </row>
    <row r="1632" spans="1:44">
      <c r="A1632" s="2">
        <v>20260508</v>
      </c>
      <c r="B1632" s="8" t="s">
        <v>3305</v>
      </c>
      <c r="C1632" s="2" t="s">
        <v>3306</v>
      </c>
      <c r="D1632" s="2">
        <v>1</v>
      </c>
      <c r="E1632" s="2">
        <v>2</v>
      </c>
      <c r="F1632" s="2">
        <v>2</v>
      </c>
      <c r="G1632" s="2">
        <v>0</v>
      </c>
      <c r="H1632" s="2">
        <v>4</v>
      </c>
      <c r="I1632" s="3">
        <v>9</v>
      </c>
      <c r="J1632" s="2">
        <v>6</v>
      </c>
      <c r="K1632" s="2">
        <v>3</v>
      </c>
      <c r="L1632" s="2">
        <v>0</v>
      </c>
      <c r="M1632" s="2">
        <v>4</v>
      </c>
      <c r="N1632" s="2">
        <v>8</v>
      </c>
      <c r="O1632" s="2">
        <v>5</v>
      </c>
      <c r="P1632" s="3">
        <v>19</v>
      </c>
      <c r="Q1632" s="2">
        <v>7</v>
      </c>
      <c r="R1632" s="2">
        <v>7</v>
      </c>
      <c r="S1632" s="2">
        <v>0</v>
      </c>
      <c r="T1632" s="2">
        <v>2</v>
      </c>
      <c r="U1632" s="2">
        <v>0</v>
      </c>
      <c r="V1632" s="2">
        <v>3</v>
      </c>
      <c r="W1632" s="2">
        <v>3</v>
      </c>
      <c r="X1632" s="2">
        <v>0</v>
      </c>
      <c r="Y1632" s="2">
        <v>0</v>
      </c>
      <c r="Z1632" s="2">
        <f t="shared" si="828"/>
        <v>3</v>
      </c>
      <c r="AA1632" s="2">
        <f t="shared" si="829"/>
        <v>47</v>
      </c>
      <c r="AB1632" s="2">
        <v>4231</v>
      </c>
      <c r="AC1632" s="20">
        <f t="shared" si="830"/>
        <v>1.11084849917277</v>
      </c>
      <c r="AD1632" s="2" t="s">
        <v>41</v>
      </c>
      <c r="AE1632" s="2">
        <v>125</v>
      </c>
      <c r="AF1632" s="21">
        <f t="shared" si="831"/>
        <v>1.67071614275585</v>
      </c>
      <c r="AG1632" s="4">
        <f t="shared" si="832"/>
        <v>0.0709052233514535</v>
      </c>
      <c r="AH1632" s="4">
        <f t="shared" si="833"/>
        <v>0.0709052233514535</v>
      </c>
      <c r="AI1632" s="2">
        <v>4718</v>
      </c>
      <c r="AJ1632" s="2">
        <v>287</v>
      </c>
      <c r="AK1632" s="2">
        <v>466</v>
      </c>
      <c r="AL1632" s="2">
        <v>36</v>
      </c>
      <c r="AM1632" s="2">
        <v>34</v>
      </c>
      <c r="AN1632" s="2">
        <v>1</v>
      </c>
      <c r="AO1632" s="2">
        <v>0</v>
      </c>
      <c r="AP1632" s="2">
        <f t="shared" si="817"/>
        <v>5042</v>
      </c>
      <c r="AQ1632" s="2">
        <f t="shared" si="818"/>
        <v>119.168045379343</v>
      </c>
      <c r="AR1632" s="5">
        <f t="shared" si="819"/>
        <v>224.035925313165</v>
      </c>
    </row>
    <row r="1633" spans="1:44">
      <c r="A1633" s="2">
        <v>20260508</v>
      </c>
      <c r="B1633" s="8" t="s">
        <v>3307</v>
      </c>
      <c r="C1633" s="2" t="s">
        <v>3308</v>
      </c>
      <c r="D1633" s="2">
        <v>1</v>
      </c>
      <c r="E1633" s="2">
        <v>2</v>
      </c>
      <c r="F1633" s="2">
        <v>3</v>
      </c>
      <c r="G1633" s="2">
        <v>2</v>
      </c>
      <c r="H1633" s="2">
        <v>7</v>
      </c>
      <c r="I1633" s="3">
        <v>6</v>
      </c>
      <c r="J1633" s="2">
        <v>4</v>
      </c>
      <c r="K1633" s="2">
        <v>5</v>
      </c>
      <c r="L1633" s="2">
        <v>3</v>
      </c>
      <c r="M1633" s="2">
        <v>11</v>
      </c>
      <c r="N1633" s="2">
        <v>7</v>
      </c>
      <c r="O1633" s="2">
        <v>0</v>
      </c>
      <c r="P1633" s="3">
        <v>20</v>
      </c>
      <c r="Q1633" s="2">
        <v>0</v>
      </c>
      <c r="R1633" s="2">
        <v>2</v>
      </c>
      <c r="S1633" s="2">
        <v>1</v>
      </c>
      <c r="T1633" s="2">
        <v>3</v>
      </c>
      <c r="U1633" s="2">
        <v>1</v>
      </c>
      <c r="V1633" s="2">
        <f t="shared" si="834"/>
        <v>5</v>
      </c>
      <c r="W1633" s="2">
        <v>6</v>
      </c>
      <c r="X1633" s="2">
        <v>0</v>
      </c>
      <c r="Y1633" s="2">
        <v>1</v>
      </c>
      <c r="Z1633" s="2">
        <f t="shared" si="828"/>
        <v>8</v>
      </c>
      <c r="AA1633" s="2">
        <f t="shared" si="829"/>
        <v>62</v>
      </c>
      <c r="AB1633" s="2">
        <v>4231</v>
      </c>
      <c r="AC1633" s="20">
        <f t="shared" si="830"/>
        <v>1.46537461593004</v>
      </c>
      <c r="AD1633" s="2" t="s">
        <v>41</v>
      </c>
      <c r="AE1633" s="2">
        <v>125</v>
      </c>
      <c r="AF1633" s="21">
        <f t="shared" si="831"/>
        <v>2.20392342235878</v>
      </c>
      <c r="AG1633" s="4">
        <f t="shared" si="832"/>
        <v>0.118175372252423</v>
      </c>
      <c r="AH1633" s="4">
        <f t="shared" si="833"/>
        <v>0.189080595603876</v>
      </c>
      <c r="AI1633" s="2">
        <v>4168</v>
      </c>
      <c r="AJ1633" s="2">
        <v>266</v>
      </c>
      <c r="AK1633" s="2">
        <v>461</v>
      </c>
      <c r="AL1633" s="2">
        <v>34</v>
      </c>
      <c r="AM1633" s="2">
        <v>31</v>
      </c>
      <c r="AN1633" s="2">
        <v>1</v>
      </c>
      <c r="AO1633" s="2">
        <v>0</v>
      </c>
      <c r="AP1633" s="2">
        <f t="shared" si="817"/>
        <v>4469</v>
      </c>
      <c r="AQ1633" s="2">
        <f t="shared" si="818"/>
        <v>105.625147719215</v>
      </c>
      <c r="AR1633" s="5">
        <f t="shared" si="819"/>
        <v>198.575277712125</v>
      </c>
    </row>
    <row r="1634" spans="1:44">
      <c r="A1634" s="2">
        <v>20260508</v>
      </c>
      <c r="B1634" s="8" t="s">
        <v>3309</v>
      </c>
      <c r="C1634" s="2" t="s">
        <v>3310</v>
      </c>
      <c r="D1634" s="2">
        <v>2</v>
      </c>
      <c r="E1634" s="2">
        <v>3</v>
      </c>
      <c r="F1634" s="2">
        <v>2</v>
      </c>
      <c r="G1634" s="2">
        <v>1</v>
      </c>
      <c r="H1634" s="2">
        <v>1</v>
      </c>
      <c r="I1634" s="3">
        <v>15</v>
      </c>
      <c r="J1634" s="2">
        <v>8</v>
      </c>
      <c r="K1634" s="2">
        <v>2</v>
      </c>
      <c r="L1634" s="2">
        <v>0</v>
      </c>
      <c r="M1634" s="2">
        <v>7</v>
      </c>
      <c r="N1634" s="2">
        <v>13</v>
      </c>
      <c r="O1634" s="2">
        <v>2</v>
      </c>
      <c r="P1634" s="3">
        <v>9</v>
      </c>
      <c r="Q1634" s="2">
        <v>7</v>
      </c>
      <c r="R1634" s="2">
        <v>10</v>
      </c>
      <c r="S1634" s="2">
        <v>1</v>
      </c>
      <c r="T1634" s="2">
        <v>3</v>
      </c>
      <c r="U1634" s="2">
        <v>0</v>
      </c>
      <c r="V1634" s="2">
        <f t="shared" si="827"/>
        <v>11</v>
      </c>
      <c r="W1634" s="2">
        <v>4</v>
      </c>
      <c r="X1634" s="2">
        <v>5</v>
      </c>
      <c r="Y1634" s="2">
        <v>0</v>
      </c>
      <c r="Z1634" s="2">
        <f t="shared" si="828"/>
        <v>9</v>
      </c>
      <c r="AA1634" s="2">
        <f t="shared" si="829"/>
        <v>46</v>
      </c>
      <c r="AB1634" s="2">
        <v>4231</v>
      </c>
      <c r="AC1634" s="20">
        <f t="shared" si="830"/>
        <v>1.08721342472229</v>
      </c>
      <c r="AD1634" s="2" t="s">
        <v>41</v>
      </c>
      <c r="AE1634" s="2">
        <v>125</v>
      </c>
      <c r="AF1634" s="21">
        <f t="shared" si="831"/>
        <v>1.63516899078232</v>
      </c>
      <c r="AG1634" s="4">
        <f t="shared" si="832"/>
        <v>0.25998581895533</v>
      </c>
      <c r="AH1634" s="4">
        <f t="shared" si="833"/>
        <v>0.212715670054361</v>
      </c>
      <c r="AI1634" s="2">
        <v>4289</v>
      </c>
      <c r="AJ1634" s="2">
        <v>235</v>
      </c>
      <c r="AK1634" s="2">
        <v>425</v>
      </c>
      <c r="AL1634" s="2">
        <v>35</v>
      </c>
      <c r="AM1634" s="2">
        <v>35</v>
      </c>
      <c r="AN1634" s="2">
        <v>0</v>
      </c>
      <c r="AO1634" s="2">
        <v>0</v>
      </c>
      <c r="AP1634" s="2">
        <f t="shared" si="817"/>
        <v>4559</v>
      </c>
      <c r="AQ1634" s="2">
        <f t="shared" si="818"/>
        <v>107.752304419759</v>
      </c>
      <c r="AR1634" s="5">
        <f t="shared" si="819"/>
        <v>202.574332309147</v>
      </c>
    </row>
    <row r="1635" spans="1:44">
      <c r="A1635" s="2">
        <v>20260508</v>
      </c>
      <c r="B1635" s="8" t="s">
        <v>3311</v>
      </c>
      <c r="C1635" s="2" t="s">
        <v>3312</v>
      </c>
      <c r="D1635" s="2">
        <v>1</v>
      </c>
      <c r="E1635" s="2">
        <v>3</v>
      </c>
      <c r="F1635" s="2">
        <v>3</v>
      </c>
      <c r="G1635" s="2">
        <v>1</v>
      </c>
      <c r="H1635" s="2">
        <v>0</v>
      </c>
      <c r="I1635" s="3">
        <v>16</v>
      </c>
      <c r="J1635" s="2">
        <v>10</v>
      </c>
      <c r="K1635" s="2">
        <v>2</v>
      </c>
      <c r="L1635" s="2">
        <v>0</v>
      </c>
      <c r="M1635" s="2">
        <v>7</v>
      </c>
      <c r="N1635" s="2">
        <v>14</v>
      </c>
      <c r="O1635" s="2">
        <v>1</v>
      </c>
      <c r="P1635" s="3">
        <v>10</v>
      </c>
      <c r="Q1635" s="2">
        <v>3</v>
      </c>
      <c r="R1635" s="2">
        <v>11</v>
      </c>
      <c r="S1635" s="2">
        <v>4</v>
      </c>
      <c r="T1635" s="2">
        <v>2</v>
      </c>
      <c r="U1635" s="2">
        <v>0</v>
      </c>
      <c r="V1635" s="2">
        <f t="shared" si="827"/>
        <v>9</v>
      </c>
      <c r="W1635" s="2">
        <v>10</v>
      </c>
      <c r="X1635" s="2">
        <v>7</v>
      </c>
      <c r="Y1635" s="2">
        <v>0</v>
      </c>
      <c r="Z1635" s="2">
        <f t="shared" si="828"/>
        <v>17</v>
      </c>
      <c r="AA1635" s="2">
        <f t="shared" si="829"/>
        <v>48</v>
      </c>
      <c r="AB1635" s="2">
        <v>4261</v>
      </c>
      <c r="AC1635" s="20">
        <f t="shared" si="830"/>
        <v>1.12649612766956</v>
      </c>
      <c r="AD1635" s="2" t="s">
        <v>41</v>
      </c>
      <c r="AE1635" s="2">
        <v>125</v>
      </c>
      <c r="AF1635" s="21">
        <f t="shared" si="831"/>
        <v>1.69425017601502</v>
      </c>
      <c r="AG1635" s="4">
        <f t="shared" si="832"/>
        <v>0.211218023938043</v>
      </c>
      <c r="AH1635" s="4">
        <f t="shared" si="833"/>
        <v>0.398967378549636</v>
      </c>
      <c r="AI1635" s="2">
        <v>4426</v>
      </c>
      <c r="AJ1635" s="2">
        <v>246</v>
      </c>
      <c r="AK1635" s="2">
        <v>352</v>
      </c>
      <c r="AL1635" s="2">
        <v>48</v>
      </c>
      <c r="AM1635" s="2">
        <v>31</v>
      </c>
      <c r="AN1635" s="2">
        <v>3</v>
      </c>
      <c r="AO1635" s="2">
        <v>0</v>
      </c>
      <c r="AP1635" s="2">
        <f t="shared" si="817"/>
        <v>4723</v>
      </c>
      <c r="AQ1635" s="2">
        <f t="shared" si="818"/>
        <v>111.628456629638</v>
      </c>
      <c r="AR1635" s="5">
        <f t="shared" si="819"/>
        <v>209.86149846372</v>
      </c>
    </row>
    <row r="1636" spans="1:44">
      <c r="A1636" s="2">
        <v>20260508</v>
      </c>
      <c r="B1636" s="8" t="s">
        <v>3313</v>
      </c>
      <c r="C1636" s="2" t="s">
        <v>3314</v>
      </c>
      <c r="D1636" s="2">
        <v>2</v>
      </c>
      <c r="E1636" s="2">
        <v>3</v>
      </c>
      <c r="F1636" s="2">
        <v>5</v>
      </c>
      <c r="G1636" s="2">
        <v>0</v>
      </c>
      <c r="H1636" s="2">
        <v>1</v>
      </c>
      <c r="I1636" s="3">
        <v>20</v>
      </c>
      <c r="J1636" s="2">
        <v>7</v>
      </c>
      <c r="K1636" s="2">
        <v>0</v>
      </c>
      <c r="L1636" s="2">
        <v>0</v>
      </c>
      <c r="M1636" s="2">
        <v>1</v>
      </c>
      <c r="N1636" s="2">
        <v>46</v>
      </c>
      <c r="O1636" s="2">
        <v>6</v>
      </c>
      <c r="P1636" s="3">
        <v>7</v>
      </c>
      <c r="Q1636" s="2">
        <v>13</v>
      </c>
      <c r="R1636" s="2">
        <v>3</v>
      </c>
      <c r="S1636" s="2">
        <v>0</v>
      </c>
      <c r="T1636" s="2">
        <v>3</v>
      </c>
      <c r="U1636" s="2">
        <v>0</v>
      </c>
      <c r="V1636" s="2">
        <f t="shared" si="827"/>
        <v>16</v>
      </c>
      <c r="W1636" s="2">
        <v>1</v>
      </c>
      <c r="X1636" s="2">
        <v>12</v>
      </c>
      <c r="Y1636" s="2">
        <v>0</v>
      </c>
      <c r="Z1636" s="2">
        <f t="shared" si="828"/>
        <v>13</v>
      </c>
      <c r="AA1636" s="2">
        <f t="shared" si="829"/>
        <v>39</v>
      </c>
      <c r="AB1636" s="2">
        <v>2144</v>
      </c>
      <c r="AC1636" s="20">
        <f t="shared" si="830"/>
        <v>1.81902985074627</v>
      </c>
      <c r="AD1636" s="2" t="s">
        <v>41</v>
      </c>
      <c r="AE1636" s="2">
        <v>125</v>
      </c>
      <c r="AF1636" s="21">
        <f t="shared" si="831"/>
        <v>2.73582089552239</v>
      </c>
      <c r="AG1636" s="4">
        <f t="shared" si="832"/>
        <v>0.746268656716418</v>
      </c>
      <c r="AH1636" s="4">
        <f t="shared" si="833"/>
        <v>0.60634328358209</v>
      </c>
      <c r="AI1636" s="2">
        <v>1921</v>
      </c>
      <c r="AJ1636" s="2">
        <v>128</v>
      </c>
      <c r="AK1636" s="2">
        <v>196</v>
      </c>
      <c r="AL1636" s="2">
        <v>14</v>
      </c>
      <c r="AM1636" s="2">
        <v>1</v>
      </c>
      <c r="AN1636" s="2">
        <v>1</v>
      </c>
      <c r="AO1636" s="2">
        <v>0</v>
      </c>
      <c r="AP1636" s="2">
        <f t="shared" si="817"/>
        <v>2064</v>
      </c>
      <c r="AQ1636" s="2">
        <f t="shared" si="818"/>
        <v>48.4393334897911</v>
      </c>
      <c r="AR1636" s="5">
        <f t="shared" si="819"/>
        <v>91.0659469608073</v>
      </c>
    </row>
    <row r="1637" spans="1:44">
      <c r="A1637" s="2">
        <v>20260508</v>
      </c>
      <c r="B1637" s="8" t="s">
        <v>3315</v>
      </c>
      <c r="C1637" s="2" t="s">
        <v>3316</v>
      </c>
      <c r="D1637" s="2">
        <v>0</v>
      </c>
      <c r="E1637" s="2">
        <v>6</v>
      </c>
      <c r="F1637" s="2">
        <v>2</v>
      </c>
      <c r="G1637" s="2">
        <v>1</v>
      </c>
      <c r="H1637" s="2">
        <v>1</v>
      </c>
      <c r="I1637" s="3">
        <v>12</v>
      </c>
      <c r="J1637" s="2">
        <v>13</v>
      </c>
      <c r="K1637" s="2">
        <v>2</v>
      </c>
      <c r="L1637" s="2">
        <v>0</v>
      </c>
      <c r="M1637" s="2">
        <v>11</v>
      </c>
      <c r="N1637" s="2">
        <v>7</v>
      </c>
      <c r="O1637" s="2">
        <v>0</v>
      </c>
      <c r="P1637" s="3">
        <v>4</v>
      </c>
      <c r="Q1637" s="2">
        <v>1</v>
      </c>
      <c r="R1637" s="2">
        <v>5</v>
      </c>
      <c r="S1637" s="2">
        <v>0</v>
      </c>
      <c r="T1637" s="2">
        <v>0</v>
      </c>
      <c r="U1637" s="2">
        <v>0</v>
      </c>
      <c r="V1637" s="2">
        <f t="shared" si="827"/>
        <v>1</v>
      </c>
      <c r="W1637" s="2">
        <v>3</v>
      </c>
      <c r="X1637" s="2">
        <v>2</v>
      </c>
      <c r="Y1637" s="2">
        <v>0</v>
      </c>
      <c r="Z1637" s="2">
        <f t="shared" si="828"/>
        <v>5</v>
      </c>
      <c r="AA1637" s="2">
        <f t="shared" si="829"/>
        <v>44</v>
      </c>
      <c r="AB1637" s="2">
        <v>2463</v>
      </c>
      <c r="AC1637" s="20">
        <f t="shared" si="830"/>
        <v>1.78643930166464</v>
      </c>
      <c r="AD1637" s="2" t="s">
        <v>41</v>
      </c>
      <c r="AE1637" s="2">
        <v>125</v>
      </c>
      <c r="AF1637" s="21">
        <f t="shared" si="831"/>
        <v>2.68680470970361</v>
      </c>
      <c r="AG1637" s="4">
        <f t="shared" si="832"/>
        <v>0.0406008932196508</v>
      </c>
      <c r="AH1637" s="4">
        <f t="shared" si="833"/>
        <v>0.203004466098254</v>
      </c>
      <c r="AI1637" s="2">
        <v>2215</v>
      </c>
      <c r="AJ1637" s="2">
        <v>71</v>
      </c>
      <c r="AK1637" s="2">
        <v>114</v>
      </c>
      <c r="AL1637" s="2">
        <v>398</v>
      </c>
      <c r="AM1637" s="2">
        <v>108</v>
      </c>
      <c r="AN1637" s="2">
        <v>1</v>
      </c>
      <c r="AO1637" s="2">
        <v>0</v>
      </c>
      <c r="AP1637" s="2">
        <f t="shared" si="817"/>
        <v>2685</v>
      </c>
      <c r="AQ1637" s="2">
        <f t="shared" si="818"/>
        <v>125.233208955224</v>
      </c>
      <c r="AR1637" s="5">
        <f t="shared" si="819"/>
        <v>235.438432835821</v>
      </c>
    </row>
    <row r="1638" spans="1:44">
      <c r="A1638" s="2">
        <v>20260508</v>
      </c>
      <c r="B1638" s="8" t="s">
        <v>3317</v>
      </c>
      <c r="C1638" s="2" t="s">
        <v>3318</v>
      </c>
      <c r="D1638" s="2">
        <v>1</v>
      </c>
      <c r="E1638" s="2">
        <v>19</v>
      </c>
      <c r="F1638" s="2">
        <v>11</v>
      </c>
      <c r="G1638" s="2">
        <v>0</v>
      </c>
      <c r="H1638" s="2">
        <v>5</v>
      </c>
      <c r="I1638" s="3">
        <v>13</v>
      </c>
      <c r="J1638" s="2">
        <v>21</v>
      </c>
      <c r="K1638" s="2">
        <v>5</v>
      </c>
      <c r="L1638" s="2">
        <v>0</v>
      </c>
      <c r="M1638" s="2">
        <v>4</v>
      </c>
      <c r="N1638" s="2">
        <v>31</v>
      </c>
      <c r="O1638" s="2">
        <v>37</v>
      </c>
      <c r="P1638" s="3">
        <v>6</v>
      </c>
      <c r="Q1638" s="2">
        <v>12</v>
      </c>
      <c r="R1638" s="2">
        <v>18</v>
      </c>
      <c r="S1638" s="2">
        <v>0</v>
      </c>
      <c r="T1638" s="2">
        <v>11</v>
      </c>
      <c r="U1638" s="2">
        <v>1</v>
      </c>
      <c r="V1638" s="2">
        <f t="shared" si="827"/>
        <v>24</v>
      </c>
      <c r="W1638" s="2">
        <v>14</v>
      </c>
      <c r="X1638" s="2">
        <v>5</v>
      </c>
      <c r="Y1638" s="2">
        <v>0</v>
      </c>
      <c r="Z1638" s="2">
        <f t="shared" si="828"/>
        <v>20</v>
      </c>
      <c r="AA1638" s="2">
        <f t="shared" si="829"/>
        <v>66</v>
      </c>
      <c r="AB1638" s="2">
        <v>4671</v>
      </c>
      <c r="AC1638" s="20">
        <f t="shared" si="830"/>
        <v>1.41297366730893</v>
      </c>
      <c r="AD1638" s="2" t="s">
        <v>41</v>
      </c>
      <c r="AE1638" s="2">
        <v>125</v>
      </c>
      <c r="AF1638" s="21">
        <f t="shared" si="831"/>
        <v>2.12511239563263</v>
      </c>
      <c r="AG1638" s="4">
        <f t="shared" si="832"/>
        <v>0.513808606294155</v>
      </c>
      <c r="AH1638" s="4">
        <f t="shared" si="833"/>
        <v>0.428173838578463</v>
      </c>
      <c r="AI1638" s="2">
        <v>4432</v>
      </c>
      <c r="AJ1638" s="2">
        <v>259</v>
      </c>
      <c r="AK1638" s="2">
        <v>475</v>
      </c>
      <c r="AL1638" s="2">
        <v>98</v>
      </c>
      <c r="AM1638" s="2">
        <v>113</v>
      </c>
      <c r="AN1638" s="2">
        <v>8</v>
      </c>
      <c r="AO1638" s="2">
        <v>0</v>
      </c>
      <c r="AP1638" s="2">
        <f t="shared" si="817"/>
        <v>4797</v>
      </c>
      <c r="AQ1638" s="2">
        <f t="shared" si="818"/>
        <v>194.762484774665</v>
      </c>
      <c r="AR1638" s="5">
        <f t="shared" si="819"/>
        <v>366.15347137637</v>
      </c>
    </row>
    <row r="1639" spans="1:44">
      <c r="A1639" s="2">
        <v>20260508</v>
      </c>
      <c r="B1639" s="8" t="s">
        <v>3319</v>
      </c>
      <c r="C1639" s="2" t="s">
        <v>3320</v>
      </c>
      <c r="D1639" s="2">
        <v>0</v>
      </c>
      <c r="E1639" s="2">
        <v>1</v>
      </c>
      <c r="F1639" s="2">
        <v>6</v>
      </c>
      <c r="G1639" s="2">
        <v>0</v>
      </c>
      <c r="H1639" s="2">
        <v>4</v>
      </c>
      <c r="I1639" s="3">
        <v>4</v>
      </c>
      <c r="J1639" s="2">
        <v>6</v>
      </c>
      <c r="K1639" s="2">
        <v>1</v>
      </c>
      <c r="L1639" s="2">
        <v>0</v>
      </c>
      <c r="M1639" s="2">
        <v>3</v>
      </c>
      <c r="N1639" s="2">
        <v>3</v>
      </c>
      <c r="O1639" s="2">
        <v>5</v>
      </c>
      <c r="P1639" s="3">
        <v>5</v>
      </c>
      <c r="Q1639" s="2">
        <v>1</v>
      </c>
      <c r="R1639" s="2">
        <v>12</v>
      </c>
      <c r="S1639" s="2">
        <v>0</v>
      </c>
      <c r="T1639" s="2">
        <v>0</v>
      </c>
      <c r="U1639" s="2">
        <v>0</v>
      </c>
      <c r="V1639" s="2">
        <f t="shared" si="827"/>
        <v>1</v>
      </c>
      <c r="W1639" s="2">
        <v>8</v>
      </c>
      <c r="X1639" s="2">
        <v>3</v>
      </c>
      <c r="Y1639" s="2">
        <v>0</v>
      </c>
      <c r="Z1639" s="2">
        <f t="shared" si="828"/>
        <v>11</v>
      </c>
      <c r="AA1639" s="2">
        <f t="shared" si="829"/>
        <v>23</v>
      </c>
      <c r="AB1639" s="2">
        <v>2134</v>
      </c>
      <c r="AC1639" s="20">
        <f t="shared" si="830"/>
        <v>1.07778819119025</v>
      </c>
      <c r="AD1639" s="2" t="s">
        <v>41</v>
      </c>
      <c r="AE1639" s="2">
        <v>125</v>
      </c>
      <c r="AF1639" s="21">
        <f t="shared" si="831"/>
        <v>1.62099343955014</v>
      </c>
      <c r="AG1639" s="4">
        <f t="shared" si="832"/>
        <v>0.0468603561387067</v>
      </c>
      <c r="AH1639" s="4">
        <f t="shared" si="833"/>
        <v>0.515463917525773</v>
      </c>
      <c r="AI1639" s="2">
        <v>1749</v>
      </c>
      <c r="AJ1639" s="2">
        <v>111</v>
      </c>
      <c r="AK1639" s="2">
        <v>244</v>
      </c>
      <c r="AL1639" s="2">
        <v>97</v>
      </c>
      <c r="AM1639" s="2">
        <v>163</v>
      </c>
      <c r="AN1639" s="2">
        <v>4</v>
      </c>
      <c r="AO1639" s="2">
        <v>0</v>
      </c>
      <c r="AP1639" s="2">
        <f t="shared" si="817"/>
        <v>1961</v>
      </c>
      <c r="AQ1639" s="2">
        <f t="shared" si="818"/>
        <v>41.9824448726183</v>
      </c>
      <c r="AR1639" s="5">
        <f t="shared" si="819"/>
        <v>78.9269963605224</v>
      </c>
    </row>
    <row r="1640" spans="1:44">
      <c r="A1640" s="2">
        <v>20260508</v>
      </c>
      <c r="B1640" s="2" t="s">
        <v>3321</v>
      </c>
      <c r="C1640" s="2" t="s">
        <v>3322</v>
      </c>
      <c r="D1640" s="2">
        <v>0</v>
      </c>
      <c r="E1640" s="2">
        <v>33</v>
      </c>
      <c r="F1640" s="2">
        <v>3</v>
      </c>
      <c r="G1640" s="2">
        <v>1</v>
      </c>
      <c r="H1640" s="2">
        <v>20</v>
      </c>
      <c r="I1640" s="3">
        <v>30</v>
      </c>
      <c r="J1640" s="2">
        <v>185</v>
      </c>
      <c r="K1640" s="2">
        <v>2</v>
      </c>
      <c r="L1640" s="2">
        <v>0</v>
      </c>
      <c r="M1640" s="2">
        <v>6</v>
      </c>
      <c r="N1640" s="2">
        <v>105</v>
      </c>
      <c r="O1640" s="2">
        <v>3</v>
      </c>
      <c r="P1640" s="3">
        <v>20</v>
      </c>
      <c r="Q1640" s="2">
        <v>0</v>
      </c>
      <c r="R1640" s="2">
        <v>40</v>
      </c>
      <c r="S1640" s="2">
        <v>1</v>
      </c>
      <c r="T1640" s="2">
        <v>24</v>
      </c>
      <c r="U1640" s="2">
        <v>0</v>
      </c>
      <c r="V1640" s="2">
        <f t="shared" si="827"/>
        <v>25</v>
      </c>
      <c r="W1640" s="2">
        <v>0</v>
      </c>
      <c r="X1640" s="2">
        <v>5</v>
      </c>
      <c r="Y1640" s="2">
        <v>0</v>
      </c>
      <c r="Z1640" s="2">
        <f t="shared" si="828"/>
        <v>5</v>
      </c>
      <c r="AA1640" s="2">
        <f t="shared" si="829"/>
        <v>288</v>
      </c>
      <c r="AB1640" s="2">
        <v>2455</v>
      </c>
      <c r="AC1640" s="20">
        <f t="shared" si="830"/>
        <v>11.7311608961303</v>
      </c>
      <c r="AD1640" s="2" t="s">
        <v>257</v>
      </c>
      <c r="AE1640" s="2">
        <v>188</v>
      </c>
      <c r="AF1640" s="21">
        <f t="shared" si="831"/>
        <v>11.7311608961303</v>
      </c>
      <c r="AG1640" s="4">
        <f t="shared" si="832"/>
        <v>1.0183299389002</v>
      </c>
      <c r="AH1640" s="4">
        <f t="shared" si="833"/>
        <v>0.203665987780041</v>
      </c>
      <c r="AI1640" s="2">
        <v>3191</v>
      </c>
      <c r="AJ1640" s="2">
        <v>498</v>
      </c>
      <c r="AK1640" s="2">
        <v>464</v>
      </c>
      <c r="AL1640" s="2">
        <v>39</v>
      </c>
      <c r="AM1640" s="2">
        <v>30</v>
      </c>
      <c r="AN1640" s="2">
        <v>2</v>
      </c>
      <c r="AO1640" s="2">
        <v>0</v>
      </c>
      <c r="AP1640" s="2">
        <f t="shared" ref="AP1640:AP1671" si="835">AI1640+AJ1640+AL1640+AN1640</f>
        <v>3730</v>
      </c>
      <c r="AQ1640" s="2">
        <f t="shared" ref="AQ1640:AQ1671" si="836">AP1640/AB1639*100</f>
        <v>174.789128397376</v>
      </c>
      <c r="AR1640" s="5">
        <f t="shared" ref="AR1640:AR1671" si="837">AQ1640*1.88</f>
        <v>328.603561387067</v>
      </c>
    </row>
    <row r="1641" spans="1:44">
      <c r="A1641" s="2">
        <v>20260508</v>
      </c>
      <c r="B1641" s="2" t="s">
        <v>3323</v>
      </c>
      <c r="C1641" s="2" t="s">
        <v>3324</v>
      </c>
      <c r="D1641" s="2">
        <v>2</v>
      </c>
      <c r="E1641" s="2">
        <v>5</v>
      </c>
      <c r="F1641" s="2">
        <v>1</v>
      </c>
      <c r="G1641" s="2">
        <v>3</v>
      </c>
      <c r="H1641" s="2">
        <v>8</v>
      </c>
      <c r="I1641" s="3">
        <v>7</v>
      </c>
      <c r="J1641" s="2">
        <v>19</v>
      </c>
      <c r="K1641" s="2">
        <v>1</v>
      </c>
      <c r="L1641" s="2">
        <v>3</v>
      </c>
      <c r="M1641" s="2">
        <v>14</v>
      </c>
      <c r="N1641" s="2">
        <v>21</v>
      </c>
      <c r="O1641" s="2">
        <v>4</v>
      </c>
      <c r="P1641" s="3">
        <v>23</v>
      </c>
      <c r="Q1641" s="2">
        <v>7</v>
      </c>
      <c r="R1641" s="2">
        <v>23</v>
      </c>
      <c r="S1641" s="2">
        <v>0</v>
      </c>
      <c r="T1641" s="2">
        <v>3</v>
      </c>
      <c r="U1641" s="2">
        <v>0</v>
      </c>
      <c r="V1641" s="2">
        <f t="shared" si="827"/>
        <v>10</v>
      </c>
      <c r="W1641" s="2">
        <v>1</v>
      </c>
      <c r="X1641" s="2">
        <v>8</v>
      </c>
      <c r="Y1641" s="2">
        <v>0</v>
      </c>
      <c r="Z1641" s="2">
        <f t="shared" si="828"/>
        <v>9</v>
      </c>
      <c r="AA1641" s="2">
        <f t="shared" si="829"/>
        <v>81</v>
      </c>
      <c r="AB1641" s="2">
        <v>3296</v>
      </c>
      <c r="AC1641" s="20">
        <f t="shared" si="830"/>
        <v>2.45752427184466</v>
      </c>
      <c r="AD1641" s="2" t="s">
        <v>257</v>
      </c>
      <c r="AE1641" s="2">
        <v>188</v>
      </c>
      <c r="AF1641" s="21">
        <f t="shared" si="831"/>
        <v>2.45752427184466</v>
      </c>
      <c r="AG1641" s="4">
        <f t="shared" si="832"/>
        <v>0.303398058252427</v>
      </c>
      <c r="AH1641" s="4">
        <f t="shared" si="833"/>
        <v>0.273058252427184</v>
      </c>
      <c r="AI1641" s="2">
        <v>2304</v>
      </c>
      <c r="AJ1641" s="2">
        <v>27</v>
      </c>
      <c r="AK1641" s="2">
        <v>525</v>
      </c>
      <c r="AL1641" s="2">
        <v>17</v>
      </c>
      <c r="AM1641" s="2">
        <v>22</v>
      </c>
      <c r="AN1641" s="2">
        <v>1</v>
      </c>
      <c r="AO1641" s="2">
        <v>0</v>
      </c>
      <c r="AP1641" s="2">
        <f t="shared" si="835"/>
        <v>2349</v>
      </c>
      <c r="AQ1641" s="2">
        <f t="shared" si="836"/>
        <v>95.6822810590631</v>
      </c>
      <c r="AR1641" s="5">
        <f t="shared" si="837"/>
        <v>179.882688391039</v>
      </c>
    </row>
    <row r="1642" spans="1:44">
      <c r="A1642" s="2">
        <v>20260508</v>
      </c>
      <c r="B1642" s="2" t="s">
        <v>3325</v>
      </c>
      <c r="C1642" s="2" t="s">
        <v>3326</v>
      </c>
      <c r="D1642" s="2">
        <v>3</v>
      </c>
      <c r="E1642" s="2">
        <v>1</v>
      </c>
      <c r="F1642" s="2">
        <v>3</v>
      </c>
      <c r="G1642" s="2">
        <v>0</v>
      </c>
      <c r="H1642" s="2">
        <v>7</v>
      </c>
      <c r="I1642" s="3">
        <v>3</v>
      </c>
      <c r="J1642" s="2">
        <v>5</v>
      </c>
      <c r="K1642" s="2">
        <v>1</v>
      </c>
      <c r="L1642" s="2">
        <v>0</v>
      </c>
      <c r="M1642" s="2">
        <v>8</v>
      </c>
      <c r="N1642" s="2">
        <v>0</v>
      </c>
      <c r="O1642" s="2">
        <v>3</v>
      </c>
      <c r="P1642" s="3">
        <v>6</v>
      </c>
      <c r="Q1642" s="2">
        <v>4</v>
      </c>
      <c r="R1642" s="2">
        <v>4</v>
      </c>
      <c r="S1642" s="2">
        <v>0</v>
      </c>
      <c r="T1642" s="2">
        <v>0</v>
      </c>
      <c r="U1642" s="2">
        <v>0</v>
      </c>
      <c r="V1642" s="2">
        <f t="shared" si="827"/>
        <v>4</v>
      </c>
      <c r="W1642" s="2">
        <v>2</v>
      </c>
      <c r="X1642" s="2">
        <v>1</v>
      </c>
      <c r="Y1642" s="2">
        <v>0</v>
      </c>
      <c r="Z1642" s="2">
        <f t="shared" si="828"/>
        <v>3</v>
      </c>
      <c r="AA1642" s="2">
        <f t="shared" si="829"/>
        <v>30</v>
      </c>
      <c r="AB1642" s="2">
        <v>1718</v>
      </c>
      <c r="AC1642" s="20">
        <f t="shared" si="830"/>
        <v>1.74621653084983</v>
      </c>
      <c r="AD1642" s="2" t="s">
        <v>257</v>
      </c>
      <c r="AE1642" s="2">
        <v>188</v>
      </c>
      <c r="AF1642" s="21">
        <f t="shared" si="831"/>
        <v>1.74621653084983</v>
      </c>
      <c r="AG1642" s="4">
        <f t="shared" si="832"/>
        <v>0.232828870779977</v>
      </c>
      <c r="AH1642" s="4">
        <f t="shared" si="833"/>
        <v>0.174621653084983</v>
      </c>
      <c r="AI1642" s="2">
        <v>1434</v>
      </c>
      <c r="AJ1642" s="2">
        <v>117</v>
      </c>
      <c r="AK1642" s="2">
        <v>229</v>
      </c>
      <c r="AL1642" s="2">
        <v>15</v>
      </c>
      <c r="AM1642" s="2">
        <v>20</v>
      </c>
      <c r="AN1642" s="2">
        <v>1</v>
      </c>
      <c r="AO1642" s="2">
        <v>0</v>
      </c>
      <c r="AP1642" s="2">
        <f t="shared" si="835"/>
        <v>1567</v>
      </c>
      <c r="AQ1642" s="2">
        <f t="shared" si="836"/>
        <v>47.5424757281553</v>
      </c>
      <c r="AR1642" s="5">
        <f t="shared" si="837"/>
        <v>89.379854368932</v>
      </c>
    </row>
    <row r="1643" spans="1:44">
      <c r="A1643" s="2">
        <v>20260508</v>
      </c>
      <c r="B1643" s="2" t="s">
        <v>3327</v>
      </c>
      <c r="C1643" s="2" t="s">
        <v>3328</v>
      </c>
      <c r="D1643" s="2">
        <v>1</v>
      </c>
      <c r="E1643" s="2">
        <v>45</v>
      </c>
      <c r="F1643" s="2">
        <v>1</v>
      </c>
      <c r="G1643" s="2">
        <v>2</v>
      </c>
      <c r="H1643" s="2">
        <v>3</v>
      </c>
      <c r="I1643" s="3">
        <v>2</v>
      </c>
      <c r="J1643" s="2">
        <v>2</v>
      </c>
      <c r="K1643" s="2">
        <v>0</v>
      </c>
      <c r="L1643" s="2">
        <v>2</v>
      </c>
      <c r="M1643" s="2">
        <v>3</v>
      </c>
      <c r="N1643" s="2">
        <v>0</v>
      </c>
      <c r="O1643" s="2">
        <v>8</v>
      </c>
      <c r="P1643" s="3">
        <v>8</v>
      </c>
      <c r="Q1643" s="2">
        <v>0</v>
      </c>
      <c r="R1643" s="2">
        <v>37</v>
      </c>
      <c r="S1643" s="2">
        <v>0</v>
      </c>
      <c r="T1643" s="2">
        <v>0</v>
      </c>
      <c r="U1643" s="2">
        <v>0</v>
      </c>
      <c r="V1643" s="2">
        <f t="shared" si="827"/>
        <v>0</v>
      </c>
      <c r="W1643" s="2">
        <v>1</v>
      </c>
      <c r="X1643" s="2">
        <v>2</v>
      </c>
      <c r="Y1643" s="2">
        <v>0</v>
      </c>
      <c r="Z1643" s="2">
        <f t="shared" si="828"/>
        <v>3</v>
      </c>
      <c r="AA1643" s="2">
        <f t="shared" si="829"/>
        <v>22</v>
      </c>
      <c r="AB1643" s="2">
        <v>1668</v>
      </c>
      <c r="AC1643" s="20">
        <f t="shared" si="830"/>
        <v>1.3189448441247</v>
      </c>
      <c r="AD1643" s="2" t="s">
        <v>257</v>
      </c>
      <c r="AE1643" s="2">
        <v>188</v>
      </c>
      <c r="AF1643" s="21">
        <f t="shared" si="831"/>
        <v>1.3189448441247</v>
      </c>
      <c r="AG1643" s="4">
        <f t="shared" si="832"/>
        <v>0</v>
      </c>
      <c r="AH1643" s="4">
        <f t="shared" si="833"/>
        <v>0.179856115107914</v>
      </c>
      <c r="AI1643" s="2">
        <v>896</v>
      </c>
      <c r="AJ1643" s="2">
        <v>107</v>
      </c>
      <c r="AK1643" s="2">
        <v>208</v>
      </c>
      <c r="AL1643" s="2">
        <v>5</v>
      </c>
      <c r="AM1643" s="2">
        <v>4</v>
      </c>
      <c r="AN1643" s="2">
        <v>1</v>
      </c>
      <c r="AO1643" s="2">
        <v>0</v>
      </c>
      <c r="AP1643" s="2">
        <f t="shared" si="835"/>
        <v>1009</v>
      </c>
      <c r="AQ1643" s="2">
        <f t="shared" si="836"/>
        <v>58.7310826542491</v>
      </c>
      <c r="AR1643" s="5">
        <f t="shared" si="837"/>
        <v>110.414435389988</v>
      </c>
    </row>
    <row r="1644" spans="1:44">
      <c r="A1644" s="2">
        <v>20260508</v>
      </c>
      <c r="B1644" s="2" t="s">
        <v>3329</v>
      </c>
      <c r="C1644" s="2" t="s">
        <v>3330</v>
      </c>
      <c r="D1644" s="2">
        <v>1</v>
      </c>
      <c r="E1644" s="2">
        <v>5</v>
      </c>
      <c r="F1644" s="2">
        <v>1</v>
      </c>
      <c r="G1644" s="2">
        <v>0</v>
      </c>
      <c r="H1644" s="2">
        <v>14</v>
      </c>
      <c r="I1644" s="2">
        <v>20</v>
      </c>
      <c r="J1644" s="3">
        <v>4</v>
      </c>
      <c r="K1644" s="2">
        <v>2</v>
      </c>
      <c r="L1644" s="2">
        <v>0</v>
      </c>
      <c r="M1644" s="2">
        <v>7</v>
      </c>
      <c r="N1644" s="2">
        <v>4</v>
      </c>
      <c r="O1644" s="2">
        <v>3</v>
      </c>
      <c r="P1644" s="2">
        <v>4</v>
      </c>
      <c r="Q1644" s="3">
        <v>1</v>
      </c>
      <c r="R1644" s="2">
        <v>133</v>
      </c>
      <c r="S1644" s="2">
        <v>0</v>
      </c>
      <c r="T1644" s="2">
        <v>3</v>
      </c>
      <c r="U1644" s="2">
        <v>0</v>
      </c>
      <c r="V1644" s="2">
        <f t="shared" si="827"/>
        <v>4</v>
      </c>
      <c r="W1644" s="2">
        <v>1</v>
      </c>
      <c r="X1644" s="2">
        <v>5</v>
      </c>
      <c r="Y1644" s="2">
        <v>0</v>
      </c>
      <c r="Z1644" s="2">
        <f t="shared" si="828"/>
        <v>6</v>
      </c>
      <c r="AA1644" s="2">
        <f t="shared" si="829"/>
        <v>54</v>
      </c>
      <c r="AB1644" s="2">
        <v>1531</v>
      </c>
      <c r="AC1644" s="20">
        <f t="shared" si="830"/>
        <v>3.52710646636185</v>
      </c>
      <c r="AD1644" s="2" t="s">
        <v>257</v>
      </c>
      <c r="AE1644" s="2">
        <v>175</v>
      </c>
      <c r="AF1644" s="21">
        <f t="shared" si="831"/>
        <v>3.78912008957731</v>
      </c>
      <c r="AG1644" s="4">
        <f t="shared" si="832"/>
        <v>0.261267145656434</v>
      </c>
      <c r="AH1644" s="4">
        <f t="shared" si="833"/>
        <v>0.391900718484651</v>
      </c>
      <c r="AI1644" s="2">
        <v>1392</v>
      </c>
      <c r="AJ1644" s="2">
        <v>281</v>
      </c>
      <c r="AK1644" s="2">
        <v>314</v>
      </c>
      <c r="AL1644" s="2">
        <v>145</v>
      </c>
      <c r="AM1644" s="2">
        <v>46</v>
      </c>
      <c r="AN1644" s="2">
        <v>1</v>
      </c>
      <c r="AO1644" s="2">
        <v>0</v>
      </c>
      <c r="AP1644" s="2">
        <f t="shared" si="835"/>
        <v>1819</v>
      </c>
      <c r="AQ1644" s="2">
        <f t="shared" si="836"/>
        <v>109.052757793765</v>
      </c>
      <c r="AR1644" s="5">
        <f t="shared" si="837"/>
        <v>205.019184652278</v>
      </c>
    </row>
    <row r="1645" spans="1:44">
      <c r="A1645" s="2">
        <v>20260508</v>
      </c>
      <c r="B1645" s="2" t="s">
        <v>3331</v>
      </c>
      <c r="C1645" s="2" t="s">
        <v>3332</v>
      </c>
      <c r="D1645" s="2">
        <v>4</v>
      </c>
      <c r="E1645" s="2">
        <v>0</v>
      </c>
      <c r="F1645" s="2">
        <v>6</v>
      </c>
      <c r="G1645" s="2">
        <v>3</v>
      </c>
      <c r="H1645" s="2">
        <v>3</v>
      </c>
      <c r="I1645" s="3">
        <v>11</v>
      </c>
      <c r="J1645" s="2" t="s">
        <v>3333</v>
      </c>
      <c r="K1645" s="2">
        <v>0</v>
      </c>
      <c r="L1645" s="2">
        <v>0</v>
      </c>
      <c r="M1645" s="2">
        <v>1</v>
      </c>
      <c r="N1645" s="2">
        <v>4</v>
      </c>
      <c r="O1645" s="2">
        <v>18</v>
      </c>
      <c r="P1645" s="3">
        <v>9</v>
      </c>
      <c r="Q1645" s="2">
        <v>2</v>
      </c>
      <c r="R1645" s="2">
        <v>14</v>
      </c>
      <c r="S1645" s="2">
        <v>0</v>
      </c>
      <c r="T1645" s="2">
        <v>1</v>
      </c>
      <c r="U1645" s="2">
        <v>0</v>
      </c>
      <c r="V1645" s="2">
        <f t="shared" si="827"/>
        <v>3</v>
      </c>
      <c r="W1645" s="2">
        <v>1</v>
      </c>
      <c r="X1645" s="2">
        <v>11</v>
      </c>
      <c r="Y1645" s="2">
        <v>0</v>
      </c>
      <c r="Z1645" s="2">
        <f t="shared" si="828"/>
        <v>12</v>
      </c>
      <c r="AA1645" s="2" t="e">
        <f t="shared" si="829"/>
        <v>#VALUE!</v>
      </c>
      <c r="AB1645" s="2">
        <v>2509</v>
      </c>
      <c r="AC1645" s="20" t="e">
        <f t="shared" si="830"/>
        <v>#VALUE!</v>
      </c>
      <c r="AD1645" s="2" t="s">
        <v>257</v>
      </c>
      <c r="AE1645" s="2">
        <v>175</v>
      </c>
      <c r="AF1645" s="21" t="e">
        <f t="shared" si="831"/>
        <v>#VALUE!</v>
      </c>
      <c r="AG1645" s="4">
        <f t="shared" si="832"/>
        <v>0.119569549621363</v>
      </c>
      <c r="AH1645" s="4">
        <f t="shared" si="833"/>
        <v>0.478278198485452</v>
      </c>
      <c r="AI1645" s="2">
        <v>1196</v>
      </c>
      <c r="AJ1645" s="2">
        <v>126</v>
      </c>
      <c r="AK1645" s="2">
        <v>586</v>
      </c>
      <c r="AL1645" s="2">
        <v>43</v>
      </c>
      <c r="AM1645" s="2">
        <v>19</v>
      </c>
      <c r="AN1645" s="2">
        <v>1</v>
      </c>
      <c r="AO1645" s="2">
        <v>0</v>
      </c>
      <c r="AP1645" s="2">
        <f t="shared" si="835"/>
        <v>1366</v>
      </c>
      <c r="AQ1645" s="2">
        <f t="shared" si="836"/>
        <v>89.2227302416721</v>
      </c>
      <c r="AR1645" s="5">
        <f t="shared" si="837"/>
        <v>167.738732854344</v>
      </c>
    </row>
    <row r="1646" spans="1:44">
      <c r="A1646" s="2">
        <v>20260509</v>
      </c>
      <c r="B1646" s="2" t="s">
        <v>3334</v>
      </c>
      <c r="C1646" s="2" t="s">
        <v>3335</v>
      </c>
      <c r="D1646" s="2">
        <v>1</v>
      </c>
      <c r="E1646" s="2">
        <v>5</v>
      </c>
      <c r="F1646" s="2">
        <v>3</v>
      </c>
      <c r="G1646" s="2">
        <v>1</v>
      </c>
      <c r="H1646" s="2">
        <v>2</v>
      </c>
      <c r="I1646" s="3">
        <v>15</v>
      </c>
      <c r="J1646" s="2">
        <v>2</v>
      </c>
      <c r="K1646" s="2">
        <v>2</v>
      </c>
      <c r="L1646" s="2">
        <v>0</v>
      </c>
      <c r="M1646" s="2">
        <v>6</v>
      </c>
      <c r="N1646" s="2">
        <v>5</v>
      </c>
      <c r="O1646" s="2">
        <v>11</v>
      </c>
      <c r="P1646" s="3">
        <v>8</v>
      </c>
      <c r="Q1646" s="2">
        <v>0</v>
      </c>
      <c r="R1646" s="2">
        <v>158</v>
      </c>
      <c r="S1646" s="2">
        <v>2</v>
      </c>
      <c r="T1646" s="2">
        <v>2</v>
      </c>
      <c r="U1646" s="2">
        <v>0</v>
      </c>
      <c r="V1646" s="2">
        <f t="shared" si="827"/>
        <v>4</v>
      </c>
      <c r="W1646" s="2">
        <v>0</v>
      </c>
      <c r="X1646" s="2">
        <v>11</v>
      </c>
      <c r="Y1646" s="2">
        <v>0</v>
      </c>
      <c r="Z1646" s="2">
        <f t="shared" si="828"/>
        <v>11</v>
      </c>
      <c r="AA1646" s="2">
        <f t="shared" si="829"/>
        <v>38</v>
      </c>
      <c r="AB1646" s="2">
        <v>3939</v>
      </c>
      <c r="AC1646" s="20">
        <f t="shared" si="830"/>
        <v>0.964711855800965</v>
      </c>
      <c r="AD1646" s="2" t="s">
        <v>257</v>
      </c>
      <c r="AE1646" s="2">
        <v>175</v>
      </c>
      <c r="AF1646" s="21">
        <f t="shared" si="831"/>
        <v>1.03637616508904</v>
      </c>
      <c r="AG1646" s="4">
        <f t="shared" si="832"/>
        <v>0.101548616400102</v>
      </c>
      <c r="AH1646" s="4">
        <f t="shared" si="833"/>
        <v>0.279258695100279</v>
      </c>
      <c r="AI1646" s="2">
        <v>1704</v>
      </c>
      <c r="AJ1646" s="2">
        <v>213</v>
      </c>
      <c r="AK1646" s="2">
        <v>1064</v>
      </c>
      <c r="AL1646" s="2">
        <v>37</v>
      </c>
      <c r="AM1646" s="2">
        <v>31</v>
      </c>
      <c r="AN1646" s="2">
        <v>2</v>
      </c>
      <c r="AO1646" s="2">
        <v>0</v>
      </c>
      <c r="AP1646" s="2">
        <f t="shared" si="835"/>
        <v>1956</v>
      </c>
      <c r="AQ1646" s="2">
        <f t="shared" si="836"/>
        <v>77.9593463531287</v>
      </c>
      <c r="AR1646" s="5">
        <f t="shared" si="837"/>
        <v>146.563571143882</v>
      </c>
    </row>
    <row r="1647" spans="1:44">
      <c r="A1647" s="2">
        <v>20260509</v>
      </c>
      <c r="B1647" s="2" t="s">
        <v>3336</v>
      </c>
      <c r="C1647" s="2" t="s">
        <v>3337</v>
      </c>
      <c r="D1647" s="2">
        <v>0</v>
      </c>
      <c r="E1647" s="2">
        <v>0</v>
      </c>
      <c r="F1647" s="2">
        <v>2</v>
      </c>
      <c r="G1647" s="2">
        <v>0</v>
      </c>
      <c r="H1647" s="2">
        <v>1</v>
      </c>
      <c r="I1647" s="3">
        <v>9</v>
      </c>
      <c r="J1647" s="2">
        <v>0</v>
      </c>
      <c r="K1647" s="2">
        <v>1</v>
      </c>
      <c r="L1647" s="2">
        <v>0</v>
      </c>
      <c r="M1647" s="2">
        <v>4</v>
      </c>
      <c r="N1647" s="2">
        <v>5</v>
      </c>
      <c r="O1647" s="2">
        <v>6</v>
      </c>
      <c r="P1647" s="3">
        <v>6</v>
      </c>
      <c r="Q1647" s="2">
        <v>5</v>
      </c>
      <c r="R1647" s="2">
        <v>3</v>
      </c>
      <c r="S1647" s="2">
        <v>0</v>
      </c>
      <c r="T1647" s="2">
        <v>0</v>
      </c>
      <c r="U1647" s="2">
        <v>0</v>
      </c>
      <c r="V1647" s="2">
        <f t="shared" si="827"/>
        <v>5</v>
      </c>
      <c r="W1647" s="2">
        <v>0</v>
      </c>
      <c r="X1647" s="2">
        <v>7</v>
      </c>
      <c r="Y1647" s="2">
        <v>0</v>
      </c>
      <c r="Z1647" s="2">
        <f t="shared" si="828"/>
        <v>7</v>
      </c>
      <c r="AA1647" s="2">
        <f t="shared" si="829"/>
        <v>21</v>
      </c>
      <c r="AB1647" s="2">
        <v>2470</v>
      </c>
      <c r="AC1647" s="20">
        <f t="shared" si="830"/>
        <v>0.850202429149798</v>
      </c>
      <c r="AD1647" s="2" t="s">
        <v>257</v>
      </c>
      <c r="AE1647" s="2">
        <v>100</v>
      </c>
      <c r="AF1647" s="21">
        <f t="shared" si="831"/>
        <v>1.59838056680162</v>
      </c>
      <c r="AG1647" s="4">
        <f t="shared" si="832"/>
        <v>0.202429149797571</v>
      </c>
      <c r="AH1647" s="4">
        <f t="shared" si="833"/>
        <v>0.283400809716599</v>
      </c>
      <c r="AI1647" s="2">
        <v>1158</v>
      </c>
      <c r="AJ1647" s="2">
        <v>96</v>
      </c>
      <c r="AK1647" s="2">
        <v>589</v>
      </c>
      <c r="AL1647" s="2">
        <v>8</v>
      </c>
      <c r="AM1647" s="2">
        <v>18</v>
      </c>
      <c r="AN1647" s="2">
        <v>3</v>
      </c>
      <c r="AO1647" s="2">
        <v>0</v>
      </c>
      <c r="AP1647" s="2">
        <f t="shared" si="835"/>
        <v>1265</v>
      </c>
      <c r="AQ1647" s="2">
        <f t="shared" si="836"/>
        <v>32.1147499365321</v>
      </c>
      <c r="AR1647" s="5">
        <f t="shared" si="837"/>
        <v>60.3757298806804</v>
      </c>
    </row>
    <row r="1648" spans="1:44">
      <c r="A1648" s="2">
        <v>20260509</v>
      </c>
      <c r="B1648" s="2" t="s">
        <v>3338</v>
      </c>
      <c r="C1648" s="2" t="s">
        <v>3339</v>
      </c>
      <c r="D1648" s="2">
        <v>0</v>
      </c>
      <c r="E1648" s="2">
        <v>1</v>
      </c>
      <c r="F1648" s="2">
        <v>0</v>
      </c>
      <c r="G1648" s="2">
        <v>2</v>
      </c>
      <c r="H1648" s="2">
        <v>3</v>
      </c>
      <c r="I1648" s="3">
        <v>6</v>
      </c>
      <c r="J1648" s="2">
        <v>2</v>
      </c>
      <c r="K1648" s="2">
        <v>0</v>
      </c>
      <c r="L1648" s="2">
        <v>0</v>
      </c>
      <c r="M1648" s="2">
        <v>6</v>
      </c>
      <c r="N1648" s="2">
        <v>1</v>
      </c>
      <c r="O1648" s="2">
        <v>24</v>
      </c>
      <c r="P1648" s="3">
        <v>0</v>
      </c>
      <c r="Q1648" s="2">
        <v>3</v>
      </c>
      <c r="R1648" s="2">
        <v>0</v>
      </c>
      <c r="S1648" s="2">
        <v>0</v>
      </c>
      <c r="T1648" s="2">
        <v>0</v>
      </c>
      <c r="U1648" s="2">
        <v>0</v>
      </c>
      <c r="V1648" s="2">
        <f t="shared" si="827"/>
        <v>3</v>
      </c>
      <c r="W1648" s="2">
        <v>2</v>
      </c>
      <c r="X1648" s="2">
        <v>7</v>
      </c>
      <c r="Y1648" s="2">
        <v>0</v>
      </c>
      <c r="Z1648" s="2">
        <f t="shared" si="828"/>
        <v>9</v>
      </c>
      <c r="AA1648" s="2">
        <f t="shared" si="829"/>
        <v>19</v>
      </c>
      <c r="AB1648" s="2">
        <v>3218</v>
      </c>
      <c r="AC1648" s="20">
        <f t="shared" si="830"/>
        <v>0.590428837787446</v>
      </c>
      <c r="AD1648" s="2" t="s">
        <v>257</v>
      </c>
      <c r="AE1648" s="2">
        <v>100</v>
      </c>
      <c r="AF1648" s="21">
        <f t="shared" si="831"/>
        <v>1.1100062150404</v>
      </c>
      <c r="AG1648" s="4">
        <f t="shared" si="832"/>
        <v>0.0932256059664388</v>
      </c>
      <c r="AH1648" s="4">
        <f t="shared" si="833"/>
        <v>0.279676817899316</v>
      </c>
      <c r="AI1648" s="2">
        <v>2334</v>
      </c>
      <c r="AJ1648" s="2">
        <v>278</v>
      </c>
      <c r="AK1648" s="2">
        <v>7136</v>
      </c>
      <c r="AL1648" s="2">
        <v>27</v>
      </c>
      <c r="AM1648" s="2">
        <v>29</v>
      </c>
      <c r="AN1648" s="2">
        <v>39</v>
      </c>
      <c r="AO1648" s="2">
        <v>0</v>
      </c>
      <c r="AP1648" s="2">
        <f t="shared" si="835"/>
        <v>2678</v>
      </c>
      <c r="AQ1648" s="2">
        <f t="shared" si="836"/>
        <v>108.421052631579</v>
      </c>
      <c r="AR1648" s="5">
        <f t="shared" si="837"/>
        <v>203.831578947368</v>
      </c>
    </row>
    <row r="1649" spans="1:44">
      <c r="A1649" s="2">
        <v>20260509</v>
      </c>
      <c r="B1649" s="2" t="s">
        <v>3340</v>
      </c>
      <c r="C1649" s="2" t="s">
        <v>3341</v>
      </c>
      <c r="D1649" s="2">
        <v>2</v>
      </c>
      <c r="E1649" s="2">
        <v>60</v>
      </c>
      <c r="F1649" s="2">
        <v>3</v>
      </c>
      <c r="G1649" s="2">
        <v>2</v>
      </c>
      <c r="H1649" s="2">
        <v>16</v>
      </c>
      <c r="I1649" s="3">
        <v>16</v>
      </c>
      <c r="J1649" s="2">
        <v>16</v>
      </c>
      <c r="K1649" s="2">
        <v>3</v>
      </c>
      <c r="L1649" s="2">
        <v>0</v>
      </c>
      <c r="M1649" s="2">
        <v>2</v>
      </c>
      <c r="N1649" s="2">
        <v>15</v>
      </c>
      <c r="O1649" s="2">
        <v>3</v>
      </c>
      <c r="P1649" s="3">
        <v>7</v>
      </c>
      <c r="Q1649" s="2">
        <v>1</v>
      </c>
      <c r="R1649" s="2">
        <v>51</v>
      </c>
      <c r="S1649" s="2">
        <v>4</v>
      </c>
      <c r="T1649" s="2">
        <v>11</v>
      </c>
      <c r="U1649" s="2">
        <v>0</v>
      </c>
      <c r="V1649" s="2">
        <f t="shared" si="827"/>
        <v>16</v>
      </c>
      <c r="W1649" s="2">
        <v>3</v>
      </c>
      <c r="X1649" s="2">
        <v>11</v>
      </c>
      <c r="Y1649" s="2">
        <v>0</v>
      </c>
      <c r="Z1649" s="2">
        <f t="shared" si="828"/>
        <v>14</v>
      </c>
      <c r="AA1649" s="2">
        <f t="shared" si="829"/>
        <v>73</v>
      </c>
      <c r="AB1649" s="2">
        <v>6375</v>
      </c>
      <c r="AC1649" s="20">
        <f t="shared" si="830"/>
        <v>1.14509803921569</v>
      </c>
      <c r="AD1649" s="2" t="s">
        <v>257</v>
      </c>
      <c r="AE1649" s="2">
        <v>100</v>
      </c>
      <c r="AF1649" s="21">
        <f t="shared" si="831"/>
        <v>2.15278431372549</v>
      </c>
      <c r="AG1649" s="4">
        <f t="shared" si="832"/>
        <v>0.250980392156863</v>
      </c>
      <c r="AH1649" s="4">
        <f t="shared" si="833"/>
        <v>0.219607843137255</v>
      </c>
      <c r="AI1649" s="2">
        <v>3925</v>
      </c>
      <c r="AJ1649" s="2">
        <v>354</v>
      </c>
      <c r="AK1649" s="2">
        <v>7078</v>
      </c>
      <c r="AL1649" s="2">
        <v>27</v>
      </c>
      <c r="AM1649" s="2">
        <v>55</v>
      </c>
      <c r="AN1649" s="2">
        <v>48</v>
      </c>
      <c r="AO1649" s="2">
        <v>0</v>
      </c>
      <c r="AP1649" s="2">
        <f t="shared" si="835"/>
        <v>4354</v>
      </c>
      <c r="AQ1649" s="2">
        <f t="shared" si="836"/>
        <v>135.301429459291</v>
      </c>
      <c r="AR1649" s="5">
        <f t="shared" si="837"/>
        <v>254.366687383468</v>
      </c>
    </row>
    <row r="1650" spans="1:44">
      <c r="A1650" s="2">
        <v>20260509</v>
      </c>
      <c r="B1650" s="8" t="s">
        <v>3342</v>
      </c>
      <c r="C1650" s="2" t="s">
        <v>3343</v>
      </c>
      <c r="D1650" s="2">
        <v>0</v>
      </c>
      <c r="E1650" s="2">
        <v>0</v>
      </c>
      <c r="F1650" s="2">
        <v>2</v>
      </c>
      <c r="G1650" s="2">
        <v>0</v>
      </c>
      <c r="H1650" s="2">
        <v>3</v>
      </c>
      <c r="I1650" s="3">
        <v>5</v>
      </c>
      <c r="J1650" s="2">
        <v>4</v>
      </c>
      <c r="K1650" s="2">
        <v>0</v>
      </c>
      <c r="L1650" s="2">
        <v>0</v>
      </c>
      <c r="M1650" s="2">
        <v>3</v>
      </c>
      <c r="N1650" s="2">
        <v>15</v>
      </c>
      <c r="O1650" s="2">
        <v>5</v>
      </c>
      <c r="P1650" s="3">
        <v>4</v>
      </c>
      <c r="Q1650" s="2">
        <v>6</v>
      </c>
      <c r="R1650" s="2">
        <v>0</v>
      </c>
      <c r="S1650" s="2">
        <v>9</v>
      </c>
      <c r="T1650" s="2">
        <v>0</v>
      </c>
      <c r="U1650" s="2">
        <v>0</v>
      </c>
      <c r="V1650" s="2">
        <f t="shared" si="827"/>
        <v>15</v>
      </c>
      <c r="W1650" s="2">
        <v>4</v>
      </c>
      <c r="X1650" s="2">
        <v>4</v>
      </c>
      <c r="Y1650" s="2">
        <v>0</v>
      </c>
      <c r="Z1650" s="2">
        <f t="shared" si="828"/>
        <v>8</v>
      </c>
      <c r="AA1650" s="2">
        <f t="shared" si="829"/>
        <v>19</v>
      </c>
      <c r="AB1650" s="2">
        <v>1177</v>
      </c>
      <c r="AC1650" s="20">
        <f t="shared" si="830"/>
        <v>1.6142735768904</v>
      </c>
      <c r="AD1650" s="2" t="s">
        <v>229</v>
      </c>
      <c r="AE1650" s="2">
        <v>188</v>
      </c>
      <c r="AF1650" s="21">
        <f t="shared" si="831"/>
        <v>1.6142735768904</v>
      </c>
      <c r="AG1650" s="4">
        <f t="shared" si="832"/>
        <v>1.27442650807137</v>
      </c>
      <c r="AH1650" s="4">
        <f t="shared" si="833"/>
        <v>0.679694137638063</v>
      </c>
      <c r="AI1650" s="2">
        <v>5220</v>
      </c>
      <c r="AJ1650" s="2">
        <v>170</v>
      </c>
      <c r="AK1650" s="2">
        <v>74</v>
      </c>
      <c r="AL1650" s="2">
        <v>66</v>
      </c>
      <c r="AM1650" s="2">
        <v>219</v>
      </c>
      <c r="AN1650" s="2">
        <v>2</v>
      </c>
      <c r="AO1650" s="2">
        <v>0</v>
      </c>
      <c r="AP1650" s="2">
        <f t="shared" si="835"/>
        <v>5458</v>
      </c>
      <c r="AQ1650" s="2">
        <f t="shared" si="836"/>
        <v>85.6156862745098</v>
      </c>
      <c r="AR1650" s="5">
        <f t="shared" si="837"/>
        <v>160.957490196078</v>
      </c>
    </row>
    <row r="1651" spans="1:44">
      <c r="A1651" s="2">
        <v>20260509</v>
      </c>
      <c r="B1651" s="2" t="s">
        <v>3344</v>
      </c>
      <c r="C1651" s="2" t="s">
        <v>3345</v>
      </c>
      <c r="D1651" s="2">
        <v>3</v>
      </c>
      <c r="E1651" s="2">
        <v>2</v>
      </c>
      <c r="F1651" s="2">
        <v>6</v>
      </c>
      <c r="G1651" s="2">
        <v>2</v>
      </c>
      <c r="H1651" s="2">
        <v>2</v>
      </c>
      <c r="I1651" s="3">
        <v>12</v>
      </c>
      <c r="J1651" s="2">
        <v>5</v>
      </c>
      <c r="K1651" s="2">
        <v>0</v>
      </c>
      <c r="L1651" s="2">
        <v>0</v>
      </c>
      <c r="M1651" s="2">
        <v>4</v>
      </c>
      <c r="N1651" s="2">
        <v>5</v>
      </c>
      <c r="O1651" s="2">
        <v>20</v>
      </c>
      <c r="P1651" s="3">
        <v>4</v>
      </c>
      <c r="Q1651" s="2">
        <v>1</v>
      </c>
      <c r="R1651" s="2">
        <v>2</v>
      </c>
      <c r="S1651" s="2">
        <v>0</v>
      </c>
      <c r="T1651" s="2">
        <v>0</v>
      </c>
      <c r="U1651" s="2">
        <v>0</v>
      </c>
      <c r="V1651" s="2">
        <f t="shared" si="827"/>
        <v>1</v>
      </c>
      <c r="W1651" s="2">
        <v>5</v>
      </c>
      <c r="X1651" s="2">
        <v>7</v>
      </c>
      <c r="Y1651" s="2">
        <v>1</v>
      </c>
      <c r="Z1651" s="2">
        <f t="shared" si="828"/>
        <v>13</v>
      </c>
      <c r="AA1651" s="2">
        <f t="shared" si="829"/>
        <v>29</v>
      </c>
      <c r="AB1651" s="2">
        <v>2126</v>
      </c>
      <c r="AC1651" s="20">
        <f t="shared" si="830"/>
        <v>1.36406396989652</v>
      </c>
      <c r="AD1651" s="2" t="s">
        <v>229</v>
      </c>
      <c r="AE1651" s="2">
        <v>188</v>
      </c>
      <c r="AF1651" s="21">
        <f t="shared" si="831"/>
        <v>1.36406396989652</v>
      </c>
      <c r="AG1651" s="4">
        <f t="shared" si="832"/>
        <v>0.0470366886171214</v>
      </c>
      <c r="AH1651" s="4">
        <f t="shared" si="833"/>
        <v>0.611476952022578</v>
      </c>
      <c r="AI1651" s="2">
        <v>3623</v>
      </c>
      <c r="AJ1651" s="2">
        <v>208</v>
      </c>
      <c r="AK1651" s="2">
        <v>165</v>
      </c>
      <c r="AL1651" s="2">
        <v>62</v>
      </c>
      <c r="AM1651" s="2">
        <v>446</v>
      </c>
      <c r="AN1651" s="2">
        <v>3</v>
      </c>
      <c r="AO1651" s="2">
        <v>0</v>
      </c>
      <c r="AP1651" s="2">
        <f t="shared" si="835"/>
        <v>3896</v>
      </c>
      <c r="AQ1651" s="2">
        <f t="shared" si="836"/>
        <v>331.011045029737</v>
      </c>
      <c r="AR1651" s="5">
        <f t="shared" si="837"/>
        <v>622.300764655905</v>
      </c>
    </row>
    <row r="1652" spans="1:44">
      <c r="A1652" s="2">
        <v>20260509</v>
      </c>
      <c r="B1652" s="2" t="s">
        <v>3346</v>
      </c>
      <c r="C1652" s="2" t="s">
        <v>3347</v>
      </c>
      <c r="D1652" s="2">
        <v>3</v>
      </c>
      <c r="E1652" s="2">
        <v>0</v>
      </c>
      <c r="F1652" s="2">
        <v>5</v>
      </c>
      <c r="G1652" s="2">
        <v>1</v>
      </c>
      <c r="H1652" s="2">
        <v>1</v>
      </c>
      <c r="I1652" s="3">
        <v>8</v>
      </c>
      <c r="J1652" s="2">
        <v>3</v>
      </c>
      <c r="K1652" s="2">
        <v>1</v>
      </c>
      <c r="L1652" s="2">
        <v>0</v>
      </c>
      <c r="M1652" s="2">
        <v>5</v>
      </c>
      <c r="N1652" s="2">
        <v>6</v>
      </c>
      <c r="O1652" s="2">
        <v>12</v>
      </c>
      <c r="P1652" s="3">
        <v>12</v>
      </c>
      <c r="Q1652" s="2">
        <v>4</v>
      </c>
      <c r="R1652" s="2">
        <v>4</v>
      </c>
      <c r="S1652" s="2">
        <v>0</v>
      </c>
      <c r="T1652" s="2">
        <v>1</v>
      </c>
      <c r="U1652" s="2">
        <v>0</v>
      </c>
      <c r="V1652" s="2">
        <f t="shared" si="827"/>
        <v>5</v>
      </c>
      <c r="W1652" s="2">
        <v>0</v>
      </c>
      <c r="X1652" s="2">
        <v>0</v>
      </c>
      <c r="Y1652" s="2">
        <v>0</v>
      </c>
      <c r="Z1652" s="2">
        <f t="shared" si="828"/>
        <v>0</v>
      </c>
      <c r="AA1652" s="2">
        <f t="shared" si="829"/>
        <v>32</v>
      </c>
      <c r="AB1652" s="2">
        <v>2236</v>
      </c>
      <c r="AC1652" s="20">
        <f t="shared" si="830"/>
        <v>1.43112701252236</v>
      </c>
      <c r="AD1652" s="2" t="s">
        <v>229</v>
      </c>
      <c r="AE1652" s="2">
        <v>188</v>
      </c>
      <c r="AF1652" s="21">
        <f t="shared" si="831"/>
        <v>1.43112701252236</v>
      </c>
      <c r="AG1652" s="4">
        <f t="shared" si="832"/>
        <v>0.223613595706619</v>
      </c>
      <c r="AH1652" s="4">
        <f t="shared" si="833"/>
        <v>0</v>
      </c>
      <c r="AI1652" s="2">
        <v>2957</v>
      </c>
      <c r="AJ1652" s="2">
        <v>225</v>
      </c>
      <c r="AK1652" s="2">
        <v>127</v>
      </c>
      <c r="AL1652" s="2">
        <v>81</v>
      </c>
      <c r="AM1652" s="2">
        <v>509</v>
      </c>
      <c r="AN1652" s="2">
        <v>4</v>
      </c>
      <c r="AO1652" s="2">
        <v>0</v>
      </c>
      <c r="AP1652" s="2">
        <f t="shared" si="835"/>
        <v>3267</v>
      </c>
      <c r="AQ1652" s="2">
        <f t="shared" si="836"/>
        <v>153.668861712135</v>
      </c>
      <c r="AR1652" s="5">
        <f t="shared" si="837"/>
        <v>288.897460018815</v>
      </c>
    </row>
    <row r="1653" spans="1:44">
      <c r="A1653" s="2">
        <v>20260509</v>
      </c>
      <c r="B1653" s="2" t="s">
        <v>3348</v>
      </c>
      <c r="C1653" s="2" t="s">
        <v>3349</v>
      </c>
      <c r="D1653" s="2">
        <v>2</v>
      </c>
      <c r="E1653" s="2">
        <v>0</v>
      </c>
      <c r="F1653" s="2">
        <v>7</v>
      </c>
      <c r="G1653" s="2">
        <v>0</v>
      </c>
      <c r="H1653" s="2">
        <v>1</v>
      </c>
      <c r="I1653" s="3">
        <v>9</v>
      </c>
      <c r="J1653" s="2">
        <v>6</v>
      </c>
      <c r="K1653" s="2">
        <v>0</v>
      </c>
      <c r="L1653" s="2">
        <v>1</v>
      </c>
      <c r="M1653" s="2">
        <v>4</v>
      </c>
      <c r="N1653" s="2">
        <v>4</v>
      </c>
      <c r="O1653" s="2">
        <v>18</v>
      </c>
      <c r="P1653" s="3">
        <v>7</v>
      </c>
      <c r="Q1653" s="2">
        <v>4</v>
      </c>
      <c r="R1653" s="2">
        <v>10</v>
      </c>
      <c r="S1653" s="2">
        <v>3</v>
      </c>
      <c r="T1653" s="2">
        <v>1</v>
      </c>
      <c r="U1653" s="2">
        <v>0</v>
      </c>
      <c r="V1653" s="2">
        <f t="shared" si="827"/>
        <v>8</v>
      </c>
      <c r="W1653" s="2">
        <v>4</v>
      </c>
      <c r="X1653" s="2">
        <v>0</v>
      </c>
      <c r="Y1653" s="2">
        <v>0</v>
      </c>
      <c r="Z1653" s="2">
        <f t="shared" si="828"/>
        <v>4</v>
      </c>
      <c r="AA1653" s="2">
        <f t="shared" si="829"/>
        <v>29</v>
      </c>
      <c r="AB1653" s="2">
        <v>2106</v>
      </c>
      <c r="AC1653" s="20">
        <f t="shared" si="830"/>
        <v>1.37701804368471</v>
      </c>
      <c r="AD1653" s="2" t="s">
        <v>229</v>
      </c>
      <c r="AE1653" s="2">
        <v>188</v>
      </c>
      <c r="AF1653" s="21">
        <f t="shared" si="831"/>
        <v>1.37701804368471</v>
      </c>
      <c r="AG1653" s="4">
        <f t="shared" si="832"/>
        <v>0.379867046533713</v>
      </c>
      <c r="AH1653" s="4">
        <f t="shared" si="833"/>
        <v>0.189933523266857</v>
      </c>
      <c r="AI1653" s="2">
        <v>4209</v>
      </c>
      <c r="AJ1653" s="2">
        <v>187</v>
      </c>
      <c r="AK1653" s="2">
        <v>47</v>
      </c>
      <c r="AL1653" s="2">
        <v>41</v>
      </c>
      <c r="AM1653" s="2">
        <v>505</v>
      </c>
      <c r="AN1653" s="2">
        <v>1</v>
      </c>
      <c r="AO1653" s="2">
        <v>0</v>
      </c>
      <c r="AP1653" s="2">
        <f t="shared" si="835"/>
        <v>4438</v>
      </c>
      <c r="AQ1653" s="2">
        <f t="shared" si="836"/>
        <v>198.479427549195</v>
      </c>
      <c r="AR1653" s="5">
        <f t="shared" si="837"/>
        <v>373.141323792487</v>
      </c>
    </row>
    <row r="1654" spans="1:44">
      <c r="A1654" s="2">
        <v>20260509</v>
      </c>
      <c r="B1654" s="2" t="s">
        <v>3350</v>
      </c>
      <c r="C1654" s="2" t="s">
        <v>3351</v>
      </c>
      <c r="D1654" s="2">
        <v>1</v>
      </c>
      <c r="E1654" s="2">
        <v>1</v>
      </c>
      <c r="F1654" s="2">
        <v>1</v>
      </c>
      <c r="G1654" s="2">
        <v>2</v>
      </c>
      <c r="H1654" s="2">
        <v>3</v>
      </c>
      <c r="I1654" s="3">
        <v>2</v>
      </c>
      <c r="J1654" s="2">
        <v>5</v>
      </c>
      <c r="K1654" s="2">
        <v>0</v>
      </c>
      <c r="L1654" s="2">
        <v>0</v>
      </c>
      <c r="M1654" s="2">
        <v>1</v>
      </c>
      <c r="N1654" s="2">
        <v>9</v>
      </c>
      <c r="O1654" s="2">
        <v>6</v>
      </c>
      <c r="P1654" s="3">
        <v>2</v>
      </c>
      <c r="Q1654" s="2">
        <v>8</v>
      </c>
      <c r="R1654" s="2">
        <v>1</v>
      </c>
      <c r="S1654" s="2">
        <v>0</v>
      </c>
      <c r="T1654" s="2">
        <v>1</v>
      </c>
      <c r="U1654" s="2">
        <v>0</v>
      </c>
      <c r="V1654" s="2">
        <f t="shared" ref="V1654:V1685" si="838">U1654+T1654+S1654+Q1654</f>
        <v>9</v>
      </c>
      <c r="W1654" s="2">
        <v>1</v>
      </c>
      <c r="X1654" s="2">
        <v>0</v>
      </c>
      <c r="Y1654" s="2">
        <v>0</v>
      </c>
      <c r="Z1654" s="2">
        <f t="shared" ref="Z1654:Z1694" si="839">Y1654+X1654+W1654+U1654</f>
        <v>1</v>
      </c>
      <c r="AA1654" s="2">
        <f t="shared" ref="AA1654:AA1694" si="840">G1654+H1654+I1654+J1654+K1654+L1654+M1654+P1654+T1654+U1654</f>
        <v>16</v>
      </c>
      <c r="AB1654" s="2">
        <v>1065</v>
      </c>
      <c r="AC1654" s="20">
        <f t="shared" ref="AC1654:AC1694" si="841">AA1654/AB1654*100</f>
        <v>1.50234741784038</v>
      </c>
      <c r="AD1654" s="2" t="s">
        <v>229</v>
      </c>
      <c r="AE1654" s="2">
        <v>188</v>
      </c>
      <c r="AF1654" s="21">
        <f t="shared" ref="AF1654:AF1694" si="842">188/AE1654*AC1654</f>
        <v>1.50234741784038</v>
      </c>
      <c r="AG1654" s="4">
        <f t="shared" ref="AG1654:AG1694" si="843">V1654/AB1654*100</f>
        <v>0.845070422535211</v>
      </c>
      <c r="AH1654" s="4">
        <f t="shared" ref="AH1654:AH1694" si="844">Z1654/AB1654*100</f>
        <v>0.0938967136150235</v>
      </c>
      <c r="AI1654" s="2">
        <v>682</v>
      </c>
      <c r="AJ1654" s="2">
        <v>53</v>
      </c>
      <c r="AK1654" s="2">
        <v>34</v>
      </c>
      <c r="AL1654" s="2">
        <v>15</v>
      </c>
      <c r="AM1654" s="2">
        <v>23</v>
      </c>
      <c r="AN1654" s="2">
        <v>1</v>
      </c>
      <c r="AO1654" s="2">
        <v>0</v>
      </c>
      <c r="AP1654" s="2">
        <f t="shared" si="835"/>
        <v>751</v>
      </c>
      <c r="AQ1654" s="2">
        <f t="shared" si="836"/>
        <v>35.6600189933523</v>
      </c>
      <c r="AR1654" s="5">
        <f t="shared" si="837"/>
        <v>67.0408357075024</v>
      </c>
    </row>
    <row r="1655" spans="1:44">
      <c r="A1655" s="2">
        <v>20260509</v>
      </c>
      <c r="B1655" s="2" t="s">
        <v>3352</v>
      </c>
      <c r="C1655" s="2" t="s">
        <v>3353</v>
      </c>
      <c r="D1655" s="2">
        <v>3</v>
      </c>
      <c r="E1655" s="2">
        <v>2</v>
      </c>
      <c r="F1655" s="2">
        <v>8</v>
      </c>
      <c r="G1655" s="2">
        <v>0</v>
      </c>
      <c r="H1655" s="2">
        <v>1</v>
      </c>
      <c r="I1655" s="3">
        <v>7</v>
      </c>
      <c r="J1655" s="2">
        <v>10</v>
      </c>
      <c r="K1655" s="2">
        <v>1</v>
      </c>
      <c r="L1655" s="2">
        <v>0</v>
      </c>
      <c r="M1655" s="2">
        <v>15</v>
      </c>
      <c r="N1655" s="2">
        <v>15</v>
      </c>
      <c r="O1655" s="2">
        <v>18</v>
      </c>
      <c r="P1655" s="3">
        <v>4</v>
      </c>
      <c r="Q1655" s="2">
        <v>11</v>
      </c>
      <c r="R1655" s="2">
        <v>1</v>
      </c>
      <c r="S1655" s="2">
        <v>0</v>
      </c>
      <c r="T1655" s="2">
        <v>0</v>
      </c>
      <c r="U1655" s="2">
        <v>0</v>
      </c>
      <c r="V1655" s="2">
        <f t="shared" si="838"/>
        <v>11</v>
      </c>
      <c r="W1655" s="2">
        <v>0</v>
      </c>
      <c r="X1655" s="2">
        <v>0</v>
      </c>
      <c r="Y1655" s="2">
        <v>0</v>
      </c>
      <c r="Z1655" s="2">
        <f t="shared" si="839"/>
        <v>0</v>
      </c>
      <c r="AA1655" s="2">
        <f t="shared" si="840"/>
        <v>38</v>
      </c>
      <c r="AB1655" s="2">
        <v>2103</v>
      </c>
      <c r="AC1655" s="20">
        <f t="shared" si="841"/>
        <v>1.80694246314788</v>
      </c>
      <c r="AD1655" s="2" t="s">
        <v>229</v>
      </c>
      <c r="AE1655" s="2">
        <v>188</v>
      </c>
      <c r="AF1655" s="21">
        <f t="shared" si="842"/>
        <v>1.80694246314788</v>
      </c>
      <c r="AG1655" s="4">
        <f t="shared" si="843"/>
        <v>0.523062291963861</v>
      </c>
      <c r="AH1655" s="4">
        <f t="shared" si="844"/>
        <v>0</v>
      </c>
      <c r="AI1655" s="2">
        <v>1245</v>
      </c>
      <c r="AJ1655" s="2">
        <v>90</v>
      </c>
      <c r="AK1655" s="2">
        <v>52</v>
      </c>
      <c r="AL1655" s="2">
        <v>43</v>
      </c>
      <c r="AM1655" s="2">
        <v>5</v>
      </c>
      <c r="AN1655" s="2">
        <v>1</v>
      </c>
      <c r="AO1655" s="2">
        <v>0</v>
      </c>
      <c r="AP1655" s="2">
        <f t="shared" si="835"/>
        <v>1379</v>
      </c>
      <c r="AQ1655" s="2">
        <f t="shared" si="836"/>
        <v>129.483568075117</v>
      </c>
      <c r="AR1655" s="5">
        <f t="shared" si="837"/>
        <v>243.429107981221</v>
      </c>
    </row>
    <row r="1656" spans="1:44">
      <c r="A1656" s="2">
        <v>20260509</v>
      </c>
      <c r="B1656" s="2" t="s">
        <v>3354</v>
      </c>
      <c r="C1656" s="2" t="s">
        <v>3355</v>
      </c>
      <c r="D1656" s="2">
        <v>4</v>
      </c>
      <c r="E1656" s="2">
        <v>0</v>
      </c>
      <c r="F1656" s="2">
        <v>7</v>
      </c>
      <c r="G1656" s="2">
        <v>3</v>
      </c>
      <c r="H1656" s="2">
        <v>4</v>
      </c>
      <c r="I1656" s="3">
        <v>9</v>
      </c>
      <c r="J1656" s="2">
        <v>8</v>
      </c>
      <c r="K1656" s="2">
        <v>3</v>
      </c>
      <c r="L1656" s="2">
        <v>2</v>
      </c>
      <c r="M1656" s="2">
        <v>12</v>
      </c>
      <c r="N1656" s="2">
        <v>5</v>
      </c>
      <c r="O1656" s="2">
        <v>15</v>
      </c>
      <c r="P1656" s="3">
        <v>18</v>
      </c>
      <c r="Q1656" s="2">
        <v>9</v>
      </c>
      <c r="R1656" s="2">
        <v>3</v>
      </c>
      <c r="S1656" s="2">
        <v>3</v>
      </c>
      <c r="T1656" s="2">
        <v>1</v>
      </c>
      <c r="U1656" s="2">
        <v>0</v>
      </c>
      <c r="V1656" s="2">
        <f t="shared" si="838"/>
        <v>13</v>
      </c>
      <c r="W1656" s="2">
        <v>5</v>
      </c>
      <c r="X1656" s="2">
        <v>2</v>
      </c>
      <c r="Y1656" s="2">
        <v>2</v>
      </c>
      <c r="Z1656" s="2">
        <f t="shared" si="839"/>
        <v>9</v>
      </c>
      <c r="AA1656" s="2">
        <f t="shared" si="840"/>
        <v>60</v>
      </c>
      <c r="AB1656" s="2">
        <v>3142</v>
      </c>
      <c r="AC1656" s="20">
        <f t="shared" si="841"/>
        <v>1.90961171228517</v>
      </c>
      <c r="AD1656" s="2" t="s">
        <v>58</v>
      </c>
      <c r="AE1656" s="2">
        <v>188</v>
      </c>
      <c r="AF1656" s="21">
        <f t="shared" si="842"/>
        <v>1.90961171228517</v>
      </c>
      <c r="AG1656" s="4">
        <f t="shared" si="843"/>
        <v>0.413749204328453</v>
      </c>
      <c r="AH1656" s="4">
        <f t="shared" si="844"/>
        <v>0.286441756842775</v>
      </c>
      <c r="AI1656" s="2">
        <v>1724</v>
      </c>
      <c r="AJ1656" s="2">
        <v>124</v>
      </c>
      <c r="AK1656" s="2">
        <v>112</v>
      </c>
      <c r="AL1656" s="2">
        <v>41</v>
      </c>
      <c r="AM1656" s="2">
        <v>18</v>
      </c>
      <c r="AN1656" s="2">
        <v>1</v>
      </c>
      <c r="AO1656" s="2">
        <v>0</v>
      </c>
      <c r="AP1656" s="2">
        <f t="shared" si="835"/>
        <v>1890</v>
      </c>
      <c r="AQ1656" s="2">
        <f t="shared" si="836"/>
        <v>89.8716119828816</v>
      </c>
      <c r="AR1656" s="5">
        <f t="shared" si="837"/>
        <v>168.958630527817</v>
      </c>
    </row>
    <row r="1657" spans="1:44">
      <c r="A1657" s="2">
        <v>20260509</v>
      </c>
      <c r="B1657" s="2" t="s">
        <v>3356</v>
      </c>
      <c r="C1657" s="2" t="s">
        <v>3357</v>
      </c>
      <c r="D1657" s="2">
        <v>1</v>
      </c>
      <c r="E1657" s="2">
        <v>2</v>
      </c>
      <c r="F1657" s="2">
        <v>4</v>
      </c>
      <c r="G1657" s="2">
        <v>0</v>
      </c>
      <c r="H1657" s="2">
        <v>1</v>
      </c>
      <c r="I1657" s="3">
        <v>7</v>
      </c>
      <c r="J1657" s="2">
        <v>3</v>
      </c>
      <c r="K1657" s="2">
        <v>1</v>
      </c>
      <c r="L1657" s="2">
        <v>0</v>
      </c>
      <c r="M1657" s="2">
        <v>5</v>
      </c>
      <c r="N1657" s="2">
        <v>3</v>
      </c>
      <c r="O1657" s="2">
        <v>12</v>
      </c>
      <c r="P1657" s="3">
        <v>9</v>
      </c>
      <c r="Q1657" s="2">
        <v>2</v>
      </c>
      <c r="R1657" s="2">
        <v>1</v>
      </c>
      <c r="S1657" s="2">
        <v>1</v>
      </c>
      <c r="T1657" s="2">
        <v>0</v>
      </c>
      <c r="U1657" s="2">
        <v>0</v>
      </c>
      <c r="V1657" s="2">
        <f t="shared" si="838"/>
        <v>3</v>
      </c>
      <c r="W1657" s="2">
        <v>0</v>
      </c>
      <c r="X1657" s="2">
        <v>0</v>
      </c>
      <c r="Y1657" s="2">
        <v>0</v>
      </c>
      <c r="Z1657" s="2">
        <f t="shared" si="839"/>
        <v>0</v>
      </c>
      <c r="AA1657" s="2">
        <f t="shared" si="840"/>
        <v>26</v>
      </c>
      <c r="AB1657" s="2">
        <v>2422</v>
      </c>
      <c r="AC1657" s="20">
        <f t="shared" si="841"/>
        <v>1.07349298100743</v>
      </c>
      <c r="AD1657" s="2" t="s">
        <v>49</v>
      </c>
      <c r="AE1657" s="2">
        <v>188</v>
      </c>
      <c r="AF1657" s="21">
        <f t="shared" si="842"/>
        <v>1.07349298100743</v>
      </c>
      <c r="AG1657" s="4">
        <f t="shared" si="843"/>
        <v>0.123864574731627</v>
      </c>
      <c r="AH1657" s="4">
        <f t="shared" si="844"/>
        <v>0</v>
      </c>
      <c r="AI1657" s="2">
        <v>2964</v>
      </c>
      <c r="AJ1657" s="2">
        <v>168</v>
      </c>
      <c r="AK1657" s="2">
        <v>252</v>
      </c>
      <c r="AL1657" s="2">
        <v>168</v>
      </c>
      <c r="AM1657" s="2">
        <v>130</v>
      </c>
      <c r="AN1657" s="2">
        <v>0</v>
      </c>
      <c r="AO1657" s="2">
        <v>0</v>
      </c>
      <c r="AP1657" s="2">
        <f t="shared" si="835"/>
        <v>3300</v>
      </c>
      <c r="AQ1657" s="2">
        <f t="shared" si="836"/>
        <v>105.028644175684</v>
      </c>
      <c r="AR1657" s="5">
        <f t="shared" si="837"/>
        <v>197.453851050286</v>
      </c>
    </row>
    <row r="1658" spans="1:44">
      <c r="A1658" s="2">
        <v>20260509</v>
      </c>
      <c r="B1658" s="2" t="s">
        <v>3358</v>
      </c>
      <c r="C1658" s="2" t="s">
        <v>3359</v>
      </c>
      <c r="D1658" s="2">
        <v>3</v>
      </c>
      <c r="E1658" s="2">
        <v>1</v>
      </c>
      <c r="F1658" s="2">
        <v>4</v>
      </c>
      <c r="G1658" s="2">
        <v>0</v>
      </c>
      <c r="H1658" s="2">
        <v>3</v>
      </c>
      <c r="I1658" s="3">
        <v>6</v>
      </c>
      <c r="J1658" s="2">
        <v>2</v>
      </c>
      <c r="K1658" s="2">
        <v>0</v>
      </c>
      <c r="L1658" s="2">
        <v>0</v>
      </c>
      <c r="M1658" s="2">
        <v>5</v>
      </c>
      <c r="N1658" s="2">
        <v>13</v>
      </c>
      <c r="O1658" s="2">
        <v>11</v>
      </c>
      <c r="P1658" s="3">
        <v>8</v>
      </c>
      <c r="Q1658" s="2">
        <v>6</v>
      </c>
      <c r="R1658" s="2">
        <v>3</v>
      </c>
      <c r="S1658" s="2">
        <v>0</v>
      </c>
      <c r="T1658" s="2">
        <v>0</v>
      </c>
      <c r="U1658" s="2">
        <v>0</v>
      </c>
      <c r="V1658" s="2">
        <f t="shared" si="838"/>
        <v>6</v>
      </c>
      <c r="W1658" s="2">
        <v>0</v>
      </c>
      <c r="X1658" s="2">
        <v>5</v>
      </c>
      <c r="Y1658" s="2">
        <v>1</v>
      </c>
      <c r="Z1658" s="2">
        <f t="shared" si="839"/>
        <v>6</v>
      </c>
      <c r="AA1658" s="2">
        <f t="shared" si="840"/>
        <v>24</v>
      </c>
      <c r="AB1658" s="2">
        <v>2174</v>
      </c>
      <c r="AC1658" s="20">
        <f t="shared" si="841"/>
        <v>1.10395584176633</v>
      </c>
      <c r="AD1658" s="2" t="s">
        <v>49</v>
      </c>
      <c r="AE1658" s="2">
        <v>188</v>
      </c>
      <c r="AF1658" s="21">
        <f t="shared" si="842"/>
        <v>1.10395584176633</v>
      </c>
      <c r="AG1658" s="4">
        <f t="shared" si="843"/>
        <v>0.275988960441582</v>
      </c>
      <c r="AH1658" s="4">
        <f t="shared" si="844"/>
        <v>0.275988960441582</v>
      </c>
      <c r="AI1658" s="2">
        <v>877</v>
      </c>
      <c r="AJ1658" s="2">
        <v>84</v>
      </c>
      <c r="AK1658" s="2">
        <v>163</v>
      </c>
      <c r="AL1658" s="2">
        <v>48</v>
      </c>
      <c r="AM1658" s="2">
        <v>37</v>
      </c>
      <c r="AN1658" s="2">
        <v>1</v>
      </c>
      <c r="AO1658" s="2">
        <v>0</v>
      </c>
      <c r="AP1658" s="2">
        <f t="shared" si="835"/>
        <v>1010</v>
      </c>
      <c r="AQ1658" s="2">
        <f t="shared" si="836"/>
        <v>41.701073492981</v>
      </c>
      <c r="AR1658" s="5">
        <f t="shared" si="837"/>
        <v>78.3980181668043</v>
      </c>
    </row>
    <row r="1659" spans="1:44">
      <c r="A1659" s="2">
        <v>20260509</v>
      </c>
      <c r="B1659" s="2" t="s">
        <v>3360</v>
      </c>
      <c r="C1659" s="2" t="s">
        <v>3361</v>
      </c>
      <c r="D1659" s="2">
        <v>1</v>
      </c>
      <c r="E1659" s="2">
        <v>1</v>
      </c>
      <c r="F1659" s="2">
        <v>3</v>
      </c>
      <c r="G1659" s="2">
        <v>1</v>
      </c>
      <c r="H1659" s="2">
        <v>3</v>
      </c>
      <c r="I1659" s="3">
        <v>4</v>
      </c>
      <c r="J1659" s="2">
        <v>0</v>
      </c>
      <c r="K1659" s="2">
        <v>0</v>
      </c>
      <c r="L1659" s="2">
        <v>0</v>
      </c>
      <c r="M1659" s="2">
        <v>7</v>
      </c>
      <c r="N1659" s="2">
        <v>7</v>
      </c>
      <c r="O1659" s="2">
        <v>4</v>
      </c>
      <c r="P1659" s="3">
        <v>1</v>
      </c>
      <c r="Q1659" s="2">
        <v>1</v>
      </c>
      <c r="R1659" s="2">
        <v>0</v>
      </c>
      <c r="S1659" s="2">
        <v>0</v>
      </c>
      <c r="T1659" s="2">
        <v>0</v>
      </c>
      <c r="U1659" s="2">
        <v>0</v>
      </c>
      <c r="V1659" s="2">
        <f t="shared" si="838"/>
        <v>1</v>
      </c>
      <c r="W1659" s="2">
        <v>0</v>
      </c>
      <c r="X1659" s="2">
        <v>0</v>
      </c>
      <c r="Y1659" s="2">
        <v>0</v>
      </c>
      <c r="Z1659" s="2">
        <f t="shared" si="839"/>
        <v>0</v>
      </c>
      <c r="AA1659" s="2">
        <f t="shared" si="840"/>
        <v>16</v>
      </c>
      <c r="AB1659" s="2">
        <v>2174</v>
      </c>
      <c r="AC1659" s="20">
        <f t="shared" si="841"/>
        <v>0.735970561177553</v>
      </c>
      <c r="AD1659" s="2" t="s">
        <v>49</v>
      </c>
      <c r="AE1659" s="2">
        <v>188</v>
      </c>
      <c r="AF1659" s="21">
        <f t="shared" si="842"/>
        <v>0.735970561177553</v>
      </c>
      <c r="AG1659" s="4">
        <f t="shared" si="843"/>
        <v>0.0459981600735971</v>
      </c>
      <c r="AH1659" s="4">
        <f t="shared" si="844"/>
        <v>0</v>
      </c>
      <c r="AI1659" s="2">
        <v>762</v>
      </c>
      <c r="AJ1659" s="2">
        <v>76</v>
      </c>
      <c r="AK1659" s="2">
        <v>188</v>
      </c>
      <c r="AL1659" s="2">
        <v>16</v>
      </c>
      <c r="AM1659" s="2">
        <v>30</v>
      </c>
      <c r="AN1659" s="2">
        <v>0</v>
      </c>
      <c r="AO1659" s="2">
        <v>0</v>
      </c>
      <c r="AP1659" s="2">
        <f t="shared" si="835"/>
        <v>854</v>
      </c>
      <c r="AQ1659" s="2">
        <f t="shared" si="836"/>
        <v>39.2824287028519</v>
      </c>
      <c r="AR1659" s="5">
        <f t="shared" si="837"/>
        <v>73.8509659613616</v>
      </c>
    </row>
    <row r="1660" spans="1:44">
      <c r="A1660" s="2">
        <v>20260509</v>
      </c>
      <c r="B1660" s="2" t="s">
        <v>3362</v>
      </c>
      <c r="C1660" s="2" t="s">
        <v>3363</v>
      </c>
      <c r="D1660" s="2">
        <v>2</v>
      </c>
      <c r="E1660" s="2">
        <v>1</v>
      </c>
      <c r="F1660" s="2">
        <v>11</v>
      </c>
      <c r="G1660" s="2">
        <v>0</v>
      </c>
      <c r="H1660" s="2">
        <v>2</v>
      </c>
      <c r="I1660" s="3">
        <v>10</v>
      </c>
      <c r="J1660" s="2">
        <v>3</v>
      </c>
      <c r="K1660" s="2">
        <v>0</v>
      </c>
      <c r="L1660" s="2">
        <v>0</v>
      </c>
      <c r="M1660" s="2">
        <v>5</v>
      </c>
      <c r="N1660" s="2">
        <v>14</v>
      </c>
      <c r="O1660" s="2">
        <v>9</v>
      </c>
      <c r="P1660" s="3">
        <v>6</v>
      </c>
      <c r="Q1660" s="2">
        <v>3</v>
      </c>
      <c r="R1660" s="2">
        <v>3</v>
      </c>
      <c r="S1660" s="2">
        <v>0</v>
      </c>
      <c r="T1660" s="2">
        <v>0</v>
      </c>
      <c r="U1660" s="2">
        <v>1</v>
      </c>
      <c r="V1660" s="2">
        <f t="shared" si="838"/>
        <v>4</v>
      </c>
      <c r="W1660" s="2">
        <v>0</v>
      </c>
      <c r="X1660" s="2">
        <v>8</v>
      </c>
      <c r="Y1660" s="2">
        <v>0</v>
      </c>
      <c r="Z1660" s="2">
        <f t="shared" si="839"/>
        <v>9</v>
      </c>
      <c r="AA1660" s="2">
        <f t="shared" si="840"/>
        <v>27</v>
      </c>
      <c r="AB1660" s="2">
        <v>2184</v>
      </c>
      <c r="AC1660" s="20">
        <f t="shared" si="841"/>
        <v>1.23626373626374</v>
      </c>
      <c r="AD1660" s="2" t="s">
        <v>49</v>
      </c>
      <c r="AE1660" s="2">
        <v>188</v>
      </c>
      <c r="AF1660" s="21">
        <f t="shared" si="842"/>
        <v>1.23626373626374</v>
      </c>
      <c r="AG1660" s="4">
        <f t="shared" si="843"/>
        <v>0.183150183150183</v>
      </c>
      <c r="AH1660" s="4">
        <f t="shared" si="844"/>
        <v>0.412087912087912</v>
      </c>
      <c r="AI1660" s="2">
        <v>1273</v>
      </c>
      <c r="AJ1660" s="2">
        <v>72</v>
      </c>
      <c r="AK1660" s="2">
        <v>200</v>
      </c>
      <c r="AL1660" s="2">
        <v>160</v>
      </c>
      <c r="AM1660" s="2">
        <v>24</v>
      </c>
      <c r="AN1660" s="2">
        <v>1</v>
      </c>
      <c r="AO1660" s="2">
        <v>0</v>
      </c>
      <c r="AP1660" s="2">
        <f t="shared" si="835"/>
        <v>1506</v>
      </c>
      <c r="AQ1660" s="2">
        <f t="shared" si="836"/>
        <v>69.2732290708372</v>
      </c>
      <c r="AR1660" s="5">
        <f t="shared" si="837"/>
        <v>130.233670653174</v>
      </c>
    </row>
    <row r="1661" spans="1:44">
      <c r="A1661" s="2">
        <v>20260509</v>
      </c>
      <c r="B1661" s="2" t="s">
        <v>3364</v>
      </c>
      <c r="C1661" s="2" t="s">
        <v>3365</v>
      </c>
      <c r="D1661" s="2">
        <v>0</v>
      </c>
      <c r="E1661" s="2">
        <v>0</v>
      </c>
      <c r="F1661" s="2">
        <v>4</v>
      </c>
      <c r="G1661" s="2">
        <v>1</v>
      </c>
      <c r="H1661" s="2">
        <v>2</v>
      </c>
      <c r="I1661" s="3">
        <v>3</v>
      </c>
      <c r="J1661" s="2">
        <v>0</v>
      </c>
      <c r="K1661" s="2">
        <v>0</v>
      </c>
      <c r="L1661" s="2">
        <v>0</v>
      </c>
      <c r="M1661" s="2">
        <v>1</v>
      </c>
      <c r="N1661" s="2">
        <v>6</v>
      </c>
      <c r="O1661" s="2">
        <v>5</v>
      </c>
      <c r="P1661" s="3">
        <v>3</v>
      </c>
      <c r="Q1661" s="2">
        <v>1</v>
      </c>
      <c r="R1661" s="2">
        <v>1</v>
      </c>
      <c r="S1661" s="2">
        <v>0</v>
      </c>
      <c r="T1661" s="2">
        <v>0</v>
      </c>
      <c r="U1661" s="2">
        <v>0</v>
      </c>
      <c r="V1661" s="2">
        <f t="shared" si="838"/>
        <v>1</v>
      </c>
      <c r="W1661" s="2">
        <v>2</v>
      </c>
      <c r="X1661" s="2">
        <v>3</v>
      </c>
      <c r="Y1661" s="2">
        <v>0</v>
      </c>
      <c r="Z1661" s="2">
        <f t="shared" si="839"/>
        <v>5</v>
      </c>
      <c r="AA1661" s="2">
        <f t="shared" si="840"/>
        <v>10</v>
      </c>
      <c r="AB1661" s="2">
        <v>2183</v>
      </c>
      <c r="AC1661" s="20">
        <f t="shared" si="841"/>
        <v>0.458085203847916</v>
      </c>
      <c r="AD1661" s="2" t="s">
        <v>49</v>
      </c>
      <c r="AE1661" s="2">
        <v>188</v>
      </c>
      <c r="AF1661" s="21">
        <f t="shared" si="842"/>
        <v>0.458085203847916</v>
      </c>
      <c r="AG1661" s="4">
        <f t="shared" si="843"/>
        <v>0.0458085203847916</v>
      </c>
      <c r="AH1661" s="4">
        <f t="shared" si="844"/>
        <v>0.229042601923958</v>
      </c>
      <c r="AI1661" s="2">
        <v>1226</v>
      </c>
      <c r="AJ1661" s="2">
        <v>85</v>
      </c>
      <c r="AK1661" s="2">
        <v>225</v>
      </c>
      <c r="AL1661" s="2">
        <v>19</v>
      </c>
      <c r="AM1661" s="2">
        <v>33</v>
      </c>
      <c r="AN1661" s="2">
        <v>0</v>
      </c>
      <c r="AO1661" s="2">
        <v>0</v>
      </c>
      <c r="AP1661" s="2">
        <f t="shared" si="835"/>
        <v>1330</v>
      </c>
      <c r="AQ1661" s="2">
        <f t="shared" si="836"/>
        <v>60.8974358974359</v>
      </c>
      <c r="AR1661" s="5">
        <f t="shared" si="837"/>
        <v>114.487179487179</v>
      </c>
    </row>
    <row r="1662" spans="1:44">
      <c r="A1662" s="2">
        <v>20260509</v>
      </c>
      <c r="B1662" s="2" t="s">
        <v>3366</v>
      </c>
      <c r="C1662" s="2" t="s">
        <v>3367</v>
      </c>
      <c r="D1662" s="2">
        <v>7</v>
      </c>
      <c r="E1662" s="2">
        <v>12</v>
      </c>
      <c r="F1662" s="2">
        <v>22</v>
      </c>
      <c r="G1662" s="2">
        <v>10</v>
      </c>
      <c r="H1662" s="2">
        <v>20</v>
      </c>
      <c r="I1662" s="3">
        <v>13</v>
      </c>
      <c r="J1662" s="2">
        <v>10</v>
      </c>
      <c r="K1662" s="2">
        <v>15</v>
      </c>
      <c r="L1662" s="2">
        <v>0</v>
      </c>
      <c r="M1662" s="2">
        <v>17</v>
      </c>
      <c r="N1662" s="2">
        <v>11</v>
      </c>
      <c r="O1662" s="2">
        <v>54</v>
      </c>
      <c r="P1662" s="3">
        <v>17</v>
      </c>
      <c r="Q1662" s="2">
        <v>8</v>
      </c>
      <c r="R1662" s="2">
        <v>6</v>
      </c>
      <c r="S1662" s="2">
        <v>1</v>
      </c>
      <c r="T1662" s="2">
        <v>31</v>
      </c>
      <c r="U1662" s="2">
        <v>4</v>
      </c>
      <c r="V1662" s="2">
        <f t="shared" si="838"/>
        <v>44</v>
      </c>
      <c r="W1662" s="2">
        <v>1</v>
      </c>
      <c r="X1662" s="2">
        <v>3</v>
      </c>
      <c r="Y1662" s="2">
        <v>0</v>
      </c>
      <c r="Z1662" s="2">
        <f t="shared" si="839"/>
        <v>8</v>
      </c>
      <c r="AA1662" s="2">
        <f t="shared" si="840"/>
        <v>137</v>
      </c>
      <c r="AB1662" s="2">
        <v>2444</v>
      </c>
      <c r="AC1662" s="20">
        <f t="shared" si="841"/>
        <v>5.60556464811784</v>
      </c>
      <c r="AD1662" s="2" t="s">
        <v>49</v>
      </c>
      <c r="AE1662" s="2">
        <v>188</v>
      </c>
      <c r="AF1662" s="21">
        <f t="shared" si="842"/>
        <v>5.60556464811784</v>
      </c>
      <c r="AG1662" s="4">
        <f t="shared" si="843"/>
        <v>1.80032733224223</v>
      </c>
      <c r="AH1662" s="4">
        <f t="shared" si="844"/>
        <v>0.327332242225859</v>
      </c>
      <c r="AI1662" s="2">
        <v>2249</v>
      </c>
      <c r="AJ1662" s="2">
        <v>178</v>
      </c>
      <c r="AK1662" s="2">
        <v>190</v>
      </c>
      <c r="AL1662" s="2">
        <v>100</v>
      </c>
      <c r="AM1662" s="2">
        <v>98</v>
      </c>
      <c r="AN1662" s="2">
        <v>1</v>
      </c>
      <c r="AO1662" s="2">
        <v>0</v>
      </c>
      <c r="AP1662" s="2">
        <f t="shared" si="835"/>
        <v>2528</v>
      </c>
      <c r="AQ1662" s="2">
        <f t="shared" si="836"/>
        <v>115.803939532753</v>
      </c>
      <c r="AR1662" s="5">
        <f t="shared" si="837"/>
        <v>217.711406321576</v>
      </c>
    </row>
    <row r="1663" spans="1:44">
      <c r="A1663" s="2">
        <v>20260509</v>
      </c>
      <c r="B1663" s="2" t="s">
        <v>3368</v>
      </c>
      <c r="C1663" s="2" t="s">
        <v>3369</v>
      </c>
      <c r="D1663" s="2">
        <v>3</v>
      </c>
      <c r="E1663" s="2">
        <v>15</v>
      </c>
      <c r="F1663" s="2">
        <v>8</v>
      </c>
      <c r="G1663" s="2">
        <v>6</v>
      </c>
      <c r="H1663" s="2">
        <v>5</v>
      </c>
      <c r="I1663" s="3">
        <v>27</v>
      </c>
      <c r="J1663" s="2">
        <v>11</v>
      </c>
      <c r="K1663" s="2">
        <v>2</v>
      </c>
      <c r="L1663" s="2">
        <v>0</v>
      </c>
      <c r="M1663" s="2">
        <v>3</v>
      </c>
      <c r="N1663" s="2">
        <v>29</v>
      </c>
      <c r="O1663" s="2">
        <v>22</v>
      </c>
      <c r="P1663" s="3">
        <v>3</v>
      </c>
      <c r="Q1663" s="2">
        <v>8</v>
      </c>
      <c r="R1663" s="2">
        <v>8</v>
      </c>
      <c r="S1663" s="2">
        <v>0</v>
      </c>
      <c r="T1663" s="2">
        <v>4</v>
      </c>
      <c r="U1663" s="2">
        <v>0</v>
      </c>
      <c r="V1663" s="2">
        <f t="shared" si="838"/>
        <v>12</v>
      </c>
      <c r="W1663" s="2">
        <v>0</v>
      </c>
      <c r="X1663" s="2">
        <v>8</v>
      </c>
      <c r="Y1663" s="2">
        <v>0</v>
      </c>
      <c r="Z1663" s="2">
        <f t="shared" si="839"/>
        <v>8</v>
      </c>
      <c r="AA1663" s="2">
        <f t="shared" si="840"/>
        <v>61</v>
      </c>
      <c r="AB1663" s="2">
        <v>2403</v>
      </c>
      <c r="AC1663" s="20">
        <f t="shared" si="841"/>
        <v>2.5384935497295</v>
      </c>
      <c r="AD1663" s="2" t="s">
        <v>49</v>
      </c>
      <c r="AE1663" s="2">
        <v>188</v>
      </c>
      <c r="AF1663" s="21">
        <f t="shared" si="842"/>
        <v>2.5384935497295</v>
      </c>
      <c r="AG1663" s="4">
        <f t="shared" si="843"/>
        <v>0.499375780274657</v>
      </c>
      <c r="AH1663" s="4">
        <f t="shared" si="844"/>
        <v>0.332917186849771</v>
      </c>
      <c r="AI1663" s="2">
        <v>2366</v>
      </c>
      <c r="AJ1663" s="2">
        <v>141</v>
      </c>
      <c r="AK1663" s="2">
        <v>214</v>
      </c>
      <c r="AL1663" s="2">
        <v>39</v>
      </c>
      <c r="AM1663" s="2">
        <v>32</v>
      </c>
      <c r="AN1663" s="2">
        <v>7</v>
      </c>
      <c r="AO1663" s="2">
        <v>0</v>
      </c>
      <c r="AP1663" s="2">
        <f t="shared" si="835"/>
        <v>2553</v>
      </c>
      <c r="AQ1663" s="2">
        <f t="shared" si="836"/>
        <v>104.459901800327</v>
      </c>
      <c r="AR1663" s="5">
        <f t="shared" si="837"/>
        <v>196.384615384615</v>
      </c>
    </row>
    <row r="1664" spans="1:44">
      <c r="A1664" s="2">
        <v>20260510</v>
      </c>
      <c r="B1664" s="2" t="s">
        <v>3370</v>
      </c>
      <c r="C1664" s="2" t="s">
        <v>3371</v>
      </c>
      <c r="D1664" s="2">
        <v>7</v>
      </c>
      <c r="E1664" s="2">
        <v>15</v>
      </c>
      <c r="F1664" s="2">
        <v>20</v>
      </c>
      <c r="G1664" s="2">
        <v>9</v>
      </c>
      <c r="H1664" s="2">
        <v>11</v>
      </c>
      <c r="I1664" s="3">
        <v>21</v>
      </c>
      <c r="J1664" s="2">
        <v>8</v>
      </c>
      <c r="K1664" s="2">
        <v>26</v>
      </c>
      <c r="L1664" s="2">
        <v>0</v>
      </c>
      <c r="M1664" s="2">
        <v>3</v>
      </c>
      <c r="N1664" s="2">
        <v>18</v>
      </c>
      <c r="O1664" s="2">
        <v>56</v>
      </c>
      <c r="P1664" s="3">
        <v>11</v>
      </c>
      <c r="Q1664" s="2">
        <v>12</v>
      </c>
      <c r="R1664" s="2">
        <v>9</v>
      </c>
      <c r="S1664" s="2">
        <v>2</v>
      </c>
      <c r="T1664" s="2">
        <v>18</v>
      </c>
      <c r="U1664" s="2">
        <v>1</v>
      </c>
      <c r="V1664" s="2">
        <f t="shared" si="838"/>
        <v>33</v>
      </c>
      <c r="W1664" s="2">
        <v>2</v>
      </c>
      <c r="X1664" s="2">
        <v>2</v>
      </c>
      <c r="Y1664" s="2">
        <v>0</v>
      </c>
      <c r="Z1664" s="2">
        <f t="shared" si="839"/>
        <v>5</v>
      </c>
      <c r="AA1664" s="2">
        <f t="shared" si="840"/>
        <v>108</v>
      </c>
      <c r="AB1664" s="2">
        <v>2444</v>
      </c>
      <c r="AC1664" s="20">
        <f t="shared" si="841"/>
        <v>4.4189852700491</v>
      </c>
      <c r="AD1664" s="2" t="s">
        <v>49</v>
      </c>
      <c r="AE1664" s="2">
        <v>188</v>
      </c>
      <c r="AF1664" s="21">
        <f t="shared" si="842"/>
        <v>4.4189852700491</v>
      </c>
      <c r="AG1664" s="4">
        <f t="shared" si="843"/>
        <v>1.35024549918167</v>
      </c>
      <c r="AH1664" s="4">
        <f t="shared" si="844"/>
        <v>0.204582651391162</v>
      </c>
      <c r="AI1664" s="2">
        <v>4387</v>
      </c>
      <c r="AJ1664" s="2">
        <v>242</v>
      </c>
      <c r="AK1664" s="2">
        <v>259</v>
      </c>
      <c r="AL1664" s="2">
        <v>89</v>
      </c>
      <c r="AM1664" s="2">
        <v>86</v>
      </c>
      <c r="AN1664" s="2">
        <v>2</v>
      </c>
      <c r="AO1664" s="2">
        <v>0</v>
      </c>
      <c r="AP1664" s="2">
        <f t="shared" si="835"/>
        <v>4720</v>
      </c>
      <c r="AQ1664" s="2">
        <f t="shared" si="836"/>
        <v>196.421140241365</v>
      </c>
      <c r="AR1664" s="5">
        <f t="shared" si="837"/>
        <v>369.271743653766</v>
      </c>
    </row>
    <row r="1665" spans="1:44">
      <c r="A1665" s="2">
        <v>20260510</v>
      </c>
      <c r="B1665" s="2" t="s">
        <v>3372</v>
      </c>
      <c r="C1665" s="2" t="s">
        <v>3373</v>
      </c>
      <c r="D1665" s="2">
        <v>4</v>
      </c>
      <c r="E1665" s="2">
        <v>3</v>
      </c>
      <c r="F1665" s="2">
        <v>13</v>
      </c>
      <c r="G1665" s="2">
        <v>7</v>
      </c>
      <c r="H1665" s="2">
        <v>2</v>
      </c>
      <c r="I1665" s="3">
        <v>9</v>
      </c>
      <c r="J1665" s="2">
        <v>6</v>
      </c>
      <c r="K1665" s="2">
        <v>17</v>
      </c>
      <c r="L1665" s="2">
        <v>1</v>
      </c>
      <c r="M1665" s="2">
        <v>2</v>
      </c>
      <c r="N1665" s="2">
        <v>11</v>
      </c>
      <c r="O1665" s="2">
        <v>32</v>
      </c>
      <c r="P1665" s="3">
        <v>3</v>
      </c>
      <c r="Q1665" s="2">
        <v>5</v>
      </c>
      <c r="R1665" s="2">
        <v>1</v>
      </c>
      <c r="S1665" s="2">
        <v>3</v>
      </c>
      <c r="T1665" s="2">
        <v>3</v>
      </c>
      <c r="U1665" s="2">
        <v>2</v>
      </c>
      <c r="V1665" s="2">
        <f t="shared" si="838"/>
        <v>13</v>
      </c>
      <c r="W1665" s="2">
        <v>1</v>
      </c>
      <c r="X1665" s="2">
        <v>5</v>
      </c>
      <c r="Y1665" s="2">
        <v>0</v>
      </c>
      <c r="Z1665" s="2">
        <f t="shared" si="839"/>
        <v>8</v>
      </c>
      <c r="AA1665" s="2">
        <f t="shared" si="840"/>
        <v>52</v>
      </c>
      <c r="AB1665" s="2">
        <v>2314</v>
      </c>
      <c r="AC1665" s="20">
        <f t="shared" si="841"/>
        <v>2.24719101123596</v>
      </c>
      <c r="AD1665" s="2" t="s">
        <v>49</v>
      </c>
      <c r="AE1665" s="2">
        <v>188</v>
      </c>
      <c r="AF1665" s="21">
        <f t="shared" si="842"/>
        <v>2.24719101123596</v>
      </c>
      <c r="AG1665" s="4">
        <f t="shared" si="843"/>
        <v>0.561797752808989</v>
      </c>
      <c r="AH1665" s="4">
        <f t="shared" si="844"/>
        <v>0.345721694036301</v>
      </c>
      <c r="AI1665" s="2">
        <v>2744</v>
      </c>
      <c r="AJ1665" s="2">
        <v>130</v>
      </c>
      <c r="AK1665" s="2">
        <v>236</v>
      </c>
      <c r="AL1665" s="2">
        <v>22</v>
      </c>
      <c r="AM1665" s="2">
        <v>33</v>
      </c>
      <c r="AN1665" s="2">
        <v>0</v>
      </c>
      <c r="AO1665" s="2">
        <v>0</v>
      </c>
      <c r="AP1665" s="2">
        <f t="shared" si="835"/>
        <v>2896</v>
      </c>
      <c r="AQ1665" s="2">
        <f t="shared" si="836"/>
        <v>118.494271685761</v>
      </c>
      <c r="AR1665" s="5">
        <f t="shared" si="837"/>
        <v>222.769230769231</v>
      </c>
    </row>
    <row r="1666" spans="1:44">
      <c r="A1666" s="2">
        <v>20260510</v>
      </c>
      <c r="B1666" s="2" t="s">
        <v>3374</v>
      </c>
      <c r="C1666" s="2" t="s">
        <v>3375</v>
      </c>
      <c r="D1666" s="2">
        <v>9</v>
      </c>
      <c r="E1666" s="2">
        <v>13</v>
      </c>
      <c r="F1666" s="2">
        <v>24</v>
      </c>
      <c r="G1666" s="2">
        <v>14</v>
      </c>
      <c r="H1666" s="2">
        <v>20</v>
      </c>
      <c r="I1666" s="3">
        <v>8</v>
      </c>
      <c r="J1666" s="2">
        <v>8</v>
      </c>
      <c r="K1666" s="2">
        <v>23</v>
      </c>
      <c r="L1666" s="2">
        <v>0</v>
      </c>
      <c r="M1666" s="2">
        <v>11</v>
      </c>
      <c r="N1666" s="2">
        <v>17</v>
      </c>
      <c r="O1666" s="2">
        <v>60</v>
      </c>
      <c r="P1666" s="3">
        <v>19</v>
      </c>
      <c r="Q1666" s="2">
        <v>19</v>
      </c>
      <c r="R1666" s="2">
        <v>13</v>
      </c>
      <c r="S1666" s="2">
        <v>2</v>
      </c>
      <c r="T1666" s="2">
        <v>21</v>
      </c>
      <c r="U1666" s="2">
        <v>2</v>
      </c>
      <c r="V1666" s="2">
        <f t="shared" si="838"/>
        <v>44</v>
      </c>
      <c r="W1666" s="2">
        <v>6</v>
      </c>
      <c r="X1666" s="2">
        <v>5</v>
      </c>
      <c r="Y1666" s="2">
        <v>0</v>
      </c>
      <c r="Z1666" s="2">
        <f t="shared" si="839"/>
        <v>13</v>
      </c>
      <c r="AA1666" s="2">
        <f t="shared" si="840"/>
        <v>126</v>
      </c>
      <c r="AB1666" s="2">
        <v>2484</v>
      </c>
      <c r="AC1666" s="20">
        <f t="shared" si="841"/>
        <v>5.07246376811594</v>
      </c>
      <c r="AD1666" s="2" t="s">
        <v>49</v>
      </c>
      <c r="AE1666" s="2">
        <v>188</v>
      </c>
      <c r="AF1666" s="21">
        <f t="shared" si="842"/>
        <v>5.07246376811594</v>
      </c>
      <c r="AG1666" s="4">
        <f t="shared" si="843"/>
        <v>1.77133655394525</v>
      </c>
      <c r="AH1666" s="4">
        <f t="shared" si="844"/>
        <v>0.523349436392915</v>
      </c>
      <c r="AI1666" s="2">
        <v>3526</v>
      </c>
      <c r="AJ1666" s="2">
        <v>224</v>
      </c>
      <c r="AK1666" s="2">
        <v>193</v>
      </c>
      <c r="AL1666" s="2">
        <v>66</v>
      </c>
      <c r="AM1666" s="2">
        <v>69</v>
      </c>
      <c r="AN1666" s="2">
        <v>1</v>
      </c>
      <c r="AO1666" s="2">
        <v>0</v>
      </c>
      <c r="AP1666" s="2">
        <f t="shared" si="835"/>
        <v>3817</v>
      </c>
      <c r="AQ1666" s="2">
        <f t="shared" si="836"/>
        <v>164.95246326707</v>
      </c>
      <c r="AR1666" s="5">
        <f t="shared" si="837"/>
        <v>310.110630942092</v>
      </c>
    </row>
    <row r="1667" spans="1:44">
      <c r="A1667" s="2">
        <v>20260510</v>
      </c>
      <c r="B1667" s="2" t="s">
        <v>3376</v>
      </c>
      <c r="C1667" s="2" t="s">
        <v>3377</v>
      </c>
      <c r="D1667" s="2">
        <v>6</v>
      </c>
      <c r="E1667" s="2">
        <v>29</v>
      </c>
      <c r="F1667" s="2">
        <v>31</v>
      </c>
      <c r="G1667" s="2">
        <v>23</v>
      </c>
      <c r="H1667" s="2">
        <v>13</v>
      </c>
      <c r="I1667" s="3">
        <v>21</v>
      </c>
      <c r="J1667" s="2">
        <v>12</v>
      </c>
      <c r="K1667" s="2">
        <v>12</v>
      </c>
      <c r="L1667" s="2">
        <v>0</v>
      </c>
      <c r="M1667" s="2">
        <v>8</v>
      </c>
      <c r="N1667" s="2">
        <v>11</v>
      </c>
      <c r="O1667" s="2">
        <v>40</v>
      </c>
      <c r="P1667" s="3">
        <v>11</v>
      </c>
      <c r="Q1667" s="2">
        <v>9</v>
      </c>
      <c r="R1667" s="2">
        <v>12</v>
      </c>
      <c r="S1667" s="2">
        <v>3</v>
      </c>
      <c r="T1667" s="2">
        <v>8</v>
      </c>
      <c r="U1667" s="2">
        <v>1</v>
      </c>
      <c r="V1667" s="2">
        <f t="shared" si="838"/>
        <v>21</v>
      </c>
      <c r="W1667" s="2">
        <v>4</v>
      </c>
      <c r="X1667" s="2">
        <v>9</v>
      </c>
      <c r="Y1667" s="2">
        <v>0</v>
      </c>
      <c r="Z1667" s="2">
        <f t="shared" si="839"/>
        <v>14</v>
      </c>
      <c r="AA1667" s="2">
        <f t="shared" si="840"/>
        <v>109</v>
      </c>
      <c r="AB1667" s="2">
        <v>2483</v>
      </c>
      <c r="AC1667" s="20">
        <f t="shared" si="841"/>
        <v>4.38985098670963</v>
      </c>
      <c r="AD1667" s="2" t="s">
        <v>49</v>
      </c>
      <c r="AE1667" s="2">
        <v>188</v>
      </c>
      <c r="AF1667" s="21">
        <f t="shared" si="842"/>
        <v>4.38985098670963</v>
      </c>
      <c r="AG1667" s="4">
        <f t="shared" si="843"/>
        <v>0.845751107531212</v>
      </c>
      <c r="AH1667" s="4">
        <f t="shared" si="844"/>
        <v>0.563834071687475</v>
      </c>
      <c r="AO1667" s="2">
        <v>0</v>
      </c>
      <c r="AP1667" s="2">
        <f t="shared" si="835"/>
        <v>0</v>
      </c>
      <c r="AQ1667" s="2">
        <f t="shared" si="836"/>
        <v>0</v>
      </c>
      <c r="AR1667" s="5">
        <f t="shared" si="837"/>
        <v>0</v>
      </c>
    </row>
    <row r="1668" spans="1:44">
      <c r="A1668" s="2">
        <v>20260510</v>
      </c>
      <c r="B1668" s="2" t="s">
        <v>3378</v>
      </c>
      <c r="C1668" s="2" t="s">
        <v>3379</v>
      </c>
      <c r="D1668" s="2">
        <v>5</v>
      </c>
      <c r="E1668" s="2">
        <v>2</v>
      </c>
      <c r="F1668" s="2">
        <v>17</v>
      </c>
      <c r="G1668" s="2">
        <v>7</v>
      </c>
      <c r="H1668" s="2">
        <v>8</v>
      </c>
      <c r="I1668" s="3">
        <v>14</v>
      </c>
      <c r="J1668" s="2">
        <v>13</v>
      </c>
      <c r="K1668" s="2">
        <v>26</v>
      </c>
      <c r="L1668" s="2">
        <v>1</v>
      </c>
      <c r="M1668" s="2">
        <v>3</v>
      </c>
      <c r="N1668" s="2">
        <v>12</v>
      </c>
      <c r="O1668" s="2">
        <v>36</v>
      </c>
      <c r="P1668" s="3">
        <v>10</v>
      </c>
      <c r="Q1668" s="2">
        <v>7</v>
      </c>
      <c r="R1668" s="2">
        <v>4</v>
      </c>
      <c r="S1668" s="2">
        <v>0</v>
      </c>
      <c r="T1668" s="2">
        <v>9</v>
      </c>
      <c r="U1668" s="2">
        <v>3</v>
      </c>
      <c r="V1668" s="2">
        <f t="shared" si="838"/>
        <v>19</v>
      </c>
      <c r="W1668" s="2">
        <v>7</v>
      </c>
      <c r="X1668" s="2">
        <v>4</v>
      </c>
      <c r="Y1668" s="2">
        <v>0</v>
      </c>
      <c r="Z1668" s="2">
        <f t="shared" si="839"/>
        <v>14</v>
      </c>
      <c r="AA1668" s="2">
        <f t="shared" si="840"/>
        <v>94</v>
      </c>
      <c r="AB1668" s="2">
        <v>2463</v>
      </c>
      <c r="AC1668" s="20">
        <f t="shared" si="841"/>
        <v>3.81648396264718</v>
      </c>
      <c r="AD1668" s="2" t="s">
        <v>49</v>
      </c>
      <c r="AE1668" s="2">
        <v>188</v>
      </c>
      <c r="AF1668" s="21">
        <f t="shared" si="842"/>
        <v>3.81648396264718</v>
      </c>
      <c r="AG1668" s="4">
        <f t="shared" si="843"/>
        <v>0.771416971173366</v>
      </c>
      <c r="AH1668" s="4">
        <f t="shared" si="844"/>
        <v>0.568412505075112</v>
      </c>
      <c r="AO1668" s="2">
        <v>0</v>
      </c>
      <c r="AP1668" s="2">
        <f t="shared" si="835"/>
        <v>0</v>
      </c>
      <c r="AQ1668" s="2">
        <f t="shared" si="836"/>
        <v>0</v>
      </c>
      <c r="AR1668" s="5">
        <f t="shared" si="837"/>
        <v>0</v>
      </c>
    </row>
    <row r="1669" spans="1:44">
      <c r="A1669" s="2">
        <v>20260510</v>
      </c>
      <c r="B1669" s="2" t="s">
        <v>3380</v>
      </c>
      <c r="C1669" s="2" t="s">
        <v>3381</v>
      </c>
      <c r="D1669" s="2">
        <v>5</v>
      </c>
      <c r="E1669" s="2">
        <v>0</v>
      </c>
      <c r="F1669" s="2">
        <v>8</v>
      </c>
      <c r="G1669" s="2">
        <v>1</v>
      </c>
      <c r="H1669" s="2">
        <v>2</v>
      </c>
      <c r="I1669" s="3">
        <v>5</v>
      </c>
      <c r="J1669" s="2">
        <v>3</v>
      </c>
      <c r="K1669" s="2">
        <v>0</v>
      </c>
      <c r="L1669" s="2">
        <v>0</v>
      </c>
      <c r="M1669" s="2">
        <v>2</v>
      </c>
      <c r="N1669" s="2">
        <v>1</v>
      </c>
      <c r="O1669" s="2">
        <v>20</v>
      </c>
      <c r="P1669" s="3">
        <v>4</v>
      </c>
      <c r="Q1669" s="2">
        <v>8</v>
      </c>
      <c r="R1669" s="2">
        <v>1</v>
      </c>
      <c r="S1669" s="2">
        <v>2</v>
      </c>
      <c r="T1669" s="2">
        <v>1</v>
      </c>
      <c r="U1669" s="2">
        <v>0</v>
      </c>
      <c r="V1669" s="2">
        <f t="shared" si="838"/>
        <v>11</v>
      </c>
      <c r="W1669" s="2">
        <v>3</v>
      </c>
      <c r="X1669" s="2">
        <v>1</v>
      </c>
      <c r="Y1669" s="2">
        <v>0</v>
      </c>
      <c r="Z1669" s="2">
        <f t="shared" si="839"/>
        <v>4</v>
      </c>
      <c r="AA1669" s="2">
        <f t="shared" si="840"/>
        <v>18</v>
      </c>
      <c r="AB1669" s="2">
        <v>2234</v>
      </c>
      <c r="AC1669" s="20">
        <f t="shared" si="841"/>
        <v>0.805729632945389</v>
      </c>
      <c r="AD1669" s="2" t="s">
        <v>49</v>
      </c>
      <c r="AE1669" s="2">
        <v>188</v>
      </c>
      <c r="AF1669" s="21">
        <f t="shared" si="842"/>
        <v>0.805729632945389</v>
      </c>
      <c r="AG1669" s="4">
        <f t="shared" si="843"/>
        <v>0.492390331244405</v>
      </c>
      <c r="AH1669" s="4">
        <f t="shared" si="844"/>
        <v>0.17905102954342</v>
      </c>
      <c r="AO1669" s="2">
        <v>0</v>
      </c>
      <c r="AP1669" s="2">
        <f t="shared" si="835"/>
        <v>0</v>
      </c>
      <c r="AQ1669" s="2">
        <f t="shared" si="836"/>
        <v>0</v>
      </c>
      <c r="AR1669" s="5">
        <f t="shared" si="837"/>
        <v>0</v>
      </c>
    </row>
    <row r="1670" spans="1:44">
      <c r="A1670" s="2">
        <v>20260510</v>
      </c>
      <c r="B1670" s="2" t="s">
        <v>3382</v>
      </c>
      <c r="C1670" s="2" t="s">
        <v>3383</v>
      </c>
      <c r="D1670" s="2">
        <v>1</v>
      </c>
      <c r="E1670" s="2">
        <v>5</v>
      </c>
      <c r="F1670" s="2">
        <v>3</v>
      </c>
      <c r="G1670" s="2">
        <v>8</v>
      </c>
      <c r="H1670" s="2">
        <v>10</v>
      </c>
      <c r="I1670" s="3">
        <v>10</v>
      </c>
      <c r="J1670" s="2">
        <v>16</v>
      </c>
      <c r="K1670" s="2">
        <v>3</v>
      </c>
      <c r="L1670" s="2">
        <v>0</v>
      </c>
      <c r="M1670" s="2">
        <v>8</v>
      </c>
      <c r="N1670" s="2">
        <v>21</v>
      </c>
      <c r="O1670" s="2">
        <v>40</v>
      </c>
      <c r="P1670" s="3">
        <v>11</v>
      </c>
      <c r="Q1670" s="2">
        <v>7</v>
      </c>
      <c r="R1670" s="2">
        <v>7</v>
      </c>
      <c r="S1670" s="2">
        <v>4</v>
      </c>
      <c r="T1670" s="2">
        <v>15</v>
      </c>
      <c r="U1670" s="2">
        <v>0</v>
      </c>
      <c r="V1670" s="2">
        <f t="shared" si="838"/>
        <v>26</v>
      </c>
      <c r="W1670" s="2">
        <v>7</v>
      </c>
      <c r="X1670" s="2">
        <v>4</v>
      </c>
      <c r="Y1670" s="2">
        <v>0</v>
      </c>
      <c r="Z1670" s="2">
        <f t="shared" si="839"/>
        <v>11</v>
      </c>
      <c r="AA1670" s="2">
        <f t="shared" si="840"/>
        <v>81</v>
      </c>
      <c r="AB1670" s="2">
        <v>2404</v>
      </c>
      <c r="AC1670" s="20">
        <f t="shared" si="841"/>
        <v>3.369384359401</v>
      </c>
      <c r="AD1670" s="2" t="s">
        <v>49</v>
      </c>
      <c r="AE1670" s="2">
        <v>188</v>
      </c>
      <c r="AF1670" s="21">
        <f t="shared" si="842"/>
        <v>3.369384359401</v>
      </c>
      <c r="AG1670" s="4">
        <f t="shared" si="843"/>
        <v>1.08153078202995</v>
      </c>
      <c r="AH1670" s="4">
        <f t="shared" si="844"/>
        <v>0.45757071547421</v>
      </c>
      <c r="AO1670" s="2">
        <v>0</v>
      </c>
      <c r="AP1670" s="2">
        <f t="shared" si="835"/>
        <v>0</v>
      </c>
      <c r="AQ1670" s="2">
        <f t="shared" si="836"/>
        <v>0</v>
      </c>
      <c r="AR1670" s="5">
        <f t="shared" si="837"/>
        <v>0</v>
      </c>
    </row>
    <row r="1671" spans="1:44">
      <c r="A1671" s="2">
        <v>20260510</v>
      </c>
      <c r="B1671" s="2" t="s">
        <v>3384</v>
      </c>
      <c r="C1671" s="2" t="s">
        <v>3385</v>
      </c>
      <c r="D1671" s="2">
        <v>3</v>
      </c>
      <c r="E1671" s="2">
        <v>36</v>
      </c>
      <c r="F1671" s="2">
        <v>14</v>
      </c>
      <c r="G1671" s="2">
        <v>5</v>
      </c>
      <c r="H1671" s="2">
        <v>17</v>
      </c>
      <c r="I1671" s="3">
        <v>7</v>
      </c>
      <c r="J1671" s="2">
        <v>15</v>
      </c>
      <c r="K1671" s="2">
        <v>15</v>
      </c>
      <c r="L1671" s="2">
        <v>1</v>
      </c>
      <c r="M1671" s="2">
        <v>7</v>
      </c>
      <c r="N1671" s="2">
        <v>32</v>
      </c>
      <c r="O1671" s="2">
        <v>41</v>
      </c>
      <c r="P1671" s="3">
        <v>10</v>
      </c>
      <c r="Q1671" s="2">
        <v>16</v>
      </c>
      <c r="R1671" s="2">
        <v>67</v>
      </c>
      <c r="S1671" s="2">
        <v>3</v>
      </c>
      <c r="T1671" s="2">
        <v>8</v>
      </c>
      <c r="U1671" s="2">
        <v>1</v>
      </c>
      <c r="V1671" s="2">
        <f t="shared" si="838"/>
        <v>28</v>
      </c>
      <c r="W1671" s="2">
        <v>7</v>
      </c>
      <c r="X1671" s="2">
        <v>3</v>
      </c>
      <c r="Y1671" s="2">
        <v>0</v>
      </c>
      <c r="Z1671" s="2">
        <f t="shared" si="839"/>
        <v>11</v>
      </c>
      <c r="AA1671" s="2">
        <f t="shared" si="840"/>
        <v>86</v>
      </c>
      <c r="AB1671" s="2">
        <v>2643</v>
      </c>
      <c r="AC1671" s="20">
        <f t="shared" si="841"/>
        <v>3.25387816874763</v>
      </c>
      <c r="AD1671" s="2" t="s">
        <v>49</v>
      </c>
      <c r="AE1671" s="2">
        <v>188</v>
      </c>
      <c r="AF1671" s="21">
        <f t="shared" si="842"/>
        <v>3.25387816874763</v>
      </c>
      <c r="AG1671" s="4">
        <f t="shared" si="843"/>
        <v>1.05940219447597</v>
      </c>
      <c r="AH1671" s="4">
        <f t="shared" si="844"/>
        <v>0.416193719258418</v>
      </c>
      <c r="AI1671" s="2">
        <v>5779</v>
      </c>
      <c r="AJ1671" s="2">
        <v>382</v>
      </c>
      <c r="AK1671" s="2">
        <v>255</v>
      </c>
      <c r="AL1671" s="2">
        <v>72</v>
      </c>
      <c r="AM1671" s="2">
        <v>104</v>
      </c>
      <c r="AN1671" s="2">
        <v>3</v>
      </c>
      <c r="AO1671" s="2">
        <v>0</v>
      </c>
      <c r="AP1671" s="2">
        <f t="shared" si="835"/>
        <v>6236</v>
      </c>
      <c r="AQ1671" s="2">
        <f t="shared" si="836"/>
        <v>259.400998336106</v>
      </c>
      <c r="AR1671" s="5">
        <f t="shared" si="837"/>
        <v>487.67387687188</v>
      </c>
    </row>
    <row r="1672" spans="1:44">
      <c r="A1672" s="2">
        <v>20260510</v>
      </c>
      <c r="B1672" s="2" t="s">
        <v>3386</v>
      </c>
      <c r="C1672" s="2" t="s">
        <v>3387</v>
      </c>
      <c r="D1672" s="2">
        <v>3</v>
      </c>
      <c r="E1672" s="2">
        <v>0</v>
      </c>
      <c r="F1672" s="2">
        <v>12</v>
      </c>
      <c r="G1672" s="2">
        <v>3</v>
      </c>
      <c r="H1672" s="2">
        <v>9</v>
      </c>
      <c r="I1672" s="3">
        <v>29</v>
      </c>
      <c r="J1672" s="2">
        <v>17</v>
      </c>
      <c r="K1672" s="2">
        <v>1</v>
      </c>
      <c r="L1672" s="2">
        <v>0</v>
      </c>
      <c r="M1672" s="2">
        <v>7</v>
      </c>
      <c r="N1672" s="2">
        <v>37</v>
      </c>
      <c r="O1672" s="2">
        <v>9</v>
      </c>
      <c r="P1672" s="3">
        <v>7</v>
      </c>
      <c r="Q1672" s="2">
        <v>9</v>
      </c>
      <c r="R1672" s="2">
        <v>3</v>
      </c>
      <c r="S1672" s="2">
        <v>2</v>
      </c>
      <c r="T1672" s="2">
        <v>1</v>
      </c>
      <c r="U1672" s="2">
        <v>0</v>
      </c>
      <c r="V1672" s="2">
        <f t="shared" si="838"/>
        <v>12</v>
      </c>
      <c r="W1672" s="2">
        <v>9</v>
      </c>
      <c r="X1672" s="2">
        <v>9</v>
      </c>
      <c r="Y1672" s="2">
        <v>0</v>
      </c>
      <c r="Z1672" s="2">
        <f t="shared" si="839"/>
        <v>18</v>
      </c>
      <c r="AA1672" s="2">
        <f t="shared" si="840"/>
        <v>74</v>
      </c>
      <c r="AB1672" s="2">
        <v>2234</v>
      </c>
      <c r="AC1672" s="20">
        <f t="shared" si="841"/>
        <v>3.31244404655327</v>
      </c>
      <c r="AD1672" s="2" t="s">
        <v>49</v>
      </c>
      <c r="AE1672" s="2">
        <v>188</v>
      </c>
      <c r="AF1672" s="21">
        <f t="shared" si="842"/>
        <v>3.31244404655327</v>
      </c>
      <c r="AG1672" s="4">
        <f t="shared" si="843"/>
        <v>0.53715308863026</v>
      </c>
      <c r="AH1672" s="4">
        <f t="shared" si="844"/>
        <v>0.805729632945389</v>
      </c>
      <c r="AI1672" s="2">
        <v>4009</v>
      </c>
      <c r="AJ1672" s="2">
        <v>218</v>
      </c>
      <c r="AK1672" s="2">
        <v>154</v>
      </c>
      <c r="AL1672" s="2">
        <v>41</v>
      </c>
      <c r="AM1672" s="2">
        <v>45</v>
      </c>
      <c r="AN1672" s="2">
        <v>7</v>
      </c>
      <c r="AO1672" s="2">
        <v>0</v>
      </c>
      <c r="AP1672" s="2">
        <f t="shared" ref="AP1672:AP1711" si="845">AI1672+AJ1672+AL1672+AN1672</f>
        <v>4275</v>
      </c>
      <c r="AQ1672" s="2">
        <f t="shared" ref="AQ1672:AQ1711" si="846">AP1672/AB1671*100</f>
        <v>161.748013620885</v>
      </c>
      <c r="AR1672" s="5">
        <f t="shared" ref="AR1672:AR1711" si="847">AQ1672*1.88</f>
        <v>304.086265607264</v>
      </c>
    </row>
    <row r="1673" spans="1:44">
      <c r="A1673" s="2">
        <v>20260510</v>
      </c>
      <c r="B1673" s="2" t="s">
        <v>3388</v>
      </c>
      <c r="C1673" s="2" t="s">
        <v>3389</v>
      </c>
      <c r="D1673" s="2">
        <v>2</v>
      </c>
      <c r="E1673" s="2">
        <v>16</v>
      </c>
      <c r="F1673" s="2">
        <v>19</v>
      </c>
      <c r="G1673" s="2">
        <v>17</v>
      </c>
      <c r="H1673" s="2">
        <v>52</v>
      </c>
      <c r="I1673" s="3">
        <v>74</v>
      </c>
      <c r="J1673" s="2">
        <v>160</v>
      </c>
      <c r="K1673" s="2">
        <v>16</v>
      </c>
      <c r="L1673" s="2">
        <v>10</v>
      </c>
      <c r="M1673" s="2">
        <v>28</v>
      </c>
      <c r="N1673" s="2">
        <v>29</v>
      </c>
      <c r="O1673" s="2">
        <v>52</v>
      </c>
      <c r="P1673" s="3">
        <v>23</v>
      </c>
      <c r="Q1673" s="2">
        <v>15</v>
      </c>
      <c r="R1673" s="2">
        <v>22</v>
      </c>
      <c r="S1673" s="2">
        <v>14</v>
      </c>
      <c r="T1673" s="2">
        <v>23</v>
      </c>
      <c r="U1673" s="2">
        <v>9</v>
      </c>
      <c r="V1673" s="2">
        <f t="shared" si="838"/>
        <v>61</v>
      </c>
      <c r="W1673" s="2">
        <v>2</v>
      </c>
      <c r="X1673" s="2">
        <v>7</v>
      </c>
      <c r="Y1673" s="2">
        <v>0</v>
      </c>
      <c r="Z1673" s="2">
        <f t="shared" si="839"/>
        <v>18</v>
      </c>
      <c r="AA1673" s="2">
        <f t="shared" si="840"/>
        <v>412</v>
      </c>
      <c r="AB1673" s="2">
        <v>2084</v>
      </c>
      <c r="AC1673" s="20">
        <f t="shared" si="841"/>
        <v>19.7696737044146</v>
      </c>
      <c r="AD1673" s="2" t="s">
        <v>49</v>
      </c>
      <c r="AE1673" s="2">
        <v>188</v>
      </c>
      <c r="AF1673" s="21">
        <f t="shared" si="842"/>
        <v>19.7696737044146</v>
      </c>
      <c r="AG1673" s="4">
        <f t="shared" si="843"/>
        <v>2.92706333973129</v>
      </c>
      <c r="AH1673" s="4">
        <f t="shared" si="844"/>
        <v>0.863723608445297</v>
      </c>
      <c r="AI1673" s="2">
        <v>8092</v>
      </c>
      <c r="AJ1673" s="2">
        <v>797</v>
      </c>
      <c r="AK1673" s="2">
        <v>157</v>
      </c>
      <c r="AL1673" s="2">
        <v>630</v>
      </c>
      <c r="AM1673" s="2">
        <v>443</v>
      </c>
      <c r="AN1673" s="2">
        <v>45</v>
      </c>
      <c r="AO1673" s="2">
        <v>0</v>
      </c>
      <c r="AP1673" s="2">
        <f t="shared" si="845"/>
        <v>9564</v>
      </c>
      <c r="AQ1673" s="2">
        <f t="shared" si="846"/>
        <v>428.111011638317</v>
      </c>
      <c r="AR1673" s="5">
        <f t="shared" si="847"/>
        <v>804.848701880036</v>
      </c>
    </row>
    <row r="1674" spans="1:44">
      <c r="A1674" s="2">
        <v>20260510</v>
      </c>
      <c r="B1674" s="2" t="s">
        <v>3390</v>
      </c>
      <c r="C1674" s="2" t="s">
        <v>3391</v>
      </c>
      <c r="D1674" s="2">
        <v>5</v>
      </c>
      <c r="E1674" s="2">
        <v>3</v>
      </c>
      <c r="F1674" s="2">
        <v>11</v>
      </c>
      <c r="G1674" s="2">
        <v>2</v>
      </c>
      <c r="H1674" s="2">
        <v>19</v>
      </c>
      <c r="I1674" s="3">
        <v>27</v>
      </c>
      <c r="J1674" s="2">
        <v>7</v>
      </c>
      <c r="K1674" s="2">
        <v>10</v>
      </c>
      <c r="L1674" s="2">
        <v>0</v>
      </c>
      <c r="M1674" s="2">
        <v>5</v>
      </c>
      <c r="N1674" s="2">
        <v>19</v>
      </c>
      <c r="O1674" s="2">
        <v>32</v>
      </c>
      <c r="P1674" s="3">
        <v>16</v>
      </c>
      <c r="Q1674" s="2">
        <v>13</v>
      </c>
      <c r="R1674" s="2">
        <v>2</v>
      </c>
      <c r="S1674" s="2">
        <v>0</v>
      </c>
      <c r="T1674" s="2">
        <v>2</v>
      </c>
      <c r="U1674" s="2">
        <v>0</v>
      </c>
      <c r="V1674" s="2">
        <f t="shared" si="838"/>
        <v>15</v>
      </c>
      <c r="W1674" s="2">
        <v>0</v>
      </c>
      <c r="X1674" s="2">
        <v>6</v>
      </c>
      <c r="Y1674" s="2">
        <v>0</v>
      </c>
      <c r="Z1674" s="2">
        <f t="shared" si="839"/>
        <v>6</v>
      </c>
      <c r="AA1674" s="2">
        <f t="shared" si="840"/>
        <v>88</v>
      </c>
      <c r="AB1674" s="2">
        <v>2583</v>
      </c>
      <c r="AC1674" s="20">
        <f t="shared" si="841"/>
        <v>3.40689121176926</v>
      </c>
      <c r="AD1674" s="2" t="s">
        <v>49</v>
      </c>
      <c r="AE1674" s="2">
        <v>188</v>
      </c>
      <c r="AF1674" s="21">
        <f t="shared" si="842"/>
        <v>3.40689121176926</v>
      </c>
      <c r="AG1674" s="4">
        <f t="shared" si="843"/>
        <v>0.580720092915215</v>
      </c>
      <c r="AH1674" s="4">
        <f t="shared" si="844"/>
        <v>0.232288037166086</v>
      </c>
      <c r="AI1674" s="2">
        <v>5644</v>
      </c>
      <c r="AJ1674" s="2">
        <v>332</v>
      </c>
      <c r="AK1674" s="2">
        <v>245</v>
      </c>
      <c r="AL1674" s="2">
        <v>223</v>
      </c>
      <c r="AM1674" s="2">
        <v>82</v>
      </c>
      <c r="AN1674" s="2">
        <v>2</v>
      </c>
      <c r="AO1674" s="2">
        <v>0</v>
      </c>
      <c r="AP1674" s="2">
        <f t="shared" si="845"/>
        <v>6201</v>
      </c>
      <c r="AQ1674" s="2">
        <f t="shared" si="846"/>
        <v>297.552783109405</v>
      </c>
      <c r="AR1674" s="5">
        <f t="shared" si="847"/>
        <v>559.399232245681</v>
      </c>
    </row>
    <row r="1675" spans="1:44">
      <c r="A1675" s="2">
        <v>20260510</v>
      </c>
      <c r="B1675" t="s">
        <v>3392</v>
      </c>
      <c r="C1675" s="2" t="s">
        <v>3393</v>
      </c>
      <c r="D1675" s="2">
        <v>0</v>
      </c>
      <c r="E1675" s="2">
        <v>5</v>
      </c>
      <c r="F1675" s="2">
        <v>9</v>
      </c>
      <c r="G1675" s="2">
        <v>1</v>
      </c>
      <c r="H1675" s="2">
        <v>4</v>
      </c>
      <c r="I1675" s="3">
        <v>13</v>
      </c>
      <c r="J1675" s="2">
        <v>7</v>
      </c>
      <c r="K1675" s="2">
        <v>0</v>
      </c>
      <c r="L1675" s="2">
        <v>0</v>
      </c>
      <c r="M1675" s="2">
        <v>6</v>
      </c>
      <c r="N1675" s="2">
        <v>6</v>
      </c>
      <c r="O1675" s="2">
        <v>27</v>
      </c>
      <c r="P1675" s="3">
        <v>7</v>
      </c>
      <c r="Q1675" s="2">
        <v>2</v>
      </c>
      <c r="R1675" s="2">
        <v>4</v>
      </c>
      <c r="S1675" s="2">
        <v>1</v>
      </c>
      <c r="T1675" s="2">
        <v>2</v>
      </c>
      <c r="U1675" s="2">
        <v>0</v>
      </c>
      <c r="V1675" s="2">
        <f t="shared" si="838"/>
        <v>5</v>
      </c>
      <c r="W1675" s="2">
        <v>4</v>
      </c>
      <c r="X1675" s="2">
        <v>6</v>
      </c>
      <c r="Y1675" s="2">
        <v>0</v>
      </c>
      <c r="Z1675" s="2">
        <f t="shared" si="839"/>
        <v>10</v>
      </c>
      <c r="AA1675" s="2">
        <f t="shared" si="840"/>
        <v>40</v>
      </c>
      <c r="AB1675" s="2">
        <v>2433</v>
      </c>
      <c r="AC1675" s="20">
        <f t="shared" si="841"/>
        <v>1.64406083025072</v>
      </c>
      <c r="AD1675" s="2" t="s">
        <v>49</v>
      </c>
      <c r="AE1675" s="2">
        <v>188</v>
      </c>
      <c r="AF1675" s="21">
        <f t="shared" si="842"/>
        <v>1.64406083025072</v>
      </c>
      <c r="AG1675" s="4">
        <f t="shared" si="843"/>
        <v>0.20550760378134</v>
      </c>
      <c r="AH1675" s="4">
        <f t="shared" si="844"/>
        <v>0.41101520756268</v>
      </c>
      <c r="AI1675" s="2">
        <v>3004</v>
      </c>
      <c r="AJ1675" s="2">
        <v>233</v>
      </c>
      <c r="AK1675" s="2">
        <v>257</v>
      </c>
      <c r="AL1675" s="2">
        <v>36</v>
      </c>
      <c r="AM1675" s="2">
        <v>31</v>
      </c>
      <c r="AN1675" s="2">
        <v>2</v>
      </c>
      <c r="AO1675" s="2">
        <v>0</v>
      </c>
      <c r="AP1675" s="2">
        <f t="shared" si="845"/>
        <v>3275</v>
      </c>
      <c r="AQ1675" s="2">
        <f t="shared" si="846"/>
        <v>126.790553619822</v>
      </c>
      <c r="AR1675" s="5">
        <f t="shared" si="847"/>
        <v>238.366240805265</v>
      </c>
    </row>
    <row r="1676" spans="1:44">
      <c r="A1676" s="2">
        <v>20260510</v>
      </c>
      <c r="B1676" t="s">
        <v>3394</v>
      </c>
      <c r="C1676" s="2" t="s">
        <v>3395</v>
      </c>
      <c r="D1676" s="2">
        <v>0</v>
      </c>
      <c r="E1676" s="2">
        <v>6</v>
      </c>
      <c r="F1676" s="2">
        <v>8</v>
      </c>
      <c r="G1676" s="2">
        <v>1</v>
      </c>
      <c r="H1676" s="2">
        <v>6</v>
      </c>
      <c r="I1676" s="3">
        <v>10</v>
      </c>
      <c r="J1676" s="2">
        <v>8</v>
      </c>
      <c r="K1676" s="2">
        <v>0</v>
      </c>
      <c r="L1676" s="2">
        <v>0</v>
      </c>
      <c r="M1676" s="2">
        <v>4</v>
      </c>
      <c r="N1676" s="2">
        <v>2</v>
      </c>
      <c r="O1676" s="2">
        <v>9</v>
      </c>
      <c r="P1676" s="3">
        <v>3</v>
      </c>
      <c r="Q1676" s="2">
        <v>6</v>
      </c>
      <c r="R1676" s="2">
        <v>6</v>
      </c>
      <c r="S1676" s="2">
        <v>1</v>
      </c>
      <c r="T1676" s="2">
        <v>1</v>
      </c>
      <c r="U1676" s="2">
        <v>2</v>
      </c>
      <c r="V1676" s="2">
        <f t="shared" si="838"/>
        <v>10</v>
      </c>
      <c r="W1676" s="2">
        <v>5</v>
      </c>
      <c r="X1676" s="2">
        <v>6</v>
      </c>
      <c r="Y1676" s="2">
        <v>0</v>
      </c>
      <c r="Z1676" s="2">
        <f t="shared" si="839"/>
        <v>13</v>
      </c>
      <c r="AA1676" s="2">
        <f t="shared" si="840"/>
        <v>35</v>
      </c>
      <c r="AB1676" s="2">
        <v>2384</v>
      </c>
      <c r="AC1676" s="20">
        <f t="shared" si="841"/>
        <v>1.46812080536913</v>
      </c>
      <c r="AD1676" s="2" t="s">
        <v>49</v>
      </c>
      <c r="AE1676" s="2">
        <v>188</v>
      </c>
      <c r="AF1676" s="21">
        <f t="shared" si="842"/>
        <v>1.46812080536913</v>
      </c>
      <c r="AG1676" s="4">
        <f t="shared" si="843"/>
        <v>0.419463087248322</v>
      </c>
      <c r="AH1676" s="4">
        <f t="shared" si="844"/>
        <v>0.545302013422819</v>
      </c>
      <c r="AI1676" s="2">
        <v>2375</v>
      </c>
      <c r="AJ1676" s="2">
        <v>228</v>
      </c>
      <c r="AK1676" s="2">
        <v>260</v>
      </c>
      <c r="AL1676" s="2">
        <v>48</v>
      </c>
      <c r="AM1676" s="2">
        <v>33</v>
      </c>
      <c r="AN1676" s="2">
        <v>4</v>
      </c>
      <c r="AO1676" s="2">
        <v>0</v>
      </c>
      <c r="AP1676" s="2">
        <f t="shared" si="845"/>
        <v>2655</v>
      </c>
      <c r="AQ1676" s="2">
        <f t="shared" si="846"/>
        <v>109.124537607891</v>
      </c>
      <c r="AR1676" s="5">
        <f t="shared" si="847"/>
        <v>205.154130702836</v>
      </c>
    </row>
    <row r="1677" spans="1:44">
      <c r="A1677" s="2">
        <v>20260510</v>
      </c>
      <c r="B1677" s="31" t="s">
        <v>3396</v>
      </c>
      <c r="C1677" s="2" t="s">
        <v>3397</v>
      </c>
      <c r="D1677" s="2">
        <v>1</v>
      </c>
      <c r="E1677" s="2">
        <v>35</v>
      </c>
      <c r="F1677" s="2">
        <v>5</v>
      </c>
      <c r="G1677" s="2">
        <v>6</v>
      </c>
      <c r="H1677" s="2">
        <v>8</v>
      </c>
      <c r="I1677" s="3">
        <v>13</v>
      </c>
      <c r="J1677" s="2">
        <v>9</v>
      </c>
      <c r="K1677" s="2">
        <v>2</v>
      </c>
      <c r="L1677" s="2">
        <v>0</v>
      </c>
      <c r="M1677" s="2">
        <v>4</v>
      </c>
      <c r="N1677" s="2">
        <v>9</v>
      </c>
      <c r="O1677" s="3">
        <v>16</v>
      </c>
      <c r="P1677" s="2">
        <v>5</v>
      </c>
      <c r="Q1677" s="2">
        <v>3</v>
      </c>
      <c r="R1677" s="2">
        <v>18</v>
      </c>
      <c r="S1677" s="2">
        <v>0</v>
      </c>
      <c r="T1677" s="2">
        <v>5</v>
      </c>
      <c r="U1677" s="2">
        <v>1</v>
      </c>
      <c r="V1677" s="2">
        <f t="shared" si="838"/>
        <v>9</v>
      </c>
      <c r="W1677" s="2">
        <v>2</v>
      </c>
      <c r="X1677" s="2">
        <v>2</v>
      </c>
      <c r="Y1677" s="2">
        <v>0</v>
      </c>
      <c r="Z1677" s="2">
        <f t="shared" si="839"/>
        <v>5</v>
      </c>
      <c r="AA1677" s="2">
        <f t="shared" si="840"/>
        <v>53</v>
      </c>
      <c r="AB1677" s="2">
        <v>2413</v>
      </c>
      <c r="AC1677" s="20">
        <f t="shared" si="841"/>
        <v>2.19643597181931</v>
      </c>
      <c r="AD1677" s="2" t="s">
        <v>49</v>
      </c>
      <c r="AE1677" s="2">
        <v>188</v>
      </c>
      <c r="AF1677" s="21">
        <f t="shared" si="842"/>
        <v>2.19643597181931</v>
      </c>
      <c r="AG1677" s="4">
        <f t="shared" si="843"/>
        <v>0.372979693327808</v>
      </c>
      <c r="AH1677" s="4">
        <f t="shared" si="844"/>
        <v>0.207210940737671</v>
      </c>
      <c r="AI1677" s="2">
        <v>1905</v>
      </c>
      <c r="AJ1677" s="2">
        <v>174</v>
      </c>
      <c r="AK1677" s="2">
        <v>239</v>
      </c>
      <c r="AL1677" s="2">
        <v>49</v>
      </c>
      <c r="AM1677" s="2">
        <v>40</v>
      </c>
      <c r="AN1677" s="2">
        <v>7</v>
      </c>
      <c r="AO1677" s="2">
        <v>0</v>
      </c>
      <c r="AP1677" s="2">
        <f t="shared" si="845"/>
        <v>2135</v>
      </c>
      <c r="AQ1677" s="2">
        <f t="shared" si="846"/>
        <v>89.5553691275168</v>
      </c>
      <c r="AR1677" s="5">
        <f t="shared" si="847"/>
        <v>168.364093959732</v>
      </c>
    </row>
    <row r="1678" spans="1:44">
      <c r="A1678" s="2">
        <v>20260510</v>
      </c>
      <c r="B1678" s="2" t="s">
        <v>3398</v>
      </c>
      <c r="C1678" s="2" t="s">
        <v>3399</v>
      </c>
      <c r="D1678" s="2">
        <v>4</v>
      </c>
      <c r="E1678" s="2">
        <v>2</v>
      </c>
      <c r="F1678" s="2">
        <v>8</v>
      </c>
      <c r="G1678" s="2">
        <v>8</v>
      </c>
      <c r="H1678" s="2">
        <v>3</v>
      </c>
      <c r="I1678" s="3">
        <v>3</v>
      </c>
      <c r="J1678" s="2">
        <v>9</v>
      </c>
      <c r="K1678" s="2">
        <v>1</v>
      </c>
      <c r="L1678" s="2">
        <v>0</v>
      </c>
      <c r="M1678" s="2">
        <v>3</v>
      </c>
      <c r="N1678" s="2">
        <v>8</v>
      </c>
      <c r="O1678" s="2">
        <v>20</v>
      </c>
      <c r="P1678" s="3">
        <v>2</v>
      </c>
      <c r="Q1678" s="2">
        <v>5</v>
      </c>
      <c r="R1678" s="2">
        <v>1</v>
      </c>
      <c r="S1678" s="2">
        <v>0</v>
      </c>
      <c r="T1678" s="2">
        <v>3</v>
      </c>
      <c r="U1678" s="2">
        <v>0</v>
      </c>
      <c r="V1678" s="2">
        <f t="shared" si="838"/>
        <v>8</v>
      </c>
      <c r="W1678" s="2">
        <v>5</v>
      </c>
      <c r="X1678" s="2">
        <v>2</v>
      </c>
      <c r="Y1678" s="2">
        <v>0</v>
      </c>
      <c r="Z1678" s="2">
        <f t="shared" si="839"/>
        <v>7</v>
      </c>
      <c r="AA1678" s="2">
        <f t="shared" si="840"/>
        <v>32</v>
      </c>
      <c r="AB1678" s="2">
        <v>2234</v>
      </c>
      <c r="AC1678" s="20">
        <f t="shared" si="841"/>
        <v>1.43240823634736</v>
      </c>
      <c r="AD1678" s="2" t="s">
        <v>49</v>
      </c>
      <c r="AE1678" s="2">
        <v>188</v>
      </c>
      <c r="AF1678" s="21">
        <f t="shared" si="842"/>
        <v>1.43240823634736</v>
      </c>
      <c r="AG1678" s="4">
        <f t="shared" si="843"/>
        <v>0.35810205908684</v>
      </c>
      <c r="AH1678" s="4">
        <f t="shared" si="844"/>
        <v>0.313339301700985</v>
      </c>
      <c r="AI1678" s="2">
        <v>1280</v>
      </c>
      <c r="AJ1678" s="2">
        <v>140</v>
      </c>
      <c r="AK1678" s="2">
        <v>235</v>
      </c>
      <c r="AL1678" s="2">
        <v>10</v>
      </c>
      <c r="AM1678" s="2">
        <v>21</v>
      </c>
      <c r="AN1678" s="2">
        <v>0</v>
      </c>
      <c r="AO1678" s="2">
        <v>0</v>
      </c>
      <c r="AP1678" s="2">
        <f t="shared" si="845"/>
        <v>1430</v>
      </c>
      <c r="AQ1678" s="2">
        <f t="shared" si="846"/>
        <v>59.2623290509739</v>
      </c>
      <c r="AR1678" s="5">
        <f t="shared" si="847"/>
        <v>111.413178615831</v>
      </c>
    </row>
    <row r="1679" spans="1:44">
      <c r="A1679" s="2">
        <v>20260510</v>
      </c>
      <c r="B1679" s="2" t="s">
        <v>3400</v>
      </c>
      <c r="C1679" s="2" t="s">
        <v>3401</v>
      </c>
      <c r="D1679" s="2">
        <v>2</v>
      </c>
      <c r="E1679" s="2">
        <v>3</v>
      </c>
      <c r="F1679" s="2">
        <v>7</v>
      </c>
      <c r="G1679" s="2">
        <v>5</v>
      </c>
      <c r="H1679" s="2">
        <v>6</v>
      </c>
      <c r="I1679" s="3">
        <v>8</v>
      </c>
      <c r="J1679" s="2">
        <v>12</v>
      </c>
      <c r="K1679" s="2">
        <v>2</v>
      </c>
      <c r="L1679" s="2">
        <v>0</v>
      </c>
      <c r="M1679" s="2">
        <v>4</v>
      </c>
      <c r="N1679" s="2">
        <v>6</v>
      </c>
      <c r="O1679" s="2">
        <v>23</v>
      </c>
      <c r="P1679" s="3">
        <v>9</v>
      </c>
      <c r="Q1679" s="2">
        <v>4</v>
      </c>
      <c r="R1679" s="2">
        <v>7</v>
      </c>
      <c r="S1679" s="2">
        <v>2</v>
      </c>
      <c r="T1679" s="2">
        <v>4</v>
      </c>
      <c r="U1679" s="2">
        <v>0</v>
      </c>
      <c r="V1679" s="2">
        <f t="shared" si="838"/>
        <v>10</v>
      </c>
      <c r="W1679" s="2">
        <v>5</v>
      </c>
      <c r="X1679" s="2">
        <v>4</v>
      </c>
      <c r="Y1679" s="2">
        <v>0</v>
      </c>
      <c r="Z1679" s="2">
        <f t="shared" si="839"/>
        <v>9</v>
      </c>
      <c r="AA1679" s="2">
        <f t="shared" si="840"/>
        <v>50</v>
      </c>
      <c r="AB1679" s="2">
        <v>2633</v>
      </c>
      <c r="AC1679" s="20">
        <f t="shared" si="841"/>
        <v>1.89897455374098</v>
      </c>
      <c r="AD1679" s="2" t="s">
        <v>49</v>
      </c>
      <c r="AE1679" s="2">
        <v>188</v>
      </c>
      <c r="AF1679" s="21">
        <f t="shared" si="842"/>
        <v>1.89897455374098</v>
      </c>
      <c r="AG1679" s="4">
        <f t="shared" si="843"/>
        <v>0.379794910748196</v>
      </c>
      <c r="AH1679" s="4">
        <f t="shared" si="844"/>
        <v>0.341815419673376</v>
      </c>
      <c r="AI1679" s="2">
        <v>2721</v>
      </c>
      <c r="AJ1679" s="2">
        <v>224</v>
      </c>
      <c r="AK1679" s="2">
        <v>312</v>
      </c>
      <c r="AL1679" s="2">
        <v>43</v>
      </c>
      <c r="AM1679" s="2">
        <v>57</v>
      </c>
      <c r="AN1679" s="2">
        <v>8</v>
      </c>
      <c r="AO1679" s="2">
        <v>0</v>
      </c>
      <c r="AP1679" s="2">
        <f t="shared" si="845"/>
        <v>2996</v>
      </c>
      <c r="AQ1679" s="2">
        <f t="shared" si="846"/>
        <v>134.109221128021</v>
      </c>
      <c r="AR1679" s="5">
        <f t="shared" si="847"/>
        <v>252.12533572068</v>
      </c>
    </row>
    <row r="1680" spans="1:44">
      <c r="A1680" s="2">
        <v>20260510</v>
      </c>
      <c r="B1680" s="2" t="s">
        <v>3402</v>
      </c>
      <c r="C1680" s="2" t="s">
        <v>3403</v>
      </c>
      <c r="D1680" s="2">
        <v>2</v>
      </c>
      <c r="E1680" s="2">
        <v>2</v>
      </c>
      <c r="F1680" s="2">
        <v>7</v>
      </c>
      <c r="G1680" s="2">
        <v>8</v>
      </c>
      <c r="H1680" s="2">
        <v>7</v>
      </c>
      <c r="I1680" s="3">
        <v>7</v>
      </c>
      <c r="J1680" s="2">
        <v>19</v>
      </c>
      <c r="K1680" s="2">
        <v>2</v>
      </c>
      <c r="L1680" s="2">
        <v>0</v>
      </c>
      <c r="M1680" s="2">
        <v>7</v>
      </c>
      <c r="N1680" s="2">
        <v>3</v>
      </c>
      <c r="O1680" s="2">
        <v>15</v>
      </c>
      <c r="P1680" s="3">
        <v>9</v>
      </c>
      <c r="Q1680" s="2">
        <v>10</v>
      </c>
      <c r="R1680" s="2">
        <v>20</v>
      </c>
      <c r="S1680" s="2">
        <v>3</v>
      </c>
      <c r="T1680" s="2">
        <v>13</v>
      </c>
      <c r="U1680" s="2">
        <v>0</v>
      </c>
      <c r="V1680" s="2">
        <f t="shared" si="838"/>
        <v>26</v>
      </c>
      <c r="W1680" s="2">
        <v>6</v>
      </c>
      <c r="X1680" s="2">
        <v>1</v>
      </c>
      <c r="Y1680" s="2">
        <v>0</v>
      </c>
      <c r="Z1680" s="2">
        <f t="shared" si="839"/>
        <v>7</v>
      </c>
      <c r="AA1680" s="2">
        <f t="shared" si="840"/>
        <v>72</v>
      </c>
      <c r="AB1680" s="2">
        <v>2383</v>
      </c>
      <c r="AC1680" s="20">
        <f t="shared" si="841"/>
        <v>3.02140159462862</v>
      </c>
      <c r="AD1680" s="2" t="s">
        <v>49</v>
      </c>
      <c r="AE1680" s="2">
        <v>188</v>
      </c>
      <c r="AF1680" s="21">
        <f t="shared" si="842"/>
        <v>3.02140159462862</v>
      </c>
      <c r="AG1680" s="4">
        <f t="shared" si="843"/>
        <v>1.09106168694922</v>
      </c>
      <c r="AH1680" s="4">
        <f t="shared" si="844"/>
        <v>0.29374737725556</v>
      </c>
      <c r="AI1680" s="2">
        <v>2009</v>
      </c>
      <c r="AJ1680" s="2">
        <v>167</v>
      </c>
      <c r="AK1680" s="2">
        <v>253</v>
      </c>
      <c r="AL1680" s="2">
        <v>20</v>
      </c>
      <c r="AM1680" s="2">
        <v>46</v>
      </c>
      <c r="AN1680" s="2">
        <v>9</v>
      </c>
      <c r="AO1680" s="2">
        <v>0</v>
      </c>
      <c r="AP1680" s="2">
        <f t="shared" si="845"/>
        <v>2205</v>
      </c>
      <c r="AQ1680" s="2">
        <f t="shared" si="846"/>
        <v>83.7447778199772</v>
      </c>
      <c r="AR1680" s="5">
        <f t="shared" si="847"/>
        <v>157.440182301557</v>
      </c>
    </row>
    <row r="1681" spans="1:44">
      <c r="A1681" s="2">
        <v>20260510</v>
      </c>
      <c r="B1681" s="2" t="s">
        <v>3404</v>
      </c>
      <c r="C1681" s="2" t="s">
        <v>3405</v>
      </c>
      <c r="D1681" s="2">
        <v>3</v>
      </c>
      <c r="E1681" s="2">
        <v>0</v>
      </c>
      <c r="F1681" s="2">
        <v>8</v>
      </c>
      <c r="G1681" s="2">
        <v>13</v>
      </c>
      <c r="H1681" s="2">
        <v>7</v>
      </c>
      <c r="I1681" s="3">
        <v>8</v>
      </c>
      <c r="J1681" s="2">
        <v>17</v>
      </c>
      <c r="K1681" s="2">
        <v>3</v>
      </c>
      <c r="L1681" s="2">
        <v>0</v>
      </c>
      <c r="M1681" s="2">
        <v>5</v>
      </c>
      <c r="N1681" s="2">
        <v>2</v>
      </c>
      <c r="O1681" s="2">
        <v>21</v>
      </c>
      <c r="P1681" s="3">
        <v>18</v>
      </c>
      <c r="Q1681" s="2">
        <v>3</v>
      </c>
      <c r="R1681" s="2">
        <v>2</v>
      </c>
      <c r="S1681" s="2">
        <v>7</v>
      </c>
      <c r="T1681" s="2">
        <v>13</v>
      </c>
      <c r="U1681" s="2">
        <v>1</v>
      </c>
      <c r="V1681" s="2">
        <f t="shared" si="838"/>
        <v>24</v>
      </c>
      <c r="W1681" s="2">
        <v>0</v>
      </c>
      <c r="X1681" s="2">
        <v>0</v>
      </c>
      <c r="Y1681" s="2">
        <v>0</v>
      </c>
      <c r="Z1681" s="2">
        <f t="shared" si="839"/>
        <v>1</v>
      </c>
      <c r="AA1681" s="2">
        <f t="shared" si="840"/>
        <v>85</v>
      </c>
      <c r="AB1681" s="2">
        <v>2383</v>
      </c>
      <c r="AC1681" s="20">
        <f t="shared" si="841"/>
        <v>3.56693243810323</v>
      </c>
      <c r="AD1681" s="2" t="s">
        <v>49</v>
      </c>
      <c r="AE1681" s="2">
        <v>188</v>
      </c>
      <c r="AF1681" s="21">
        <f t="shared" si="842"/>
        <v>3.56693243810323</v>
      </c>
      <c r="AG1681" s="4">
        <f t="shared" si="843"/>
        <v>1.00713386487621</v>
      </c>
      <c r="AH1681" s="4">
        <f t="shared" si="844"/>
        <v>0.0419639110365086</v>
      </c>
      <c r="AI1681" s="2">
        <v>1988</v>
      </c>
      <c r="AJ1681" s="2">
        <v>187</v>
      </c>
      <c r="AK1681" s="2">
        <v>286</v>
      </c>
      <c r="AL1681" s="2">
        <v>40</v>
      </c>
      <c r="AM1681" s="2">
        <v>56</v>
      </c>
      <c r="AN1681" s="2">
        <v>7</v>
      </c>
      <c r="AO1681" s="2">
        <v>0</v>
      </c>
      <c r="AP1681" s="2">
        <f t="shared" si="845"/>
        <v>2222</v>
      </c>
      <c r="AQ1681" s="2">
        <f t="shared" si="846"/>
        <v>93.2438103231221</v>
      </c>
      <c r="AR1681" s="5">
        <f t="shared" si="847"/>
        <v>175.29836340747</v>
      </c>
    </row>
    <row r="1682" spans="1:44">
      <c r="A1682" s="2">
        <v>20260510</v>
      </c>
      <c r="B1682" s="2" t="s">
        <v>3406</v>
      </c>
      <c r="C1682" s="2" t="s">
        <v>3407</v>
      </c>
      <c r="D1682" s="2">
        <v>5</v>
      </c>
      <c r="E1682" s="2">
        <v>5</v>
      </c>
      <c r="F1682" s="2">
        <v>5</v>
      </c>
      <c r="G1682" s="2">
        <v>8</v>
      </c>
      <c r="H1682" s="2">
        <v>8</v>
      </c>
      <c r="I1682" s="3">
        <v>15</v>
      </c>
      <c r="J1682" s="2">
        <v>28</v>
      </c>
      <c r="K1682" s="2">
        <v>0</v>
      </c>
      <c r="L1682" s="2">
        <v>0</v>
      </c>
      <c r="M1682" s="2">
        <v>9</v>
      </c>
      <c r="N1682" s="2">
        <v>16</v>
      </c>
      <c r="O1682" s="2">
        <v>9</v>
      </c>
      <c r="P1682" s="3">
        <v>7</v>
      </c>
      <c r="Q1682" s="2">
        <v>9</v>
      </c>
      <c r="R1682" s="2">
        <v>5</v>
      </c>
      <c r="S1682" s="2">
        <v>4</v>
      </c>
      <c r="T1682" s="2">
        <v>12</v>
      </c>
      <c r="U1682" s="2">
        <v>0</v>
      </c>
      <c r="V1682" s="2">
        <f t="shared" ref="V1682:V1694" si="848">U1682+T1682+S1682+Q1682</f>
        <v>25</v>
      </c>
      <c r="W1682" s="2">
        <v>0</v>
      </c>
      <c r="X1682" s="2">
        <v>2</v>
      </c>
      <c r="Y1682" s="2">
        <v>1</v>
      </c>
      <c r="Z1682" s="2">
        <f t="shared" si="839"/>
        <v>3</v>
      </c>
      <c r="AA1682" s="2">
        <f t="shared" si="840"/>
        <v>87</v>
      </c>
      <c r="AB1682" s="2">
        <v>2633</v>
      </c>
      <c r="AC1682" s="20">
        <f t="shared" si="841"/>
        <v>3.3042157235093</v>
      </c>
      <c r="AD1682" s="2" t="s">
        <v>49</v>
      </c>
      <c r="AE1682" s="2">
        <v>188</v>
      </c>
      <c r="AF1682" s="21">
        <f t="shared" si="842"/>
        <v>3.3042157235093</v>
      </c>
      <c r="AG1682" s="4">
        <f t="shared" si="843"/>
        <v>0.94948727687049</v>
      </c>
      <c r="AH1682" s="4">
        <f t="shared" si="844"/>
        <v>0.113938473224459</v>
      </c>
      <c r="AI1682" s="2">
        <v>3986</v>
      </c>
      <c r="AJ1682" s="2">
        <v>211</v>
      </c>
      <c r="AK1682" s="2">
        <v>275</v>
      </c>
      <c r="AL1682" s="2">
        <v>139</v>
      </c>
      <c r="AM1682" s="2">
        <v>123</v>
      </c>
      <c r="AN1682" s="2">
        <v>10</v>
      </c>
      <c r="AO1682" s="2">
        <v>0</v>
      </c>
      <c r="AP1682" s="2">
        <f t="shared" si="845"/>
        <v>4346</v>
      </c>
      <c r="AQ1682" s="2">
        <f t="shared" si="846"/>
        <v>182.375157364666</v>
      </c>
      <c r="AR1682" s="5">
        <f t="shared" si="847"/>
        <v>342.865295845573</v>
      </c>
    </row>
    <row r="1683" spans="1:44">
      <c r="A1683" s="2">
        <v>20260510</v>
      </c>
      <c r="B1683" s="2" t="s">
        <v>3408</v>
      </c>
      <c r="C1683" s="2" t="s">
        <v>3409</v>
      </c>
      <c r="D1683" s="2">
        <v>4</v>
      </c>
      <c r="E1683" s="2">
        <v>2</v>
      </c>
      <c r="F1683" s="2">
        <v>7</v>
      </c>
      <c r="G1683" s="2">
        <v>6</v>
      </c>
      <c r="H1683" s="2">
        <v>6</v>
      </c>
      <c r="I1683" s="3">
        <v>13</v>
      </c>
      <c r="J1683" s="2">
        <v>11</v>
      </c>
      <c r="K1683" s="2">
        <v>1</v>
      </c>
      <c r="L1683" s="2">
        <v>0</v>
      </c>
      <c r="M1683" s="2">
        <v>4</v>
      </c>
      <c r="N1683" s="2">
        <v>13</v>
      </c>
      <c r="O1683" s="2">
        <v>25</v>
      </c>
      <c r="P1683" s="3">
        <v>5</v>
      </c>
      <c r="Q1683" s="2">
        <v>7</v>
      </c>
      <c r="R1683" s="2">
        <v>3</v>
      </c>
      <c r="S1683" s="2">
        <v>6</v>
      </c>
      <c r="T1683" s="2">
        <v>10</v>
      </c>
      <c r="U1683" s="2">
        <v>0</v>
      </c>
      <c r="V1683" s="2">
        <f t="shared" si="848"/>
        <v>23</v>
      </c>
      <c r="W1683" s="2">
        <v>0</v>
      </c>
      <c r="X1683" s="2">
        <v>0</v>
      </c>
      <c r="Y1683" s="2">
        <v>7</v>
      </c>
      <c r="Z1683" s="2">
        <v>1</v>
      </c>
      <c r="AA1683" s="2">
        <f t="shared" si="840"/>
        <v>56</v>
      </c>
      <c r="AB1683" s="2">
        <v>2383</v>
      </c>
      <c r="AC1683" s="20">
        <f t="shared" si="841"/>
        <v>2.34997901804448</v>
      </c>
      <c r="AD1683" s="2" t="s">
        <v>49</v>
      </c>
      <c r="AE1683" s="2">
        <v>188</v>
      </c>
      <c r="AF1683" s="21">
        <f t="shared" si="842"/>
        <v>2.34997901804448</v>
      </c>
      <c r="AG1683" s="4">
        <f t="shared" si="843"/>
        <v>0.965169953839698</v>
      </c>
      <c r="AH1683" s="4">
        <f t="shared" si="844"/>
        <v>0.0419639110365086</v>
      </c>
      <c r="AI1683" s="2">
        <v>1387</v>
      </c>
      <c r="AJ1683" s="2">
        <v>127</v>
      </c>
      <c r="AK1683" s="2">
        <v>230</v>
      </c>
      <c r="AL1683" s="2">
        <v>31</v>
      </c>
      <c r="AM1683" s="2">
        <v>30</v>
      </c>
      <c r="AN1683" s="2">
        <v>10</v>
      </c>
      <c r="AO1683" s="2">
        <v>0</v>
      </c>
      <c r="AP1683" s="2">
        <f t="shared" si="845"/>
        <v>1555</v>
      </c>
      <c r="AQ1683" s="2">
        <f t="shared" si="846"/>
        <v>59.0581086213445</v>
      </c>
      <c r="AR1683" s="5">
        <f t="shared" si="847"/>
        <v>111.029244208128</v>
      </c>
    </row>
    <row r="1684" spans="1:44">
      <c r="A1684" s="2">
        <v>20260511</v>
      </c>
      <c r="B1684" s="2" t="s">
        <v>3410</v>
      </c>
      <c r="C1684" s="2" t="s">
        <v>3411</v>
      </c>
      <c r="D1684" s="2">
        <v>4</v>
      </c>
      <c r="E1684" s="2">
        <v>0</v>
      </c>
      <c r="F1684" s="2">
        <v>6</v>
      </c>
      <c r="G1684" s="2">
        <v>6</v>
      </c>
      <c r="H1684" s="2">
        <v>6</v>
      </c>
      <c r="I1684" s="3">
        <v>6</v>
      </c>
      <c r="J1684" s="2">
        <v>19</v>
      </c>
      <c r="K1684" s="2">
        <v>0</v>
      </c>
      <c r="L1684" s="2">
        <v>2</v>
      </c>
      <c r="M1684" s="2">
        <v>4</v>
      </c>
      <c r="N1684" s="2">
        <v>8</v>
      </c>
      <c r="O1684" s="2">
        <v>13</v>
      </c>
      <c r="P1684" s="3">
        <v>7</v>
      </c>
      <c r="Q1684" s="2">
        <v>5</v>
      </c>
      <c r="R1684" s="2">
        <v>2</v>
      </c>
      <c r="S1684" s="2">
        <v>4</v>
      </c>
      <c r="T1684" s="2">
        <v>17</v>
      </c>
      <c r="U1684" s="2">
        <v>1</v>
      </c>
      <c r="V1684" s="2">
        <f t="shared" si="848"/>
        <v>27</v>
      </c>
      <c r="W1684" s="2">
        <v>0</v>
      </c>
      <c r="X1684" s="2">
        <v>0</v>
      </c>
      <c r="Y1684" s="2">
        <v>0</v>
      </c>
      <c r="Z1684" s="2">
        <f t="shared" si="839"/>
        <v>1</v>
      </c>
      <c r="AA1684" s="2">
        <f t="shared" si="840"/>
        <v>68</v>
      </c>
      <c r="AB1684" s="2">
        <v>2383</v>
      </c>
      <c r="AC1684" s="20">
        <f t="shared" si="841"/>
        <v>2.85354595048258</v>
      </c>
      <c r="AD1684" s="2" t="s">
        <v>49</v>
      </c>
      <c r="AE1684" s="2">
        <v>188</v>
      </c>
      <c r="AF1684" s="21">
        <f t="shared" si="842"/>
        <v>2.85354595048258</v>
      </c>
      <c r="AG1684" s="4">
        <f t="shared" si="843"/>
        <v>1.13302559798573</v>
      </c>
      <c r="AH1684" s="4">
        <f t="shared" si="844"/>
        <v>0.0419639110365086</v>
      </c>
      <c r="AI1684" s="2">
        <v>1431</v>
      </c>
      <c r="AJ1684" s="2">
        <v>117</v>
      </c>
      <c r="AK1684" s="2">
        <v>260</v>
      </c>
      <c r="AL1684" s="2">
        <v>12</v>
      </c>
      <c r="AM1684" s="2">
        <v>28</v>
      </c>
      <c r="AN1684" s="2">
        <v>9</v>
      </c>
      <c r="AO1684" s="2">
        <v>0</v>
      </c>
      <c r="AP1684" s="2">
        <f t="shared" si="845"/>
        <v>1569</v>
      </c>
      <c r="AQ1684" s="2">
        <f t="shared" si="846"/>
        <v>65.841376416282</v>
      </c>
      <c r="AR1684" s="5">
        <f t="shared" si="847"/>
        <v>123.78178766261</v>
      </c>
    </row>
    <row r="1685" spans="1:44">
      <c r="A1685" s="2">
        <v>20260511</v>
      </c>
      <c r="B1685" s="2" t="s">
        <v>3412</v>
      </c>
      <c r="C1685" s="2" t="s">
        <v>3413</v>
      </c>
      <c r="D1685" s="2">
        <v>3</v>
      </c>
      <c r="E1685" s="2">
        <v>1</v>
      </c>
      <c r="F1685" s="2">
        <v>4</v>
      </c>
      <c r="G1685" s="2">
        <v>7</v>
      </c>
      <c r="H1685" s="2">
        <v>8</v>
      </c>
      <c r="I1685" s="3">
        <v>3</v>
      </c>
      <c r="J1685" s="2">
        <v>18</v>
      </c>
      <c r="K1685" s="2">
        <v>2</v>
      </c>
      <c r="L1685" s="2">
        <v>0</v>
      </c>
      <c r="M1685" s="2">
        <v>14</v>
      </c>
      <c r="N1685" s="2">
        <v>4</v>
      </c>
      <c r="O1685" s="2">
        <v>14</v>
      </c>
      <c r="P1685" s="3">
        <v>7</v>
      </c>
      <c r="Q1685" s="2">
        <v>2</v>
      </c>
      <c r="R1685" s="2">
        <v>3</v>
      </c>
      <c r="S1685" s="2">
        <v>6</v>
      </c>
      <c r="T1685" s="2">
        <v>8</v>
      </c>
      <c r="U1685" s="2">
        <v>0</v>
      </c>
      <c r="V1685" s="2">
        <f t="shared" si="848"/>
        <v>16</v>
      </c>
      <c r="W1685" s="2">
        <v>0</v>
      </c>
      <c r="X1685" s="2">
        <v>0</v>
      </c>
      <c r="Y1685" s="2">
        <v>1</v>
      </c>
      <c r="Z1685" s="2">
        <f t="shared" si="839"/>
        <v>1</v>
      </c>
      <c r="AA1685" s="2">
        <f t="shared" si="840"/>
        <v>67</v>
      </c>
      <c r="AB1685" s="2">
        <v>2383</v>
      </c>
      <c r="AC1685" s="20">
        <f t="shared" si="841"/>
        <v>2.81158203944608</v>
      </c>
      <c r="AD1685" s="2" t="s">
        <v>49</v>
      </c>
      <c r="AE1685" s="2">
        <v>188</v>
      </c>
      <c r="AF1685" s="21">
        <f t="shared" si="842"/>
        <v>2.81158203944608</v>
      </c>
      <c r="AG1685" s="4">
        <f t="shared" si="843"/>
        <v>0.671422576584138</v>
      </c>
      <c r="AH1685" s="4">
        <f t="shared" si="844"/>
        <v>0.0419639110365086</v>
      </c>
      <c r="AI1685" s="2">
        <v>1532</v>
      </c>
      <c r="AJ1685" s="2">
        <v>147</v>
      </c>
      <c r="AK1685" s="2">
        <v>261</v>
      </c>
      <c r="AL1685" s="2">
        <v>56</v>
      </c>
      <c r="AM1685" s="2">
        <v>29</v>
      </c>
      <c r="AN1685" s="2">
        <v>9</v>
      </c>
      <c r="AO1685" s="2">
        <v>0</v>
      </c>
      <c r="AP1685" s="2">
        <f t="shared" si="845"/>
        <v>1744</v>
      </c>
      <c r="AQ1685" s="2">
        <f t="shared" si="846"/>
        <v>73.185060847671</v>
      </c>
      <c r="AR1685" s="5">
        <f t="shared" si="847"/>
        <v>137.587914393621</v>
      </c>
    </row>
    <row r="1686" spans="1:44">
      <c r="A1686" s="2">
        <v>20260511</v>
      </c>
      <c r="B1686" s="2" t="s">
        <v>3414</v>
      </c>
      <c r="C1686" s="2" t="s">
        <v>3415</v>
      </c>
      <c r="D1686" s="2">
        <v>1</v>
      </c>
      <c r="E1686" s="2">
        <v>1833</v>
      </c>
      <c r="F1686" s="2">
        <v>6</v>
      </c>
      <c r="G1686" s="2">
        <v>5</v>
      </c>
      <c r="H1686" s="2">
        <v>10</v>
      </c>
      <c r="I1686" s="3">
        <v>3</v>
      </c>
      <c r="J1686" s="2">
        <v>20</v>
      </c>
      <c r="K1686" s="2">
        <v>2</v>
      </c>
      <c r="L1686" s="2">
        <v>1</v>
      </c>
      <c r="M1686" s="2">
        <v>3</v>
      </c>
      <c r="N1686" s="2">
        <v>5</v>
      </c>
      <c r="O1686" s="2">
        <v>10</v>
      </c>
      <c r="P1686" s="3">
        <v>3</v>
      </c>
      <c r="Q1686" s="2">
        <v>4</v>
      </c>
      <c r="R1686" s="2">
        <v>7</v>
      </c>
      <c r="S1686" s="2">
        <v>1</v>
      </c>
      <c r="T1686" s="2">
        <v>4</v>
      </c>
      <c r="U1686" s="2">
        <v>4</v>
      </c>
      <c r="V1686" s="2">
        <f t="shared" si="848"/>
        <v>13</v>
      </c>
      <c r="W1686" s="2">
        <v>6</v>
      </c>
      <c r="X1686" s="2">
        <v>0</v>
      </c>
      <c r="Y1686" s="2">
        <v>0</v>
      </c>
      <c r="Z1686" s="2">
        <f t="shared" si="839"/>
        <v>10</v>
      </c>
      <c r="AA1686" s="2">
        <f t="shared" si="840"/>
        <v>55</v>
      </c>
      <c r="AB1686" s="2">
        <v>2383</v>
      </c>
      <c r="AC1686" s="20">
        <f t="shared" si="841"/>
        <v>2.30801510700797</v>
      </c>
      <c r="AD1686" s="2" t="s">
        <v>49</v>
      </c>
      <c r="AE1686" s="2">
        <v>188</v>
      </c>
      <c r="AF1686" s="21">
        <f t="shared" si="842"/>
        <v>2.30801510700797</v>
      </c>
      <c r="AG1686" s="4">
        <f t="shared" si="843"/>
        <v>0.545530843474612</v>
      </c>
      <c r="AH1686" s="4">
        <f t="shared" si="844"/>
        <v>0.419639110365086</v>
      </c>
      <c r="AI1686" s="2">
        <v>1420</v>
      </c>
      <c r="AJ1686" s="2">
        <v>127</v>
      </c>
      <c r="AK1686" s="2">
        <v>213</v>
      </c>
      <c r="AL1686" s="2">
        <v>53</v>
      </c>
      <c r="AM1686" s="2">
        <v>58</v>
      </c>
      <c r="AN1686" s="2">
        <v>5</v>
      </c>
      <c r="AO1686" s="2">
        <v>0</v>
      </c>
      <c r="AP1686" s="2">
        <f t="shared" si="845"/>
        <v>1605</v>
      </c>
      <c r="AQ1686" s="2">
        <f t="shared" si="846"/>
        <v>67.3520772135963</v>
      </c>
      <c r="AR1686" s="5">
        <f t="shared" si="847"/>
        <v>126.621905161561</v>
      </c>
    </row>
    <row r="1687" spans="1:44">
      <c r="A1687" s="2">
        <v>20260511</v>
      </c>
      <c r="B1687" s="2" t="s">
        <v>3416</v>
      </c>
      <c r="C1687" s="2" t="s">
        <v>3417</v>
      </c>
      <c r="D1687" s="2">
        <v>3</v>
      </c>
      <c r="E1687" s="2">
        <v>2</v>
      </c>
      <c r="F1687" s="2">
        <v>7</v>
      </c>
      <c r="G1687" s="2">
        <v>12</v>
      </c>
      <c r="H1687" s="2">
        <v>8</v>
      </c>
      <c r="I1687" s="3">
        <v>9</v>
      </c>
      <c r="J1687" s="2">
        <v>10</v>
      </c>
      <c r="K1687" s="2">
        <v>0</v>
      </c>
      <c r="L1687" s="2">
        <v>0</v>
      </c>
      <c r="M1687" s="2">
        <v>7</v>
      </c>
      <c r="N1687" s="2">
        <v>7</v>
      </c>
      <c r="O1687" s="2">
        <v>13</v>
      </c>
      <c r="P1687" s="3">
        <v>7</v>
      </c>
      <c r="Q1687" s="2">
        <v>8</v>
      </c>
      <c r="R1687" s="2">
        <v>8</v>
      </c>
      <c r="S1687" s="2">
        <v>4</v>
      </c>
      <c r="T1687" s="2">
        <v>4</v>
      </c>
      <c r="U1687" s="2">
        <v>0</v>
      </c>
      <c r="V1687" s="2">
        <f t="shared" si="848"/>
        <v>16</v>
      </c>
      <c r="W1687" s="2">
        <v>4</v>
      </c>
      <c r="X1687" s="2">
        <v>0</v>
      </c>
      <c r="Y1687" s="2">
        <v>3</v>
      </c>
      <c r="Z1687" s="2">
        <f t="shared" si="839"/>
        <v>7</v>
      </c>
      <c r="AA1687" s="2">
        <f t="shared" si="840"/>
        <v>57</v>
      </c>
      <c r="AB1687" s="2">
        <v>2483</v>
      </c>
      <c r="AC1687" s="20">
        <f t="shared" si="841"/>
        <v>2.29561014901329</v>
      </c>
      <c r="AD1687" s="2" t="s">
        <v>49</v>
      </c>
      <c r="AE1687" s="2">
        <v>188</v>
      </c>
      <c r="AF1687" s="21">
        <f t="shared" si="842"/>
        <v>2.29561014901329</v>
      </c>
      <c r="AG1687" s="4">
        <f t="shared" si="843"/>
        <v>0.644381796214257</v>
      </c>
      <c r="AH1687" s="4">
        <f t="shared" si="844"/>
        <v>0.281917035843737</v>
      </c>
      <c r="AI1687" s="2">
        <v>2282</v>
      </c>
      <c r="AJ1687" s="2">
        <v>186</v>
      </c>
      <c r="AK1687" s="2">
        <v>247</v>
      </c>
      <c r="AL1687" s="2">
        <v>105</v>
      </c>
      <c r="AM1687" s="2">
        <v>46</v>
      </c>
      <c r="AN1687" s="2">
        <v>10</v>
      </c>
      <c r="AO1687" s="2">
        <v>0</v>
      </c>
      <c r="AP1687" s="2">
        <f t="shared" si="845"/>
        <v>2583</v>
      </c>
      <c r="AQ1687" s="2">
        <f t="shared" si="846"/>
        <v>108.392782207302</v>
      </c>
      <c r="AR1687" s="5">
        <f t="shared" si="847"/>
        <v>203.778430549727</v>
      </c>
    </row>
    <row r="1688" spans="1:44">
      <c r="A1688" s="2">
        <v>20260511</v>
      </c>
      <c r="B1688" s="2" t="s">
        <v>3418</v>
      </c>
      <c r="C1688" s="2" t="s">
        <v>3419</v>
      </c>
      <c r="D1688" s="2">
        <v>8</v>
      </c>
      <c r="E1688" s="2">
        <v>1</v>
      </c>
      <c r="F1688" s="2">
        <v>22</v>
      </c>
      <c r="G1688" s="2">
        <v>3</v>
      </c>
      <c r="H1688" s="2">
        <v>10</v>
      </c>
      <c r="I1688" s="3">
        <v>6</v>
      </c>
      <c r="J1688" s="2">
        <v>12</v>
      </c>
      <c r="K1688" s="2">
        <v>2</v>
      </c>
      <c r="L1688" s="2">
        <v>0</v>
      </c>
      <c r="M1688" s="2">
        <v>5</v>
      </c>
      <c r="N1688" s="2">
        <v>14</v>
      </c>
      <c r="O1688" s="2">
        <v>25</v>
      </c>
      <c r="P1688" s="3">
        <v>10</v>
      </c>
      <c r="Q1688" s="2">
        <v>12</v>
      </c>
      <c r="R1688" s="2">
        <v>3</v>
      </c>
      <c r="S1688" s="2">
        <v>1</v>
      </c>
      <c r="T1688" s="2">
        <v>4</v>
      </c>
      <c r="U1688" s="2">
        <v>0</v>
      </c>
      <c r="V1688" s="2">
        <f t="shared" si="848"/>
        <v>17</v>
      </c>
      <c r="W1688" s="2">
        <v>11</v>
      </c>
      <c r="X1688" s="2">
        <v>0</v>
      </c>
      <c r="Y1688" s="2">
        <v>0</v>
      </c>
      <c r="Z1688" s="2">
        <f t="shared" si="839"/>
        <v>11</v>
      </c>
      <c r="AA1688" s="2">
        <f t="shared" si="840"/>
        <v>52</v>
      </c>
      <c r="AB1688" s="2">
        <v>2384</v>
      </c>
      <c r="AC1688" s="20">
        <f t="shared" si="841"/>
        <v>2.18120805369128</v>
      </c>
      <c r="AD1688" s="2" t="s">
        <v>49</v>
      </c>
      <c r="AE1688" s="2">
        <v>188</v>
      </c>
      <c r="AF1688" s="21">
        <f t="shared" si="842"/>
        <v>2.18120805369128</v>
      </c>
      <c r="AG1688" s="4">
        <f t="shared" si="843"/>
        <v>0.713087248322148</v>
      </c>
      <c r="AH1688" s="4">
        <f t="shared" si="844"/>
        <v>0.461409395973154</v>
      </c>
      <c r="AI1688" s="2">
        <v>1603</v>
      </c>
      <c r="AJ1688" s="2">
        <v>135</v>
      </c>
      <c r="AK1688" s="2">
        <v>229</v>
      </c>
      <c r="AL1688" s="2">
        <v>105</v>
      </c>
      <c r="AM1688" s="2">
        <v>27</v>
      </c>
      <c r="AN1688" s="2">
        <v>2</v>
      </c>
      <c r="AO1688" s="2">
        <v>0</v>
      </c>
      <c r="AP1688" s="2">
        <f t="shared" si="845"/>
        <v>1845</v>
      </c>
      <c r="AQ1688" s="2">
        <f t="shared" si="846"/>
        <v>74.3052758759565</v>
      </c>
      <c r="AR1688" s="5">
        <f t="shared" si="847"/>
        <v>139.693918646798</v>
      </c>
    </row>
    <row r="1689" spans="1:44">
      <c r="A1689" s="2">
        <v>20260511</v>
      </c>
      <c r="B1689" s="2" t="s">
        <v>3420</v>
      </c>
      <c r="C1689" s="2" t="s">
        <v>3421</v>
      </c>
      <c r="D1689" s="2">
        <v>4</v>
      </c>
      <c r="E1689" s="2">
        <v>19</v>
      </c>
      <c r="F1689" s="2">
        <v>3</v>
      </c>
      <c r="G1689" s="2">
        <v>8</v>
      </c>
      <c r="H1689" s="2">
        <v>6</v>
      </c>
      <c r="I1689" s="3">
        <v>14</v>
      </c>
      <c r="J1689" s="2">
        <v>4</v>
      </c>
      <c r="K1689" s="2">
        <v>6</v>
      </c>
      <c r="L1689" s="2">
        <v>14</v>
      </c>
      <c r="M1689" s="2">
        <v>31</v>
      </c>
      <c r="N1689" s="2">
        <v>4</v>
      </c>
      <c r="O1689" s="2">
        <v>6</v>
      </c>
      <c r="P1689" s="3">
        <v>3</v>
      </c>
      <c r="Q1689" s="2">
        <v>3</v>
      </c>
      <c r="R1689" s="2">
        <v>2</v>
      </c>
      <c r="S1689" s="2">
        <v>4</v>
      </c>
      <c r="T1689" s="2">
        <v>0</v>
      </c>
      <c r="U1689" s="2">
        <v>0</v>
      </c>
      <c r="V1689" s="2">
        <f t="shared" si="848"/>
        <v>7</v>
      </c>
      <c r="W1689" s="2">
        <v>10</v>
      </c>
      <c r="X1689" s="2">
        <v>0</v>
      </c>
      <c r="Y1689" s="2">
        <v>0</v>
      </c>
      <c r="Z1689" s="2">
        <f t="shared" si="839"/>
        <v>10</v>
      </c>
      <c r="AA1689" s="2">
        <f t="shared" si="840"/>
        <v>86</v>
      </c>
      <c r="AB1689" s="2">
        <v>2384</v>
      </c>
      <c r="AC1689" s="20">
        <f t="shared" si="841"/>
        <v>3.60738255033557</v>
      </c>
      <c r="AD1689" s="2" t="s">
        <v>49</v>
      </c>
      <c r="AE1689" s="2">
        <v>188</v>
      </c>
      <c r="AF1689" s="21">
        <f t="shared" si="842"/>
        <v>3.60738255033557</v>
      </c>
      <c r="AG1689" s="4">
        <f t="shared" si="843"/>
        <v>0.293624161073825</v>
      </c>
      <c r="AH1689" s="4">
        <f t="shared" si="844"/>
        <v>0.419463087248322</v>
      </c>
      <c r="AI1689" s="2">
        <v>2518</v>
      </c>
      <c r="AJ1689" s="2">
        <v>129</v>
      </c>
      <c r="AK1689" s="2">
        <v>220</v>
      </c>
      <c r="AL1689" s="2">
        <v>113</v>
      </c>
      <c r="AM1689" s="2">
        <v>39</v>
      </c>
      <c r="AN1689" s="2">
        <v>7</v>
      </c>
      <c r="AO1689" s="2">
        <v>0</v>
      </c>
      <c r="AP1689" s="2">
        <f t="shared" si="845"/>
        <v>2767</v>
      </c>
      <c r="AQ1689" s="2">
        <f t="shared" si="846"/>
        <v>116.065436241611</v>
      </c>
      <c r="AR1689" s="5">
        <f t="shared" si="847"/>
        <v>218.203020134228</v>
      </c>
    </row>
    <row r="1690" spans="1:44">
      <c r="A1690" s="2">
        <v>20260511</v>
      </c>
      <c r="B1690" s="2" t="s">
        <v>3422</v>
      </c>
      <c r="C1690" s="2" t="s">
        <v>3423</v>
      </c>
      <c r="D1690" s="2">
        <v>6</v>
      </c>
      <c r="E1690" s="2">
        <v>10</v>
      </c>
      <c r="F1690" s="2">
        <v>16</v>
      </c>
      <c r="G1690" s="2">
        <v>15</v>
      </c>
      <c r="H1690" s="2">
        <v>41</v>
      </c>
      <c r="I1690" s="3">
        <v>14</v>
      </c>
      <c r="J1690" s="2">
        <v>100</v>
      </c>
      <c r="K1690" s="2">
        <v>8</v>
      </c>
      <c r="L1690" s="2">
        <v>6</v>
      </c>
      <c r="M1690" s="2">
        <v>12</v>
      </c>
      <c r="N1690" s="2">
        <v>20</v>
      </c>
      <c r="O1690" s="2">
        <v>25</v>
      </c>
      <c r="P1690" s="3">
        <v>10</v>
      </c>
      <c r="Q1690" s="2">
        <v>18</v>
      </c>
      <c r="R1690" s="2">
        <v>19</v>
      </c>
      <c r="S1690" s="2">
        <v>12</v>
      </c>
      <c r="T1690" s="2">
        <v>7</v>
      </c>
      <c r="U1690" s="2">
        <v>3</v>
      </c>
      <c r="V1690" s="2">
        <f t="shared" si="848"/>
        <v>40</v>
      </c>
      <c r="W1690" s="2">
        <v>5</v>
      </c>
      <c r="X1690" s="2">
        <v>0</v>
      </c>
      <c r="Y1690" s="2">
        <v>0</v>
      </c>
      <c r="Z1690" s="2">
        <f t="shared" si="839"/>
        <v>8</v>
      </c>
      <c r="AA1690" s="2">
        <f t="shared" si="840"/>
        <v>216</v>
      </c>
      <c r="AB1690" s="2">
        <v>2883</v>
      </c>
      <c r="AC1690" s="20">
        <f t="shared" si="841"/>
        <v>7.49219562955255</v>
      </c>
      <c r="AD1690" s="2" t="s">
        <v>49</v>
      </c>
      <c r="AE1690" s="2">
        <v>188</v>
      </c>
      <c r="AF1690" s="21">
        <f t="shared" si="842"/>
        <v>7.49219562955255</v>
      </c>
      <c r="AG1690" s="4">
        <f t="shared" si="843"/>
        <v>1.38744363510232</v>
      </c>
      <c r="AH1690" s="4">
        <f t="shared" si="844"/>
        <v>0.277488727020465</v>
      </c>
      <c r="AI1690" s="2">
        <v>3157</v>
      </c>
      <c r="AJ1690" s="2">
        <v>340</v>
      </c>
      <c r="AK1690" s="2">
        <v>252</v>
      </c>
      <c r="AL1690" s="2">
        <v>154</v>
      </c>
      <c r="AM1690" s="2">
        <v>144</v>
      </c>
      <c r="AN1690" s="2">
        <v>26</v>
      </c>
      <c r="AO1690" s="2">
        <v>0</v>
      </c>
      <c r="AP1690" s="2">
        <f t="shared" si="845"/>
        <v>3677</v>
      </c>
      <c r="AQ1690" s="2">
        <f t="shared" si="846"/>
        <v>154.236577181208</v>
      </c>
      <c r="AR1690" s="5">
        <f t="shared" si="847"/>
        <v>289.964765100671</v>
      </c>
    </row>
    <row r="1691" spans="1:44">
      <c r="A1691" s="2">
        <v>20260511</v>
      </c>
      <c r="B1691" s="2" t="s">
        <v>3424</v>
      </c>
      <c r="C1691" s="2" t="s">
        <v>3425</v>
      </c>
      <c r="D1691" s="2">
        <v>6</v>
      </c>
      <c r="E1691" s="2">
        <v>5</v>
      </c>
      <c r="F1691" s="2">
        <v>5</v>
      </c>
      <c r="G1691" s="2">
        <v>2</v>
      </c>
      <c r="H1691" s="2">
        <v>7</v>
      </c>
      <c r="I1691" s="3">
        <v>7</v>
      </c>
      <c r="J1691" s="2">
        <v>10</v>
      </c>
      <c r="K1691" s="2">
        <v>2</v>
      </c>
      <c r="L1691" s="2">
        <v>0</v>
      </c>
      <c r="M1691" s="2">
        <v>3</v>
      </c>
      <c r="N1691" s="2">
        <v>10</v>
      </c>
      <c r="O1691" s="2">
        <v>15</v>
      </c>
      <c r="P1691" s="3">
        <v>3</v>
      </c>
      <c r="Q1691" s="2">
        <v>8</v>
      </c>
      <c r="R1691" s="2">
        <v>2</v>
      </c>
      <c r="S1691" s="2">
        <v>1</v>
      </c>
      <c r="T1691" s="2">
        <v>4</v>
      </c>
      <c r="U1691" s="2">
        <v>0</v>
      </c>
      <c r="V1691" s="2">
        <f t="shared" si="848"/>
        <v>13</v>
      </c>
      <c r="W1691" s="2">
        <v>1</v>
      </c>
      <c r="X1691" s="2">
        <v>2</v>
      </c>
      <c r="Y1691" s="2">
        <v>0</v>
      </c>
      <c r="Z1691" s="2">
        <f t="shared" si="839"/>
        <v>3</v>
      </c>
      <c r="AA1691" s="2">
        <f t="shared" si="840"/>
        <v>38</v>
      </c>
      <c r="AB1691" s="2">
        <v>2384</v>
      </c>
      <c r="AC1691" s="20">
        <f t="shared" si="841"/>
        <v>1.59395973154362</v>
      </c>
      <c r="AD1691" s="2" t="s">
        <v>49</v>
      </c>
      <c r="AE1691" s="2">
        <v>188</v>
      </c>
      <c r="AF1691" s="21">
        <f t="shared" si="842"/>
        <v>1.59395973154362</v>
      </c>
      <c r="AG1691" s="4">
        <f t="shared" si="843"/>
        <v>0.545302013422819</v>
      </c>
      <c r="AH1691" s="4">
        <f t="shared" si="844"/>
        <v>0.125838926174497</v>
      </c>
      <c r="AI1691" s="2">
        <v>2825</v>
      </c>
      <c r="AJ1691" s="2">
        <v>140</v>
      </c>
      <c r="AK1691" s="2">
        <v>219</v>
      </c>
      <c r="AL1691" s="2">
        <v>187</v>
      </c>
      <c r="AM1691" s="2">
        <v>10</v>
      </c>
      <c r="AN1691" s="2">
        <v>0</v>
      </c>
      <c r="AO1691" s="2">
        <v>0</v>
      </c>
      <c r="AP1691" s="2">
        <f t="shared" si="845"/>
        <v>3152</v>
      </c>
      <c r="AQ1691" s="2">
        <f t="shared" si="846"/>
        <v>109.330558446063</v>
      </c>
      <c r="AR1691" s="5">
        <f t="shared" si="847"/>
        <v>205.541449878599</v>
      </c>
    </row>
    <row r="1692" spans="1:44">
      <c r="A1692" s="2">
        <v>20260511</v>
      </c>
      <c r="B1692" s="2" t="s">
        <v>3426</v>
      </c>
      <c r="C1692" s="2" t="s">
        <v>3427</v>
      </c>
      <c r="D1692" s="2">
        <v>1</v>
      </c>
      <c r="E1692" s="2">
        <v>2</v>
      </c>
      <c r="F1692" s="2">
        <v>4</v>
      </c>
      <c r="G1692" s="2">
        <v>5</v>
      </c>
      <c r="H1692" s="2">
        <v>2</v>
      </c>
      <c r="I1692" s="3">
        <v>6</v>
      </c>
      <c r="J1692" s="2">
        <v>5</v>
      </c>
      <c r="K1692" s="2">
        <v>2</v>
      </c>
      <c r="L1692" s="2">
        <v>0</v>
      </c>
      <c r="M1692" s="2">
        <v>5</v>
      </c>
      <c r="N1692" s="2">
        <v>11</v>
      </c>
      <c r="O1692" s="2">
        <v>9</v>
      </c>
      <c r="P1692" s="3">
        <v>8</v>
      </c>
      <c r="Q1692" s="2">
        <v>4</v>
      </c>
      <c r="R1692" s="2">
        <v>10</v>
      </c>
      <c r="S1692" s="2">
        <v>1</v>
      </c>
      <c r="T1692" s="2">
        <v>2</v>
      </c>
      <c r="U1692" s="2">
        <v>0</v>
      </c>
      <c r="V1692" s="2">
        <f t="shared" si="848"/>
        <v>7</v>
      </c>
      <c r="W1692" s="2">
        <v>0</v>
      </c>
      <c r="X1692" s="2">
        <v>1</v>
      </c>
      <c r="Y1692" s="2">
        <v>0</v>
      </c>
      <c r="Z1692" s="2">
        <f t="shared" si="839"/>
        <v>1</v>
      </c>
      <c r="AA1692" s="2">
        <f t="shared" si="840"/>
        <v>35</v>
      </c>
      <c r="AB1692" s="2">
        <v>2434</v>
      </c>
      <c r="AC1692" s="20">
        <f t="shared" si="841"/>
        <v>1.4379622021364</v>
      </c>
      <c r="AD1692" s="2" t="s">
        <v>49</v>
      </c>
      <c r="AE1692" s="2">
        <v>188</v>
      </c>
      <c r="AF1692" s="21">
        <f t="shared" si="842"/>
        <v>1.4379622021364</v>
      </c>
      <c r="AG1692" s="4">
        <f t="shared" si="843"/>
        <v>0.28759244042728</v>
      </c>
      <c r="AH1692" s="4">
        <f t="shared" si="844"/>
        <v>0.0410846343467543</v>
      </c>
      <c r="AO1692" s="2">
        <v>0</v>
      </c>
      <c r="AP1692" s="2">
        <f t="shared" si="845"/>
        <v>0</v>
      </c>
      <c r="AQ1692" s="2">
        <f t="shared" si="846"/>
        <v>0</v>
      </c>
      <c r="AR1692" s="5">
        <f t="shared" si="847"/>
        <v>0</v>
      </c>
    </row>
    <row r="1693" spans="1:44">
      <c r="A1693" s="2">
        <v>20260511</v>
      </c>
      <c r="B1693" s="2" t="s">
        <v>3428</v>
      </c>
      <c r="C1693" s="2" t="s">
        <v>3429</v>
      </c>
      <c r="D1693" s="2">
        <v>13</v>
      </c>
      <c r="E1693" s="2">
        <v>15</v>
      </c>
      <c r="F1693" s="2">
        <v>46</v>
      </c>
      <c r="G1693" s="2">
        <v>16</v>
      </c>
      <c r="H1693" s="2">
        <v>24</v>
      </c>
      <c r="I1693" s="3">
        <v>96</v>
      </c>
      <c r="J1693" s="2">
        <v>12</v>
      </c>
      <c r="K1693" s="2">
        <v>19</v>
      </c>
      <c r="L1693" s="2">
        <v>2</v>
      </c>
      <c r="M1693" s="2">
        <v>4</v>
      </c>
      <c r="N1693" s="2">
        <v>15</v>
      </c>
      <c r="O1693" s="2">
        <v>77</v>
      </c>
      <c r="P1693" s="3">
        <v>17</v>
      </c>
      <c r="Q1693" s="2">
        <v>23</v>
      </c>
      <c r="R1693" s="2">
        <v>8</v>
      </c>
      <c r="S1693" s="2">
        <v>7</v>
      </c>
      <c r="T1693" s="2">
        <v>25</v>
      </c>
      <c r="U1693" s="2">
        <v>4</v>
      </c>
      <c r="V1693" s="2">
        <f t="shared" si="848"/>
        <v>59</v>
      </c>
      <c r="W1693" s="2">
        <v>5</v>
      </c>
      <c r="X1693" s="2">
        <v>4</v>
      </c>
      <c r="Y1693" s="2">
        <v>0</v>
      </c>
      <c r="Z1693" s="2">
        <f t="shared" si="839"/>
        <v>13</v>
      </c>
      <c r="AA1693" s="2">
        <f t="shared" si="840"/>
        <v>219</v>
      </c>
      <c r="AB1693" s="2">
        <v>2424</v>
      </c>
      <c r="AC1693" s="20">
        <f t="shared" si="841"/>
        <v>9.03465346534654</v>
      </c>
      <c r="AD1693" s="2" t="s">
        <v>49</v>
      </c>
      <c r="AE1693" s="2">
        <v>188</v>
      </c>
      <c r="AF1693" s="21">
        <f t="shared" si="842"/>
        <v>9.03465346534654</v>
      </c>
      <c r="AG1693" s="4">
        <f t="shared" si="843"/>
        <v>2.43399339933993</v>
      </c>
      <c r="AH1693" s="4">
        <f t="shared" si="844"/>
        <v>0.536303630363036</v>
      </c>
      <c r="AI1693" s="2">
        <v>2359</v>
      </c>
      <c r="AJ1693" s="2">
        <v>307</v>
      </c>
      <c r="AK1693" s="2">
        <v>200</v>
      </c>
      <c r="AL1693" s="2">
        <v>276</v>
      </c>
      <c r="AM1693" s="2">
        <v>107</v>
      </c>
      <c r="AN1693" s="2">
        <v>22</v>
      </c>
      <c r="AO1693" s="2">
        <v>0</v>
      </c>
      <c r="AP1693" s="2">
        <f t="shared" si="845"/>
        <v>2964</v>
      </c>
      <c r="AQ1693" s="2">
        <f t="shared" si="846"/>
        <v>121.77485620378</v>
      </c>
      <c r="AR1693" s="5">
        <f t="shared" si="847"/>
        <v>228.936729663106</v>
      </c>
    </row>
    <row r="1694" spans="1:44">
      <c r="A1694" s="2">
        <v>20260511</v>
      </c>
      <c r="B1694" s="2" t="s">
        <v>3430</v>
      </c>
      <c r="C1694" s="2" t="s">
        <v>3431</v>
      </c>
      <c r="D1694" s="2">
        <v>6</v>
      </c>
      <c r="E1694" s="2">
        <v>14</v>
      </c>
      <c r="F1694" s="2">
        <v>17</v>
      </c>
      <c r="G1694" s="2">
        <v>6</v>
      </c>
      <c r="H1694" s="2">
        <v>8</v>
      </c>
      <c r="I1694" s="3">
        <v>4</v>
      </c>
      <c r="J1694" s="2">
        <v>10</v>
      </c>
      <c r="K1694" s="2">
        <v>9</v>
      </c>
      <c r="L1694" s="2">
        <v>2</v>
      </c>
      <c r="M1694" s="2">
        <v>3</v>
      </c>
      <c r="N1694" s="2">
        <v>14</v>
      </c>
      <c r="O1694" s="2">
        <v>35</v>
      </c>
      <c r="P1694" s="3">
        <v>9</v>
      </c>
      <c r="Q1694" s="2">
        <v>5</v>
      </c>
      <c r="R1694" s="2">
        <v>13</v>
      </c>
      <c r="S1694" s="2">
        <v>4</v>
      </c>
      <c r="T1694" s="2">
        <v>4</v>
      </c>
      <c r="U1694" s="2">
        <v>1</v>
      </c>
      <c r="V1694" s="2">
        <f t="shared" si="848"/>
        <v>14</v>
      </c>
      <c r="W1694" s="2">
        <v>5</v>
      </c>
      <c r="X1694" s="2">
        <v>1</v>
      </c>
      <c r="Y1694" s="2">
        <v>0</v>
      </c>
      <c r="Z1694" s="2">
        <f t="shared" si="839"/>
        <v>7</v>
      </c>
      <c r="AA1694" s="2">
        <f t="shared" si="840"/>
        <v>56</v>
      </c>
      <c r="AB1694" s="2">
        <v>2424</v>
      </c>
      <c r="AC1694" s="20">
        <f t="shared" si="841"/>
        <v>2.31023102310231</v>
      </c>
      <c r="AD1694" s="2" t="s">
        <v>49</v>
      </c>
      <c r="AE1694" s="2">
        <v>188</v>
      </c>
      <c r="AF1694" s="21">
        <f t="shared" si="842"/>
        <v>2.31023102310231</v>
      </c>
      <c r="AG1694" s="4">
        <f t="shared" si="843"/>
        <v>0.577557755775578</v>
      </c>
      <c r="AH1694" s="4">
        <f t="shared" si="844"/>
        <v>0.288778877887789</v>
      </c>
      <c r="AI1694" s="2">
        <v>1359</v>
      </c>
      <c r="AJ1694" s="2">
        <v>129</v>
      </c>
      <c r="AK1694" s="2">
        <v>249</v>
      </c>
      <c r="AL1694" s="2">
        <v>63</v>
      </c>
      <c r="AM1694" s="2">
        <v>55</v>
      </c>
      <c r="AN1694" s="2">
        <v>5</v>
      </c>
      <c r="AO1694" s="2">
        <v>0</v>
      </c>
      <c r="AP1694" s="2">
        <f t="shared" si="845"/>
        <v>1556</v>
      </c>
      <c r="AQ1694" s="2">
        <f t="shared" si="846"/>
        <v>64.1914191419142</v>
      </c>
      <c r="AR1694" s="5">
        <f t="shared" si="847"/>
        <v>120.679867986799</v>
      </c>
    </row>
    <row r="1695" spans="1:44">
      <c r="A1695" s="2">
        <v>20260511</v>
      </c>
      <c r="B1695" s="2" t="s">
        <v>3432</v>
      </c>
      <c r="C1695" s="2" t="s">
        <v>3433</v>
      </c>
      <c r="D1695" s="2">
        <v>4</v>
      </c>
      <c r="E1695" s="2">
        <v>0</v>
      </c>
      <c r="F1695" s="2">
        <v>7</v>
      </c>
      <c r="G1695" s="2">
        <v>5</v>
      </c>
      <c r="H1695" s="2">
        <v>3</v>
      </c>
      <c r="I1695" s="3">
        <v>13</v>
      </c>
      <c r="J1695" s="2">
        <v>3</v>
      </c>
      <c r="K1695" s="2">
        <v>1</v>
      </c>
      <c r="L1695" s="2">
        <v>0</v>
      </c>
      <c r="M1695" s="2">
        <v>5</v>
      </c>
      <c r="N1695" s="2">
        <v>6</v>
      </c>
      <c r="O1695" s="2">
        <v>5</v>
      </c>
      <c r="P1695" s="3">
        <v>4</v>
      </c>
      <c r="Q1695" s="2">
        <v>2</v>
      </c>
      <c r="R1695" s="2">
        <v>2</v>
      </c>
      <c r="S1695" s="2">
        <v>2</v>
      </c>
      <c r="T1695" s="2">
        <v>6</v>
      </c>
      <c r="U1695" s="2">
        <v>0</v>
      </c>
      <c r="V1695" s="2">
        <f t="shared" ref="V1695:V1704" si="849">U1695+T1695+S1695+Q1695</f>
        <v>10</v>
      </c>
      <c r="W1695" s="2">
        <v>3</v>
      </c>
      <c r="X1695" s="2">
        <v>9</v>
      </c>
      <c r="Y1695" s="2">
        <v>0</v>
      </c>
      <c r="Z1695" s="2">
        <f t="shared" ref="Z1695:Z1704" si="850">Y1695+X1695+W1695+U1695</f>
        <v>12</v>
      </c>
      <c r="AA1695" s="2">
        <f t="shared" ref="AA1695:AA1704" si="851">G1695+H1695+I1695+J1695+K1695+L1695+M1695+P1695+T1695+U1695</f>
        <v>40</v>
      </c>
      <c r="AB1695" s="2">
        <v>2284</v>
      </c>
      <c r="AC1695" s="20">
        <f t="shared" ref="AC1695:AC1704" si="852">AA1695/AB1695*100</f>
        <v>1.75131348511384</v>
      </c>
      <c r="AD1695" s="2" t="s">
        <v>49</v>
      </c>
      <c r="AE1695" s="2">
        <v>188</v>
      </c>
      <c r="AF1695" s="21">
        <f t="shared" ref="AF1695:AF1704" si="853">188/AE1695*AC1695</f>
        <v>1.75131348511384</v>
      </c>
      <c r="AG1695" s="4">
        <f t="shared" ref="AG1695:AG1704" si="854">V1695/AB1695*100</f>
        <v>0.437828371278459</v>
      </c>
      <c r="AH1695" s="4">
        <f t="shared" ref="AH1695:AH1704" si="855">Z1695/AB1695*100</f>
        <v>0.525394045534151</v>
      </c>
      <c r="AO1695" s="2">
        <v>0</v>
      </c>
      <c r="AP1695" s="2">
        <f t="shared" si="845"/>
        <v>0</v>
      </c>
      <c r="AQ1695" s="2" t="e">
        <f>AP1695/#REF!*100</f>
        <v>#REF!</v>
      </c>
      <c r="AR1695" s="5" t="e">
        <f t="shared" si="847"/>
        <v>#REF!</v>
      </c>
    </row>
    <row r="1696" spans="1:44">
      <c r="A1696" s="2">
        <v>20260511</v>
      </c>
      <c r="B1696" s="2" t="s">
        <v>3434</v>
      </c>
      <c r="C1696" s="2" t="s">
        <v>3435</v>
      </c>
      <c r="D1696" s="2">
        <v>8</v>
      </c>
      <c r="E1696" s="2">
        <v>10</v>
      </c>
      <c r="F1696" s="2">
        <v>27</v>
      </c>
      <c r="G1696" s="2">
        <v>21</v>
      </c>
      <c r="H1696" s="2">
        <v>31</v>
      </c>
      <c r="I1696" s="3">
        <v>20</v>
      </c>
      <c r="J1696" s="2">
        <v>30</v>
      </c>
      <c r="K1696" s="2">
        <v>39</v>
      </c>
      <c r="L1696" s="2">
        <v>2</v>
      </c>
      <c r="M1696" s="2">
        <v>16</v>
      </c>
      <c r="N1696" s="2">
        <v>52</v>
      </c>
      <c r="O1696" s="2">
        <v>70</v>
      </c>
      <c r="P1696" s="3">
        <v>14</v>
      </c>
      <c r="Q1696" s="2">
        <v>28</v>
      </c>
      <c r="R1696" s="2">
        <v>15</v>
      </c>
      <c r="S1696" s="2">
        <v>2</v>
      </c>
      <c r="T1696" s="2">
        <v>26</v>
      </c>
      <c r="U1696" s="2">
        <v>2</v>
      </c>
      <c r="V1696" s="2">
        <f t="shared" si="849"/>
        <v>58</v>
      </c>
      <c r="W1696" s="2">
        <v>3</v>
      </c>
      <c r="X1696" s="2">
        <v>5</v>
      </c>
      <c r="Y1696" s="2">
        <v>0</v>
      </c>
      <c r="Z1696" s="2">
        <f t="shared" si="850"/>
        <v>10</v>
      </c>
      <c r="AA1696" s="2">
        <f t="shared" si="851"/>
        <v>201</v>
      </c>
      <c r="AB1696" s="2">
        <v>2594</v>
      </c>
      <c r="AC1696" s="20">
        <f t="shared" si="852"/>
        <v>7.74865073245952</v>
      </c>
      <c r="AD1696" s="2" t="s">
        <v>49</v>
      </c>
      <c r="AE1696" s="2">
        <v>188</v>
      </c>
      <c r="AF1696" s="21">
        <f t="shared" si="853"/>
        <v>7.74865073245952</v>
      </c>
      <c r="AG1696" s="4">
        <f t="shared" si="854"/>
        <v>2.23592906707787</v>
      </c>
      <c r="AH1696" s="4">
        <f t="shared" si="855"/>
        <v>0.38550501156515</v>
      </c>
      <c r="AI1696" s="2">
        <v>2832</v>
      </c>
      <c r="AJ1696" s="2">
        <v>255</v>
      </c>
      <c r="AK1696" s="2">
        <v>180</v>
      </c>
      <c r="AL1696" s="2">
        <v>282</v>
      </c>
      <c r="AM1696" s="2">
        <v>298</v>
      </c>
      <c r="AN1696" s="2">
        <v>14</v>
      </c>
      <c r="AO1696" s="2">
        <v>0</v>
      </c>
      <c r="AP1696" s="2">
        <f t="shared" si="845"/>
        <v>3383</v>
      </c>
      <c r="AQ1696" s="2">
        <f t="shared" ref="AQ1696:AQ1708" si="856">AP1696/AB1695*100</f>
        <v>148.117338003503</v>
      </c>
      <c r="AR1696" s="5">
        <f t="shared" si="847"/>
        <v>278.460595446585</v>
      </c>
    </row>
    <row r="1697" spans="1:44">
      <c r="A1697" s="2">
        <v>20260511</v>
      </c>
      <c r="B1697" s="2" t="s">
        <v>3436</v>
      </c>
      <c r="C1697" s="2" t="s">
        <v>3437</v>
      </c>
      <c r="D1697" s="2">
        <v>3</v>
      </c>
      <c r="E1697" s="2">
        <v>11</v>
      </c>
      <c r="F1697" s="2">
        <v>5</v>
      </c>
      <c r="G1697" s="2">
        <v>5</v>
      </c>
      <c r="H1697" s="2">
        <v>5</v>
      </c>
      <c r="I1697" s="3">
        <v>4</v>
      </c>
      <c r="J1697" s="2">
        <v>7</v>
      </c>
      <c r="K1697" s="2">
        <v>0</v>
      </c>
      <c r="L1697" s="2">
        <v>0</v>
      </c>
      <c r="M1697" s="2">
        <v>9</v>
      </c>
      <c r="N1697" s="2">
        <v>11</v>
      </c>
      <c r="O1697" s="2">
        <v>11</v>
      </c>
      <c r="P1697" s="3">
        <v>4</v>
      </c>
      <c r="Q1697" s="2">
        <v>5</v>
      </c>
      <c r="R1697" s="2">
        <v>17</v>
      </c>
      <c r="S1697" s="2">
        <v>2</v>
      </c>
      <c r="T1697" s="2">
        <v>9</v>
      </c>
      <c r="U1697" s="2">
        <v>0</v>
      </c>
      <c r="V1697" s="2">
        <f t="shared" si="849"/>
        <v>16</v>
      </c>
      <c r="W1697" s="2">
        <v>7</v>
      </c>
      <c r="X1697" s="2">
        <v>0</v>
      </c>
      <c r="Y1697" s="2">
        <v>0</v>
      </c>
      <c r="Z1697" s="2">
        <f t="shared" si="850"/>
        <v>7</v>
      </c>
      <c r="AA1697" s="2">
        <f t="shared" si="851"/>
        <v>43</v>
      </c>
      <c r="AB1697" s="2">
        <v>2284</v>
      </c>
      <c r="AC1697" s="20">
        <f t="shared" si="852"/>
        <v>1.88266199649737</v>
      </c>
      <c r="AD1697" s="2" t="s">
        <v>49</v>
      </c>
      <c r="AE1697" s="2">
        <v>188</v>
      </c>
      <c r="AF1697" s="21">
        <f t="shared" si="853"/>
        <v>1.88266199649737</v>
      </c>
      <c r="AG1697" s="4">
        <f t="shared" si="854"/>
        <v>0.700525394045534</v>
      </c>
      <c r="AH1697" s="4">
        <f t="shared" si="855"/>
        <v>0.306479859894921</v>
      </c>
      <c r="AO1697" s="2">
        <v>0</v>
      </c>
      <c r="AP1697" s="2">
        <f t="shared" si="845"/>
        <v>0</v>
      </c>
      <c r="AQ1697" s="2">
        <f t="shared" si="856"/>
        <v>0</v>
      </c>
      <c r="AR1697" s="5">
        <f t="shared" si="847"/>
        <v>0</v>
      </c>
    </row>
    <row r="1698" spans="1:44">
      <c r="A1698" s="2">
        <v>20260511</v>
      </c>
      <c r="B1698" s="2" t="s">
        <v>3438</v>
      </c>
      <c r="C1698" s="2" t="s">
        <v>3439</v>
      </c>
      <c r="D1698" s="2">
        <v>5</v>
      </c>
      <c r="E1698" s="2">
        <v>4</v>
      </c>
      <c r="F1698" s="2">
        <v>5</v>
      </c>
      <c r="G1698" s="2">
        <v>4</v>
      </c>
      <c r="H1698" s="2">
        <v>4</v>
      </c>
      <c r="I1698" s="3">
        <v>9</v>
      </c>
      <c r="J1698" s="2">
        <v>4</v>
      </c>
      <c r="K1698" s="2">
        <v>2</v>
      </c>
      <c r="L1698" s="2">
        <v>0</v>
      </c>
      <c r="M1698" s="2">
        <v>7</v>
      </c>
      <c r="N1698" s="2">
        <v>14</v>
      </c>
      <c r="O1698" s="2">
        <v>14</v>
      </c>
      <c r="P1698" s="3">
        <v>5</v>
      </c>
      <c r="Q1698" s="2">
        <v>2</v>
      </c>
      <c r="R1698" s="2">
        <v>2</v>
      </c>
      <c r="S1698" s="2">
        <v>3</v>
      </c>
      <c r="T1698" s="2">
        <v>3</v>
      </c>
      <c r="U1698" s="2">
        <v>1</v>
      </c>
      <c r="V1698" s="2">
        <f t="shared" si="849"/>
        <v>9</v>
      </c>
      <c r="W1698" s="2">
        <v>2</v>
      </c>
      <c r="X1698" s="2">
        <v>7</v>
      </c>
      <c r="Y1698" s="2">
        <v>0</v>
      </c>
      <c r="Z1698" s="2">
        <f t="shared" si="850"/>
        <v>10</v>
      </c>
      <c r="AA1698" s="2">
        <f t="shared" si="851"/>
        <v>39</v>
      </c>
      <c r="AB1698" s="2">
        <v>2384</v>
      </c>
      <c r="AC1698" s="20">
        <f t="shared" si="852"/>
        <v>1.63590604026846</v>
      </c>
      <c r="AD1698" s="2" t="s">
        <v>49</v>
      </c>
      <c r="AE1698" s="2">
        <v>188</v>
      </c>
      <c r="AF1698" s="21">
        <f t="shared" si="853"/>
        <v>1.63590604026846</v>
      </c>
      <c r="AG1698" s="4">
        <f t="shared" si="854"/>
        <v>0.37751677852349</v>
      </c>
      <c r="AH1698" s="4">
        <f t="shared" si="855"/>
        <v>0.419463087248322</v>
      </c>
      <c r="AI1698" s="2">
        <v>1017</v>
      </c>
      <c r="AJ1698" s="2">
        <v>79</v>
      </c>
      <c r="AK1698" s="2">
        <v>239</v>
      </c>
      <c r="AL1698" s="2">
        <v>53</v>
      </c>
      <c r="AM1698" s="2">
        <v>35</v>
      </c>
      <c r="AN1698" s="2">
        <v>5</v>
      </c>
      <c r="AO1698" s="2">
        <v>0</v>
      </c>
      <c r="AP1698" s="2">
        <f t="shared" si="845"/>
        <v>1154</v>
      </c>
      <c r="AQ1698" s="2">
        <f t="shared" si="856"/>
        <v>50.5253940455342</v>
      </c>
      <c r="AR1698" s="5">
        <f t="shared" si="847"/>
        <v>94.9877408056042</v>
      </c>
    </row>
    <row r="1699" spans="1:44">
      <c r="A1699" s="2">
        <v>20260511</v>
      </c>
      <c r="B1699" s="2" t="s">
        <v>3440</v>
      </c>
      <c r="C1699" s="2" t="s">
        <v>3441</v>
      </c>
      <c r="D1699" s="2">
        <v>4</v>
      </c>
      <c r="E1699" s="2">
        <v>1</v>
      </c>
      <c r="F1699" s="2">
        <v>23</v>
      </c>
      <c r="G1699" s="2">
        <v>6</v>
      </c>
      <c r="H1699" s="2">
        <v>3</v>
      </c>
      <c r="I1699" s="3">
        <v>8</v>
      </c>
      <c r="J1699" s="2">
        <v>4</v>
      </c>
      <c r="K1699" s="2">
        <v>4</v>
      </c>
      <c r="L1699" s="2">
        <v>1</v>
      </c>
      <c r="M1699" s="2">
        <v>2</v>
      </c>
      <c r="N1699" s="2">
        <v>6</v>
      </c>
      <c r="O1699" s="2">
        <v>19</v>
      </c>
      <c r="P1699" s="3">
        <v>2</v>
      </c>
      <c r="Q1699" s="2">
        <v>7</v>
      </c>
      <c r="R1699" s="2">
        <v>1</v>
      </c>
      <c r="S1699" s="2">
        <v>5</v>
      </c>
      <c r="T1699" s="2">
        <v>2</v>
      </c>
      <c r="U1699" s="2">
        <v>1</v>
      </c>
      <c r="V1699" s="2">
        <f t="shared" si="849"/>
        <v>15</v>
      </c>
      <c r="W1699" s="2">
        <v>0</v>
      </c>
      <c r="X1699" s="2">
        <v>2</v>
      </c>
      <c r="Y1699" s="2">
        <v>0</v>
      </c>
      <c r="Z1699" s="2">
        <f t="shared" si="850"/>
        <v>3</v>
      </c>
      <c r="AA1699" s="2">
        <f t="shared" si="851"/>
        <v>33</v>
      </c>
      <c r="AB1699" s="2">
        <v>2284</v>
      </c>
      <c r="AC1699" s="20">
        <f t="shared" si="852"/>
        <v>1.44483362521891</v>
      </c>
      <c r="AD1699" s="2" t="s">
        <v>49</v>
      </c>
      <c r="AE1699" s="2">
        <v>188</v>
      </c>
      <c r="AF1699" s="21">
        <f t="shared" si="853"/>
        <v>1.44483362521891</v>
      </c>
      <c r="AG1699" s="4">
        <f t="shared" si="854"/>
        <v>0.656742556917688</v>
      </c>
      <c r="AH1699" s="4">
        <f t="shared" si="855"/>
        <v>0.131348511383538</v>
      </c>
      <c r="AI1699" s="2">
        <v>1065</v>
      </c>
      <c r="AJ1699" s="2">
        <v>79</v>
      </c>
      <c r="AK1699" s="2">
        <v>253</v>
      </c>
      <c r="AL1699" s="2">
        <v>109</v>
      </c>
      <c r="AM1699" s="2">
        <v>16</v>
      </c>
      <c r="AN1699" s="2">
        <v>4</v>
      </c>
      <c r="AO1699" s="2">
        <v>0</v>
      </c>
      <c r="AP1699" s="2">
        <f t="shared" si="845"/>
        <v>1257</v>
      </c>
      <c r="AQ1699" s="2">
        <f t="shared" si="856"/>
        <v>52.7265100671141</v>
      </c>
      <c r="AR1699" s="5">
        <f t="shared" si="847"/>
        <v>99.1258389261745</v>
      </c>
    </row>
    <row r="1700" spans="1:44">
      <c r="A1700" s="2">
        <v>20260511</v>
      </c>
      <c r="B1700" s="2" t="s">
        <v>3442</v>
      </c>
      <c r="C1700" s="2" t="s">
        <v>3443</v>
      </c>
      <c r="D1700" s="2">
        <v>6</v>
      </c>
      <c r="E1700" s="2">
        <v>5</v>
      </c>
      <c r="F1700" s="2">
        <v>17</v>
      </c>
      <c r="G1700" s="2">
        <v>12</v>
      </c>
      <c r="H1700" s="2">
        <v>12</v>
      </c>
      <c r="I1700" s="3">
        <v>14</v>
      </c>
      <c r="J1700" s="2">
        <v>9</v>
      </c>
      <c r="K1700" s="2">
        <v>10</v>
      </c>
      <c r="L1700" s="2">
        <v>1</v>
      </c>
      <c r="M1700" s="2">
        <v>1</v>
      </c>
      <c r="N1700" s="2">
        <v>6</v>
      </c>
      <c r="O1700" s="2">
        <v>33</v>
      </c>
      <c r="P1700" s="3">
        <v>5</v>
      </c>
      <c r="Q1700" s="2">
        <v>10</v>
      </c>
      <c r="R1700" s="2">
        <v>6</v>
      </c>
      <c r="S1700" s="2">
        <v>8</v>
      </c>
      <c r="T1700" s="2">
        <v>10</v>
      </c>
      <c r="U1700" s="2">
        <v>0</v>
      </c>
      <c r="V1700" s="2">
        <f t="shared" si="849"/>
        <v>28</v>
      </c>
      <c r="W1700" s="2">
        <v>6</v>
      </c>
      <c r="X1700" s="2">
        <v>5</v>
      </c>
      <c r="Y1700" s="2">
        <v>0</v>
      </c>
      <c r="Z1700" s="2">
        <f t="shared" si="850"/>
        <v>11</v>
      </c>
      <c r="AA1700" s="2">
        <f t="shared" si="851"/>
        <v>74</v>
      </c>
      <c r="AB1700" s="2">
        <v>2444</v>
      </c>
      <c r="AC1700" s="20">
        <f t="shared" si="852"/>
        <v>3.0278232405892</v>
      </c>
      <c r="AD1700" s="2" t="s">
        <v>49</v>
      </c>
      <c r="AE1700" s="2">
        <v>188</v>
      </c>
      <c r="AF1700" s="21">
        <f t="shared" si="853"/>
        <v>3.0278232405892</v>
      </c>
      <c r="AG1700" s="4">
        <f t="shared" si="854"/>
        <v>1.14566284779051</v>
      </c>
      <c r="AH1700" s="4">
        <f t="shared" si="855"/>
        <v>0.450081833060556</v>
      </c>
      <c r="AI1700" s="2">
        <v>1460</v>
      </c>
      <c r="AJ1700" s="2">
        <v>135</v>
      </c>
      <c r="AK1700" s="2">
        <v>266</v>
      </c>
      <c r="AL1700" s="2">
        <v>59</v>
      </c>
      <c r="AM1700" s="2">
        <v>68</v>
      </c>
      <c r="AN1700" s="2">
        <v>3</v>
      </c>
      <c r="AO1700" s="2">
        <v>0</v>
      </c>
      <c r="AP1700" s="2">
        <f t="shared" si="845"/>
        <v>1657</v>
      </c>
      <c r="AQ1700" s="2">
        <f t="shared" si="856"/>
        <v>72.5481611208406</v>
      </c>
      <c r="AR1700" s="5">
        <f t="shared" si="847"/>
        <v>136.39054290718</v>
      </c>
    </row>
    <row r="1701" spans="1:44">
      <c r="A1701" s="2">
        <v>20260511</v>
      </c>
      <c r="B1701" s="2" t="s">
        <v>3444</v>
      </c>
      <c r="C1701" s="2" t="s">
        <v>3445</v>
      </c>
      <c r="D1701" s="2">
        <v>2</v>
      </c>
      <c r="E1701" s="2">
        <v>0</v>
      </c>
      <c r="F1701" s="2">
        <v>9</v>
      </c>
      <c r="G1701" s="2">
        <v>8</v>
      </c>
      <c r="H1701" s="2">
        <v>5</v>
      </c>
      <c r="I1701" s="3">
        <v>8</v>
      </c>
      <c r="J1701" s="2">
        <v>9</v>
      </c>
      <c r="K1701" s="2">
        <v>1</v>
      </c>
      <c r="L1701" s="2">
        <v>0</v>
      </c>
      <c r="M1701" s="2">
        <v>6</v>
      </c>
      <c r="N1701" s="2">
        <v>4</v>
      </c>
      <c r="O1701" s="2">
        <v>16</v>
      </c>
      <c r="P1701" s="3">
        <v>13</v>
      </c>
      <c r="Q1701" s="2">
        <v>9</v>
      </c>
      <c r="R1701" s="2">
        <v>3</v>
      </c>
      <c r="S1701" s="2">
        <v>5</v>
      </c>
      <c r="T1701" s="2">
        <v>4</v>
      </c>
      <c r="U1701" s="2">
        <v>0</v>
      </c>
      <c r="V1701" s="2">
        <f t="shared" si="849"/>
        <v>18</v>
      </c>
      <c r="W1701" s="2">
        <v>10</v>
      </c>
      <c r="X1701" s="2">
        <v>7</v>
      </c>
      <c r="Y1701" s="2">
        <v>0</v>
      </c>
      <c r="Z1701" s="2">
        <f t="shared" si="850"/>
        <v>17</v>
      </c>
      <c r="AA1701" s="2">
        <f t="shared" si="851"/>
        <v>54</v>
      </c>
      <c r="AB1701" s="2">
        <v>2283</v>
      </c>
      <c r="AC1701" s="20">
        <f t="shared" si="852"/>
        <v>2.36530880420499</v>
      </c>
      <c r="AD1701" s="2" t="s">
        <v>49</v>
      </c>
      <c r="AE1701" s="2">
        <v>188</v>
      </c>
      <c r="AF1701" s="21">
        <f t="shared" si="853"/>
        <v>2.36530880420499</v>
      </c>
      <c r="AG1701" s="4">
        <f t="shared" si="854"/>
        <v>0.788436268068331</v>
      </c>
      <c r="AH1701" s="4">
        <f t="shared" si="855"/>
        <v>0.744634253175646</v>
      </c>
      <c r="AI1701" s="2">
        <v>2827</v>
      </c>
      <c r="AJ1701" s="2">
        <v>119</v>
      </c>
      <c r="AK1701" s="2">
        <v>207</v>
      </c>
      <c r="AL1701" s="2">
        <v>29</v>
      </c>
      <c r="AM1701" s="2">
        <v>29</v>
      </c>
      <c r="AN1701" s="2">
        <v>9</v>
      </c>
      <c r="AO1701" s="2">
        <v>0</v>
      </c>
      <c r="AP1701" s="2">
        <f t="shared" si="845"/>
        <v>2984</v>
      </c>
      <c r="AQ1701" s="2">
        <f t="shared" si="856"/>
        <v>122.094926350246</v>
      </c>
      <c r="AR1701" s="5">
        <f t="shared" si="847"/>
        <v>229.538461538462</v>
      </c>
    </row>
    <row r="1702" spans="1:44">
      <c r="A1702" s="2">
        <v>20260511</v>
      </c>
      <c r="B1702" s="2" t="s">
        <v>3446</v>
      </c>
      <c r="C1702" s="2" t="s">
        <v>3447</v>
      </c>
      <c r="D1702" s="2">
        <v>28</v>
      </c>
      <c r="E1702" s="2">
        <v>9</v>
      </c>
      <c r="F1702" s="2">
        <v>64</v>
      </c>
      <c r="G1702" s="2">
        <v>30</v>
      </c>
      <c r="H1702" s="2">
        <v>56</v>
      </c>
      <c r="I1702" s="3">
        <v>51</v>
      </c>
      <c r="J1702" s="2">
        <v>215</v>
      </c>
      <c r="K1702" s="2">
        <v>34</v>
      </c>
      <c r="L1702" s="2">
        <v>11</v>
      </c>
      <c r="M1702" s="2">
        <v>22</v>
      </c>
      <c r="N1702" s="2">
        <v>57</v>
      </c>
      <c r="O1702" s="2">
        <v>109</v>
      </c>
      <c r="P1702" s="3">
        <v>34</v>
      </c>
      <c r="Q1702" s="2">
        <v>49</v>
      </c>
      <c r="R1702" s="2">
        <v>10</v>
      </c>
      <c r="S1702" s="2">
        <v>47</v>
      </c>
      <c r="T1702" s="2">
        <v>18</v>
      </c>
      <c r="U1702" s="2">
        <v>1</v>
      </c>
      <c r="V1702" s="2">
        <f t="shared" si="849"/>
        <v>115</v>
      </c>
      <c r="W1702" s="2">
        <v>4</v>
      </c>
      <c r="X1702" s="2">
        <v>8</v>
      </c>
      <c r="Y1702" s="2">
        <v>0</v>
      </c>
      <c r="Z1702" s="2">
        <f t="shared" si="850"/>
        <v>13</v>
      </c>
      <c r="AA1702" s="2">
        <f t="shared" si="851"/>
        <v>472</v>
      </c>
      <c r="AB1702" s="2">
        <v>2883</v>
      </c>
      <c r="AC1702" s="20">
        <f t="shared" si="852"/>
        <v>16.3718348942074</v>
      </c>
      <c r="AD1702" s="2" t="s">
        <v>49</v>
      </c>
      <c r="AE1702" s="2">
        <v>188</v>
      </c>
      <c r="AF1702" s="21">
        <f t="shared" si="853"/>
        <v>16.3718348942074</v>
      </c>
      <c r="AG1702" s="4">
        <f t="shared" si="854"/>
        <v>3.98890045091918</v>
      </c>
      <c r="AH1702" s="4">
        <f t="shared" si="855"/>
        <v>0.450919181408255</v>
      </c>
      <c r="AI1702" s="2">
        <v>5367</v>
      </c>
      <c r="AJ1702" s="2">
        <v>472</v>
      </c>
      <c r="AK1702" s="2">
        <v>238</v>
      </c>
      <c r="AL1702" s="2">
        <v>278</v>
      </c>
      <c r="AM1702" s="2">
        <v>376</v>
      </c>
      <c r="AN1702" s="2">
        <v>490</v>
      </c>
      <c r="AO1702" s="2">
        <v>0</v>
      </c>
      <c r="AP1702" s="2">
        <f t="shared" si="845"/>
        <v>6607</v>
      </c>
      <c r="AQ1702" s="2">
        <f t="shared" si="856"/>
        <v>289.39991239597</v>
      </c>
      <c r="AR1702" s="5">
        <f t="shared" si="847"/>
        <v>544.071835304424</v>
      </c>
    </row>
    <row r="1703" spans="1:44">
      <c r="A1703" s="2">
        <v>20260511</v>
      </c>
      <c r="B1703" s="2" t="s">
        <v>3448</v>
      </c>
      <c r="C1703" s="2" t="s">
        <v>3449</v>
      </c>
      <c r="D1703" s="2">
        <v>3</v>
      </c>
      <c r="E1703" s="2">
        <v>0</v>
      </c>
      <c r="F1703" s="2">
        <v>1</v>
      </c>
      <c r="G1703" s="2">
        <v>4</v>
      </c>
      <c r="H1703" s="2">
        <v>0</v>
      </c>
      <c r="I1703" s="3">
        <v>16</v>
      </c>
      <c r="J1703" s="2">
        <v>6</v>
      </c>
      <c r="K1703" s="2">
        <v>1</v>
      </c>
      <c r="L1703" s="2">
        <v>0</v>
      </c>
      <c r="M1703" s="2">
        <v>4</v>
      </c>
      <c r="N1703" s="2">
        <v>7</v>
      </c>
      <c r="O1703" s="2">
        <v>5</v>
      </c>
      <c r="P1703" s="3">
        <v>3</v>
      </c>
      <c r="Q1703" s="2">
        <v>0</v>
      </c>
      <c r="R1703" s="2">
        <v>1</v>
      </c>
      <c r="S1703" s="2">
        <v>2</v>
      </c>
      <c r="T1703" s="2">
        <v>0</v>
      </c>
      <c r="U1703" s="2">
        <v>0</v>
      </c>
      <c r="V1703" s="2">
        <f t="shared" si="849"/>
        <v>2</v>
      </c>
      <c r="W1703" s="2">
        <v>3</v>
      </c>
      <c r="X1703" s="2">
        <v>10</v>
      </c>
      <c r="Y1703" s="2">
        <v>0</v>
      </c>
      <c r="Z1703" s="2">
        <f t="shared" si="850"/>
        <v>13</v>
      </c>
      <c r="AA1703" s="2">
        <f t="shared" si="851"/>
        <v>34</v>
      </c>
      <c r="AB1703" s="2">
        <v>2283</v>
      </c>
      <c r="AC1703" s="20">
        <f t="shared" si="852"/>
        <v>1.48926850635129</v>
      </c>
      <c r="AD1703" s="2" t="s">
        <v>49</v>
      </c>
      <c r="AE1703" s="2">
        <v>188</v>
      </c>
      <c r="AF1703" s="21">
        <f t="shared" si="853"/>
        <v>1.48926850635129</v>
      </c>
      <c r="AG1703" s="4">
        <f t="shared" si="854"/>
        <v>0.0876040297853701</v>
      </c>
      <c r="AH1703" s="4">
        <f t="shared" si="855"/>
        <v>0.569426193604906</v>
      </c>
      <c r="AI1703" s="2">
        <v>1293</v>
      </c>
      <c r="AJ1703" s="2">
        <v>89</v>
      </c>
      <c r="AK1703" s="2">
        <v>217</v>
      </c>
      <c r="AL1703" s="2">
        <v>33</v>
      </c>
      <c r="AM1703" s="2">
        <v>15</v>
      </c>
      <c r="AN1703" s="2">
        <v>10</v>
      </c>
      <c r="AO1703" s="2">
        <v>0</v>
      </c>
      <c r="AP1703" s="2">
        <f t="shared" si="845"/>
        <v>1425</v>
      </c>
      <c r="AQ1703" s="2">
        <f t="shared" si="856"/>
        <v>49.4276795005203</v>
      </c>
      <c r="AR1703" s="5">
        <f t="shared" si="847"/>
        <v>92.9240374609781</v>
      </c>
    </row>
    <row r="1704" spans="1:44">
      <c r="A1704" s="2">
        <v>20260512</v>
      </c>
      <c r="B1704" s="2" t="s">
        <v>3450</v>
      </c>
      <c r="C1704" s="2" t="s">
        <v>3451</v>
      </c>
      <c r="D1704" s="2">
        <v>2</v>
      </c>
      <c r="E1704" s="2">
        <v>10</v>
      </c>
      <c r="F1704" s="2">
        <v>15</v>
      </c>
      <c r="G1704" s="2">
        <v>11</v>
      </c>
      <c r="H1704" s="2">
        <v>9</v>
      </c>
      <c r="I1704" s="3">
        <v>13</v>
      </c>
      <c r="J1704" s="2">
        <v>13</v>
      </c>
      <c r="K1704" s="2">
        <v>1</v>
      </c>
      <c r="L1704" s="2">
        <v>0</v>
      </c>
      <c r="M1704" s="2">
        <v>10</v>
      </c>
      <c r="N1704" s="2">
        <v>8</v>
      </c>
      <c r="O1704" s="2">
        <v>25</v>
      </c>
      <c r="P1704" s="3">
        <v>7</v>
      </c>
      <c r="Q1704" s="2">
        <v>11</v>
      </c>
      <c r="R1704" s="2">
        <v>3</v>
      </c>
      <c r="S1704" s="2">
        <v>5</v>
      </c>
      <c r="T1704" s="2">
        <v>6</v>
      </c>
      <c r="U1704" s="2">
        <v>0</v>
      </c>
      <c r="V1704" s="2">
        <f t="shared" si="849"/>
        <v>22</v>
      </c>
      <c r="W1704" s="2">
        <v>7</v>
      </c>
      <c r="X1704" s="2">
        <v>4</v>
      </c>
      <c r="Y1704" s="2">
        <v>1</v>
      </c>
      <c r="Z1704" s="2">
        <f t="shared" si="850"/>
        <v>12</v>
      </c>
      <c r="AA1704" s="2">
        <f t="shared" si="851"/>
        <v>70</v>
      </c>
      <c r="AB1704" s="2">
        <v>2433</v>
      </c>
      <c r="AC1704" s="20">
        <f t="shared" si="852"/>
        <v>2.87710645293876</v>
      </c>
      <c r="AD1704" s="2" t="s">
        <v>49</v>
      </c>
      <c r="AE1704" s="2">
        <v>188</v>
      </c>
      <c r="AF1704" s="21">
        <f t="shared" si="853"/>
        <v>2.87710645293876</v>
      </c>
      <c r="AG1704" s="4">
        <f t="shared" si="854"/>
        <v>0.904233456637896</v>
      </c>
      <c r="AH1704" s="4">
        <f t="shared" si="855"/>
        <v>0.493218249075216</v>
      </c>
      <c r="AI1704" s="2">
        <v>1749</v>
      </c>
      <c r="AJ1704" s="2">
        <v>110</v>
      </c>
      <c r="AK1704" s="2">
        <v>226</v>
      </c>
      <c r="AL1704" s="2">
        <v>40</v>
      </c>
      <c r="AM1704" s="2">
        <v>64</v>
      </c>
      <c r="AN1704" s="2">
        <v>15</v>
      </c>
      <c r="AO1704" s="2">
        <v>0</v>
      </c>
      <c r="AP1704" s="2">
        <f t="shared" si="845"/>
        <v>1914</v>
      </c>
      <c r="AQ1704" s="2">
        <f t="shared" si="856"/>
        <v>83.8370565045992</v>
      </c>
      <c r="AR1704" s="5">
        <f t="shared" si="847"/>
        <v>157.613666228647</v>
      </c>
    </row>
    <row r="1705" spans="1:44">
      <c r="A1705" s="2">
        <v>20260512</v>
      </c>
      <c r="B1705" s="2" t="s">
        <v>3452</v>
      </c>
      <c r="C1705" s="2" t="s">
        <v>3453</v>
      </c>
      <c r="D1705" s="2">
        <v>1</v>
      </c>
      <c r="E1705" s="2">
        <v>17</v>
      </c>
      <c r="F1705" s="2">
        <v>10</v>
      </c>
      <c r="G1705" s="2">
        <v>3</v>
      </c>
      <c r="H1705" s="2">
        <v>9</v>
      </c>
      <c r="I1705" s="3">
        <v>3</v>
      </c>
      <c r="J1705" s="2">
        <v>8</v>
      </c>
      <c r="K1705" s="2">
        <v>2</v>
      </c>
      <c r="L1705" s="2">
        <v>0</v>
      </c>
      <c r="M1705" s="2">
        <v>11</v>
      </c>
      <c r="N1705" s="2">
        <v>7</v>
      </c>
      <c r="O1705" s="2">
        <v>19</v>
      </c>
      <c r="P1705" s="3">
        <v>4</v>
      </c>
      <c r="Q1705" s="2">
        <v>9</v>
      </c>
      <c r="R1705" s="2">
        <v>3</v>
      </c>
      <c r="S1705" s="2">
        <v>3</v>
      </c>
      <c r="T1705" s="2">
        <v>5</v>
      </c>
      <c r="U1705" s="2">
        <v>3</v>
      </c>
      <c r="V1705" s="2">
        <f t="shared" ref="V1705:V1721" si="857">U1705+T1705+S1705+Q1705</f>
        <v>20</v>
      </c>
      <c r="W1705" s="2">
        <v>7</v>
      </c>
      <c r="X1705" s="2">
        <v>3</v>
      </c>
      <c r="Y1705" s="2">
        <v>2</v>
      </c>
      <c r="Z1705" s="2">
        <f t="shared" ref="Z1705:Z1721" si="858">Y1705+X1705+W1705+U1705</f>
        <v>15</v>
      </c>
      <c r="AA1705" s="2">
        <f t="shared" ref="AA1705:AA1721" si="859">G1705+H1705+I1705+J1705+K1705+L1705+M1705+P1705+T1705+U1705</f>
        <v>48</v>
      </c>
      <c r="AB1705" s="2">
        <v>2353</v>
      </c>
      <c r="AC1705" s="20">
        <f t="shared" ref="AC1705:AC1721" si="860">AA1705/AB1705*100</f>
        <v>2.03994900127497</v>
      </c>
      <c r="AD1705" s="2" t="s">
        <v>49</v>
      </c>
      <c r="AE1705" s="2">
        <v>188</v>
      </c>
      <c r="AF1705" s="21">
        <f t="shared" ref="AF1705:AF1727" si="861">188/AE1705*AC1705</f>
        <v>2.03994900127497</v>
      </c>
      <c r="AG1705" s="4">
        <f t="shared" ref="AG1705:AG1727" si="862">V1705/AB1705*100</f>
        <v>0.849978750531237</v>
      </c>
      <c r="AH1705" s="4">
        <f t="shared" ref="AH1705:AH1727" si="863">Z1705/AB1705*100</f>
        <v>0.637484062898428</v>
      </c>
      <c r="AI1705" s="2">
        <v>1915</v>
      </c>
      <c r="AJ1705" s="2">
        <v>92</v>
      </c>
      <c r="AK1705" s="2">
        <v>214</v>
      </c>
      <c r="AL1705" s="2">
        <v>73</v>
      </c>
      <c r="AM1705" s="2">
        <v>13</v>
      </c>
      <c r="AN1705" s="2">
        <v>4</v>
      </c>
      <c r="AO1705" s="2">
        <v>0</v>
      </c>
      <c r="AP1705" s="2">
        <f t="shared" si="845"/>
        <v>2084</v>
      </c>
      <c r="AQ1705" s="2">
        <f t="shared" si="856"/>
        <v>85.6555692560625</v>
      </c>
      <c r="AR1705" s="5">
        <f t="shared" si="847"/>
        <v>161.032470201397</v>
      </c>
    </row>
    <row r="1706" spans="1:44">
      <c r="A1706" s="2">
        <v>20260512</v>
      </c>
      <c r="B1706" s="2" t="s">
        <v>3454</v>
      </c>
      <c r="C1706" s="2" t="s">
        <v>3455</v>
      </c>
      <c r="D1706" s="2">
        <v>5</v>
      </c>
      <c r="E1706" s="2">
        <v>4</v>
      </c>
      <c r="F1706" s="2">
        <v>12</v>
      </c>
      <c r="G1706" s="2">
        <v>7</v>
      </c>
      <c r="H1706" s="2">
        <v>3</v>
      </c>
      <c r="I1706" s="3">
        <v>15</v>
      </c>
      <c r="J1706" s="2">
        <v>5</v>
      </c>
      <c r="K1706" s="2">
        <v>0</v>
      </c>
      <c r="L1706" s="2">
        <v>0</v>
      </c>
      <c r="M1706" s="2">
        <v>7</v>
      </c>
      <c r="N1706" s="2">
        <v>9</v>
      </c>
      <c r="O1706" s="2">
        <v>39</v>
      </c>
      <c r="P1706" s="3">
        <v>4</v>
      </c>
      <c r="Q1706" s="2">
        <v>4</v>
      </c>
      <c r="R1706" s="2">
        <v>1</v>
      </c>
      <c r="S1706" s="2">
        <v>6</v>
      </c>
      <c r="T1706" s="2">
        <v>2</v>
      </c>
      <c r="U1706" s="2">
        <v>1</v>
      </c>
      <c r="V1706" s="2">
        <f t="shared" si="857"/>
        <v>13</v>
      </c>
      <c r="W1706" s="2">
        <v>2</v>
      </c>
      <c r="X1706" s="2">
        <v>4</v>
      </c>
      <c r="Y1706" s="2">
        <v>0</v>
      </c>
      <c r="Z1706" s="2">
        <f t="shared" si="858"/>
        <v>7</v>
      </c>
      <c r="AA1706" s="2">
        <f t="shared" si="859"/>
        <v>44</v>
      </c>
      <c r="AB1706" s="2">
        <v>2363</v>
      </c>
      <c r="AC1706" s="20">
        <f t="shared" si="860"/>
        <v>1.86203977994075</v>
      </c>
      <c r="AD1706" s="2" t="s">
        <v>49</v>
      </c>
      <c r="AE1706" s="2">
        <v>188</v>
      </c>
      <c r="AF1706" s="21">
        <f t="shared" si="861"/>
        <v>1.86203977994075</v>
      </c>
      <c r="AG1706" s="4">
        <f t="shared" si="862"/>
        <v>0.550148116800677</v>
      </c>
      <c r="AH1706" s="4">
        <f t="shared" si="863"/>
        <v>0.296233601354211</v>
      </c>
      <c r="AI1706" s="2">
        <v>1624</v>
      </c>
      <c r="AJ1706" s="2">
        <v>85</v>
      </c>
      <c r="AK1706" s="2">
        <v>276</v>
      </c>
      <c r="AL1706" s="2">
        <v>26</v>
      </c>
      <c r="AM1706" s="2">
        <v>15</v>
      </c>
      <c r="AN1706" s="2">
        <v>6</v>
      </c>
      <c r="AO1706" s="2">
        <v>0</v>
      </c>
      <c r="AP1706" s="2">
        <f t="shared" si="845"/>
        <v>1741</v>
      </c>
      <c r="AQ1706" s="2">
        <f t="shared" si="856"/>
        <v>73.9906502337442</v>
      </c>
      <c r="AR1706" s="5">
        <f t="shared" si="847"/>
        <v>139.102422439439</v>
      </c>
    </row>
    <row r="1707" spans="1:44">
      <c r="A1707" s="2">
        <v>20260512</v>
      </c>
      <c r="B1707" s="2" t="s">
        <v>3456</v>
      </c>
      <c r="C1707" s="2" t="s">
        <v>3457</v>
      </c>
      <c r="D1707" s="2">
        <v>6</v>
      </c>
      <c r="E1707" s="2">
        <v>3</v>
      </c>
      <c r="F1707" s="2">
        <v>10</v>
      </c>
      <c r="G1707" s="2">
        <v>15</v>
      </c>
      <c r="H1707" s="2">
        <v>5</v>
      </c>
      <c r="I1707" s="3">
        <v>15</v>
      </c>
      <c r="J1707" s="2">
        <v>8</v>
      </c>
      <c r="K1707" s="2">
        <v>0</v>
      </c>
      <c r="L1707" s="2">
        <v>2</v>
      </c>
      <c r="M1707" s="2">
        <v>10</v>
      </c>
      <c r="N1707" s="2">
        <v>8</v>
      </c>
      <c r="O1707" s="2">
        <v>46</v>
      </c>
      <c r="P1707" s="3">
        <v>4</v>
      </c>
      <c r="Q1707" s="2">
        <v>10</v>
      </c>
      <c r="R1707" s="2">
        <v>2</v>
      </c>
      <c r="S1707" s="2">
        <v>10</v>
      </c>
      <c r="T1707" s="2">
        <v>4</v>
      </c>
      <c r="U1707" s="2">
        <v>1</v>
      </c>
      <c r="V1707" s="2">
        <f t="shared" si="857"/>
        <v>25</v>
      </c>
      <c r="W1707" s="2">
        <v>7</v>
      </c>
      <c r="X1707" s="2">
        <v>13</v>
      </c>
      <c r="Y1707" s="2">
        <v>0</v>
      </c>
      <c r="Z1707" s="2">
        <f t="shared" si="858"/>
        <v>21</v>
      </c>
      <c r="AA1707" s="2">
        <f t="shared" si="859"/>
        <v>64</v>
      </c>
      <c r="AB1707" s="2">
        <v>2615</v>
      </c>
      <c r="AC1707" s="20">
        <f t="shared" si="860"/>
        <v>2.44741873804971</v>
      </c>
      <c r="AD1707" s="2" t="s">
        <v>49</v>
      </c>
      <c r="AE1707" s="2">
        <v>188</v>
      </c>
      <c r="AF1707" s="21">
        <f t="shared" si="861"/>
        <v>2.44741873804971</v>
      </c>
      <c r="AG1707" s="4">
        <f t="shared" si="862"/>
        <v>0.956022944550669</v>
      </c>
      <c r="AH1707" s="4">
        <f t="shared" si="863"/>
        <v>0.803059273422562</v>
      </c>
      <c r="AI1707" s="2">
        <v>1832</v>
      </c>
      <c r="AJ1707" s="2">
        <v>127</v>
      </c>
      <c r="AK1707" s="2">
        <v>275</v>
      </c>
      <c r="AL1707" s="2">
        <v>33</v>
      </c>
      <c r="AM1707" s="2">
        <v>41</v>
      </c>
      <c r="AN1707" s="2">
        <v>4</v>
      </c>
      <c r="AO1707" s="2">
        <v>0</v>
      </c>
      <c r="AP1707" s="2">
        <f t="shared" si="845"/>
        <v>1996</v>
      </c>
      <c r="AQ1707" s="2">
        <f t="shared" si="856"/>
        <v>84.4688954718578</v>
      </c>
      <c r="AR1707" s="5">
        <f t="shared" si="847"/>
        <v>158.801523487093</v>
      </c>
    </row>
    <row r="1708" spans="1:44">
      <c r="A1708" s="2">
        <v>20260512</v>
      </c>
      <c r="B1708" s="2" t="s">
        <v>3458</v>
      </c>
      <c r="C1708" s="2" t="s">
        <v>3459</v>
      </c>
      <c r="D1708" s="2">
        <v>5</v>
      </c>
      <c r="E1708" s="2">
        <v>0</v>
      </c>
      <c r="F1708" s="2">
        <v>5</v>
      </c>
      <c r="G1708" s="2">
        <v>7</v>
      </c>
      <c r="H1708" s="2">
        <v>7</v>
      </c>
      <c r="I1708" s="3">
        <v>13</v>
      </c>
      <c r="J1708" s="2">
        <v>9</v>
      </c>
      <c r="K1708" s="2">
        <v>1</v>
      </c>
      <c r="L1708" s="2">
        <v>8</v>
      </c>
      <c r="M1708" s="2">
        <v>13</v>
      </c>
      <c r="N1708" s="2">
        <v>9</v>
      </c>
      <c r="O1708" s="2">
        <v>8</v>
      </c>
      <c r="P1708" s="3">
        <v>9</v>
      </c>
      <c r="Q1708" s="2">
        <v>0</v>
      </c>
      <c r="R1708" s="2">
        <v>0</v>
      </c>
      <c r="S1708" s="2">
        <v>2</v>
      </c>
      <c r="T1708" s="2">
        <v>0</v>
      </c>
      <c r="U1708" s="2">
        <v>0</v>
      </c>
      <c r="V1708" s="2">
        <f t="shared" si="857"/>
        <v>2</v>
      </c>
      <c r="W1708" s="2">
        <v>11</v>
      </c>
      <c r="X1708" s="2">
        <v>4</v>
      </c>
      <c r="Y1708" s="2">
        <v>0</v>
      </c>
      <c r="Z1708" s="2">
        <f t="shared" si="858"/>
        <v>15</v>
      </c>
      <c r="AA1708" s="2">
        <f t="shared" si="859"/>
        <v>67</v>
      </c>
      <c r="AB1708" s="2">
        <v>2283</v>
      </c>
      <c r="AC1708" s="20">
        <f t="shared" si="860"/>
        <v>2.9347349978099</v>
      </c>
      <c r="AD1708" s="2" t="s">
        <v>49</v>
      </c>
      <c r="AE1708" s="2">
        <v>188</v>
      </c>
      <c r="AF1708" s="21">
        <f t="shared" si="861"/>
        <v>2.9347349978099</v>
      </c>
      <c r="AG1708" s="4">
        <f t="shared" si="862"/>
        <v>0.0876040297853701</v>
      </c>
      <c r="AH1708" s="4">
        <f t="shared" si="863"/>
        <v>0.657030223390276</v>
      </c>
      <c r="AI1708" s="2">
        <v>1351</v>
      </c>
      <c r="AJ1708" s="2">
        <v>80</v>
      </c>
      <c r="AK1708" s="2">
        <v>198</v>
      </c>
      <c r="AL1708" s="2">
        <v>27</v>
      </c>
      <c r="AM1708" s="2">
        <v>16</v>
      </c>
      <c r="AN1708" s="2">
        <v>6</v>
      </c>
      <c r="AO1708" s="2">
        <v>0</v>
      </c>
      <c r="AP1708" s="2">
        <f t="shared" si="845"/>
        <v>1464</v>
      </c>
      <c r="AQ1708" s="2">
        <f t="shared" si="856"/>
        <v>55.9847036328872</v>
      </c>
      <c r="AR1708" s="5">
        <f t="shared" si="847"/>
        <v>105.251242829828</v>
      </c>
    </row>
    <row r="1709" spans="1:44">
      <c r="A1709" s="2">
        <v>20260512</v>
      </c>
      <c r="B1709" s="2" t="s">
        <v>3460</v>
      </c>
      <c r="C1709" s="2" t="s">
        <v>3461</v>
      </c>
      <c r="D1709" s="2">
        <v>6</v>
      </c>
      <c r="E1709" s="2">
        <v>6</v>
      </c>
      <c r="F1709" s="2">
        <v>13</v>
      </c>
      <c r="G1709" s="2">
        <v>9</v>
      </c>
      <c r="H1709" s="2">
        <v>9</v>
      </c>
      <c r="I1709" s="3">
        <v>7</v>
      </c>
      <c r="J1709" s="2">
        <v>9</v>
      </c>
      <c r="K1709" s="2">
        <v>8</v>
      </c>
      <c r="L1709" s="2">
        <v>2</v>
      </c>
      <c r="M1709" s="2">
        <v>2</v>
      </c>
      <c r="N1709" s="2">
        <v>7</v>
      </c>
      <c r="O1709" s="2">
        <v>4</v>
      </c>
      <c r="P1709" s="3">
        <v>45</v>
      </c>
      <c r="Q1709" s="2">
        <v>9</v>
      </c>
      <c r="R1709" s="2">
        <v>8</v>
      </c>
      <c r="S1709" s="2">
        <v>2</v>
      </c>
      <c r="T1709" s="2">
        <v>3</v>
      </c>
      <c r="U1709" s="2">
        <v>0</v>
      </c>
      <c r="V1709" s="2">
        <f t="shared" si="857"/>
        <v>14</v>
      </c>
      <c r="W1709" s="2">
        <v>8</v>
      </c>
      <c r="X1709" s="2">
        <v>4</v>
      </c>
      <c r="Y1709" s="2">
        <v>1</v>
      </c>
      <c r="Z1709" s="2">
        <f t="shared" si="858"/>
        <v>13</v>
      </c>
      <c r="AA1709" s="2">
        <f t="shared" si="859"/>
        <v>94</v>
      </c>
      <c r="AB1709" s="2">
        <v>2443</v>
      </c>
      <c r="AC1709" s="20">
        <f t="shared" si="860"/>
        <v>3.84772820302906</v>
      </c>
      <c r="AD1709" s="2" t="s">
        <v>49</v>
      </c>
      <c r="AE1709" s="2">
        <v>188</v>
      </c>
      <c r="AF1709" s="21">
        <f t="shared" si="861"/>
        <v>3.84772820302906</v>
      </c>
      <c r="AG1709" s="4">
        <f t="shared" si="862"/>
        <v>0.573065902578797</v>
      </c>
      <c r="AH1709" s="4">
        <f t="shared" si="863"/>
        <v>0.532132623823168</v>
      </c>
      <c r="AP1709" s="2">
        <f t="shared" ref="AP1709:AP1718" si="864">AI1709+AJ1709+AL1709+AN1709</f>
        <v>0</v>
      </c>
      <c r="AQ1709" s="2">
        <f t="shared" ref="AQ1709:AQ1718" si="865">AP1709/AB1708*100</f>
        <v>0</v>
      </c>
      <c r="AR1709" s="5">
        <f t="shared" ref="AR1709:AR1718" si="866">AQ1709*1.88</f>
        <v>0</v>
      </c>
    </row>
    <row r="1710" spans="1:44">
      <c r="A1710" s="2">
        <v>20260512</v>
      </c>
      <c r="B1710" s="2" t="s">
        <v>3462</v>
      </c>
      <c r="C1710" s="2" t="s">
        <v>3463</v>
      </c>
      <c r="D1710" s="2">
        <v>6</v>
      </c>
      <c r="E1710" s="2">
        <v>0</v>
      </c>
      <c r="F1710" s="2">
        <v>5</v>
      </c>
      <c r="G1710" s="2">
        <v>14</v>
      </c>
      <c r="H1710" s="2">
        <v>8</v>
      </c>
      <c r="I1710" s="3">
        <v>26</v>
      </c>
      <c r="J1710" s="2">
        <v>15</v>
      </c>
      <c r="K1710" s="2">
        <v>3</v>
      </c>
      <c r="L1710" s="2">
        <v>2</v>
      </c>
      <c r="M1710" s="2">
        <v>18</v>
      </c>
      <c r="N1710" s="2">
        <v>11</v>
      </c>
      <c r="O1710" s="2">
        <v>24</v>
      </c>
      <c r="P1710" s="3">
        <v>7</v>
      </c>
      <c r="Q1710" s="2">
        <v>6</v>
      </c>
      <c r="R1710" s="2">
        <v>0</v>
      </c>
      <c r="S1710" s="2">
        <v>4</v>
      </c>
      <c r="T1710" s="2">
        <v>6</v>
      </c>
      <c r="U1710" s="2">
        <v>0</v>
      </c>
      <c r="V1710" s="2">
        <f t="shared" si="857"/>
        <v>16</v>
      </c>
      <c r="W1710" s="2">
        <v>4</v>
      </c>
      <c r="X1710" s="2">
        <v>8</v>
      </c>
      <c r="Y1710" s="2">
        <v>0</v>
      </c>
      <c r="Z1710" s="2">
        <f t="shared" si="858"/>
        <v>12</v>
      </c>
      <c r="AA1710" s="2">
        <f t="shared" si="859"/>
        <v>99</v>
      </c>
      <c r="AB1710" s="2">
        <v>2383</v>
      </c>
      <c r="AC1710" s="20">
        <f t="shared" si="860"/>
        <v>4.15442719261435</v>
      </c>
      <c r="AD1710" s="2" t="s">
        <v>49</v>
      </c>
      <c r="AE1710" s="2">
        <v>188</v>
      </c>
      <c r="AF1710" s="21">
        <f t="shared" si="861"/>
        <v>4.15442719261435</v>
      </c>
      <c r="AG1710" s="4">
        <f t="shared" si="862"/>
        <v>0.671422576584138</v>
      </c>
      <c r="AH1710" s="4">
        <f t="shared" si="863"/>
        <v>0.503566932438103</v>
      </c>
      <c r="AI1710" s="2">
        <v>2356</v>
      </c>
      <c r="AJ1710" s="2">
        <v>233</v>
      </c>
      <c r="AK1710" s="2">
        <v>243</v>
      </c>
      <c r="AL1710" s="2">
        <v>198</v>
      </c>
      <c r="AM1710" s="2">
        <v>100</v>
      </c>
      <c r="AN1710" s="2">
        <v>4</v>
      </c>
      <c r="AO1710" s="2">
        <v>0</v>
      </c>
      <c r="AP1710" s="2">
        <f t="shared" si="864"/>
        <v>2791</v>
      </c>
      <c r="AQ1710" s="2">
        <f t="shared" si="865"/>
        <v>114.244781006959</v>
      </c>
      <c r="AR1710" s="5">
        <f t="shared" si="866"/>
        <v>214.780188293082</v>
      </c>
    </row>
    <row r="1711" spans="1:44">
      <c r="A1711" s="2">
        <v>20260512</v>
      </c>
      <c r="B1711" s="2" t="s">
        <v>3464</v>
      </c>
      <c r="C1711" s="2" t="s">
        <v>3465</v>
      </c>
      <c r="D1711" s="2">
        <v>11</v>
      </c>
      <c r="E1711" s="2">
        <v>13</v>
      </c>
      <c r="F1711" s="2">
        <v>20</v>
      </c>
      <c r="G1711" s="2">
        <v>13</v>
      </c>
      <c r="H1711" s="2">
        <v>14</v>
      </c>
      <c r="I1711" s="3">
        <v>17</v>
      </c>
      <c r="J1711" s="2">
        <v>18</v>
      </c>
      <c r="K1711" s="2">
        <v>20</v>
      </c>
      <c r="L1711" s="2">
        <v>2</v>
      </c>
      <c r="M1711" s="2">
        <v>15</v>
      </c>
      <c r="N1711" s="2">
        <v>15</v>
      </c>
      <c r="O1711" s="2">
        <v>60</v>
      </c>
      <c r="P1711" s="3">
        <v>11</v>
      </c>
      <c r="Q1711" s="2">
        <v>13</v>
      </c>
      <c r="R1711" s="2">
        <v>10</v>
      </c>
      <c r="S1711" s="2">
        <v>3</v>
      </c>
      <c r="T1711" s="2">
        <v>10</v>
      </c>
      <c r="U1711" s="2">
        <v>3</v>
      </c>
      <c r="V1711" s="2">
        <f t="shared" si="857"/>
        <v>29</v>
      </c>
      <c r="W1711" s="2">
        <v>4</v>
      </c>
      <c r="X1711" s="2">
        <v>0</v>
      </c>
      <c r="Y1711" s="2">
        <v>1</v>
      </c>
      <c r="Z1711" s="2">
        <f t="shared" si="858"/>
        <v>8</v>
      </c>
      <c r="AA1711" s="2">
        <f t="shared" si="859"/>
        <v>123</v>
      </c>
      <c r="AB1711" s="2">
        <v>2583</v>
      </c>
      <c r="AC1711" s="20">
        <f t="shared" si="860"/>
        <v>4.76190476190476</v>
      </c>
      <c r="AD1711" s="2" t="s">
        <v>49</v>
      </c>
      <c r="AE1711" s="2">
        <v>188</v>
      </c>
      <c r="AF1711" s="21">
        <f t="shared" si="861"/>
        <v>4.76190476190476</v>
      </c>
      <c r="AG1711" s="4">
        <f t="shared" si="862"/>
        <v>1.12272551296942</v>
      </c>
      <c r="AH1711" s="4">
        <f t="shared" si="863"/>
        <v>0.309717382888115</v>
      </c>
      <c r="AI1711" s="2">
        <v>2728</v>
      </c>
      <c r="AJ1711" s="2">
        <v>131</v>
      </c>
      <c r="AK1711" s="2">
        <v>276</v>
      </c>
      <c r="AL1711" s="2">
        <v>98</v>
      </c>
      <c r="AM1711" s="2">
        <v>87</v>
      </c>
      <c r="AN1711" s="2">
        <v>14</v>
      </c>
      <c r="AO1711" s="2">
        <v>0</v>
      </c>
      <c r="AP1711" s="2">
        <f t="shared" si="864"/>
        <v>2971</v>
      </c>
      <c r="AQ1711" s="2">
        <f t="shared" si="865"/>
        <v>124.674779689467</v>
      </c>
      <c r="AR1711" s="5">
        <f t="shared" si="866"/>
        <v>234.388585816198</v>
      </c>
    </row>
    <row r="1712" spans="1:44">
      <c r="A1712" s="2">
        <v>20260512</v>
      </c>
      <c r="B1712" s="2" t="s">
        <v>3466</v>
      </c>
      <c r="C1712" s="2" t="s">
        <v>3467</v>
      </c>
      <c r="D1712" s="2">
        <v>5</v>
      </c>
      <c r="E1712" s="2">
        <v>1608</v>
      </c>
      <c r="F1712" s="2">
        <v>8</v>
      </c>
      <c r="G1712" s="2">
        <v>2</v>
      </c>
      <c r="H1712" s="2">
        <v>6</v>
      </c>
      <c r="I1712" s="3">
        <v>8</v>
      </c>
      <c r="J1712" s="2">
        <v>44</v>
      </c>
      <c r="K1712" s="2">
        <v>3</v>
      </c>
      <c r="L1712" s="2">
        <v>6</v>
      </c>
      <c r="M1712" s="2">
        <v>6</v>
      </c>
      <c r="N1712" s="2">
        <v>6</v>
      </c>
      <c r="O1712" s="2">
        <v>11</v>
      </c>
      <c r="P1712" s="3">
        <v>0</v>
      </c>
      <c r="Q1712" s="2">
        <v>9</v>
      </c>
      <c r="R1712" s="2">
        <v>2</v>
      </c>
      <c r="S1712" s="2">
        <v>0</v>
      </c>
      <c r="T1712" s="2">
        <v>0</v>
      </c>
      <c r="U1712" s="2">
        <v>0</v>
      </c>
      <c r="V1712" s="2">
        <f t="shared" si="857"/>
        <v>9</v>
      </c>
      <c r="W1712" s="2">
        <v>2</v>
      </c>
      <c r="X1712" s="2">
        <v>0</v>
      </c>
      <c r="Y1712" s="2">
        <v>1</v>
      </c>
      <c r="Z1712" s="2">
        <f t="shared" si="858"/>
        <v>3</v>
      </c>
      <c r="AA1712" s="2">
        <f t="shared" si="859"/>
        <v>75</v>
      </c>
      <c r="AB1712" s="2">
        <v>1116</v>
      </c>
      <c r="AC1712" s="20">
        <f t="shared" si="860"/>
        <v>6.72043010752688</v>
      </c>
      <c r="AD1712" s="2" t="s">
        <v>58</v>
      </c>
      <c r="AE1712" s="2">
        <v>188</v>
      </c>
      <c r="AF1712" s="21">
        <f t="shared" si="861"/>
        <v>6.72043010752688</v>
      </c>
      <c r="AG1712" s="4">
        <f t="shared" si="862"/>
        <v>0.806451612903226</v>
      </c>
      <c r="AH1712" s="4">
        <f t="shared" si="863"/>
        <v>0.268817204301075</v>
      </c>
      <c r="AI1712" s="2">
        <v>1188</v>
      </c>
      <c r="AJ1712" s="2">
        <v>85</v>
      </c>
      <c r="AK1712" s="2">
        <v>45</v>
      </c>
      <c r="AL1712" s="2">
        <v>13</v>
      </c>
      <c r="AM1712" s="2">
        <v>37</v>
      </c>
      <c r="AN1712" s="2">
        <v>4</v>
      </c>
      <c r="AO1712" s="2">
        <v>0</v>
      </c>
      <c r="AP1712" s="2">
        <f t="shared" si="864"/>
        <v>1290</v>
      </c>
      <c r="AQ1712" s="2">
        <f t="shared" si="865"/>
        <v>49.9419279907085</v>
      </c>
      <c r="AR1712" s="5">
        <f t="shared" si="866"/>
        <v>93.8908246225319</v>
      </c>
    </row>
    <row r="1713" spans="1:44">
      <c r="A1713" s="2">
        <v>20260512</v>
      </c>
      <c r="B1713" s="2" t="s">
        <v>3468</v>
      </c>
      <c r="C1713" s="2" t="s">
        <v>3469</v>
      </c>
      <c r="D1713" s="2">
        <v>12</v>
      </c>
      <c r="E1713" s="2">
        <v>26</v>
      </c>
      <c r="F1713" s="2">
        <v>18</v>
      </c>
      <c r="G1713" s="2">
        <v>8</v>
      </c>
      <c r="H1713" s="2">
        <v>19</v>
      </c>
      <c r="I1713" s="3">
        <v>33</v>
      </c>
      <c r="J1713" s="2">
        <v>19</v>
      </c>
      <c r="K1713" s="2">
        <v>1</v>
      </c>
      <c r="L1713" s="2">
        <v>0</v>
      </c>
      <c r="M1713" s="2">
        <v>13</v>
      </c>
      <c r="N1713" s="2">
        <v>21</v>
      </c>
      <c r="O1713" s="2">
        <v>66</v>
      </c>
      <c r="P1713" s="3">
        <v>19</v>
      </c>
      <c r="Q1713" s="2">
        <v>22</v>
      </c>
      <c r="R1713" s="2">
        <v>63</v>
      </c>
      <c r="S1713" s="2">
        <v>1</v>
      </c>
      <c r="T1713" s="2">
        <v>19</v>
      </c>
      <c r="U1713" s="2">
        <v>2</v>
      </c>
      <c r="V1713" s="2">
        <f t="shared" si="857"/>
        <v>44</v>
      </c>
      <c r="W1713" s="2">
        <v>0</v>
      </c>
      <c r="X1713" s="2">
        <v>2</v>
      </c>
      <c r="Y1713" s="2">
        <v>0</v>
      </c>
      <c r="Z1713" s="2">
        <f t="shared" si="858"/>
        <v>4</v>
      </c>
      <c r="AA1713" s="2">
        <f t="shared" si="859"/>
        <v>133</v>
      </c>
      <c r="AB1713" s="2">
        <v>2704</v>
      </c>
      <c r="AC1713" s="20">
        <f t="shared" si="860"/>
        <v>4.91863905325444</v>
      </c>
      <c r="AD1713" s="2" t="s">
        <v>58</v>
      </c>
      <c r="AE1713" s="2">
        <v>188</v>
      </c>
      <c r="AF1713" s="21">
        <f t="shared" si="861"/>
        <v>4.91863905325444</v>
      </c>
      <c r="AG1713" s="4">
        <f t="shared" si="862"/>
        <v>1.62721893491124</v>
      </c>
      <c r="AH1713" s="4">
        <f t="shared" si="863"/>
        <v>0.14792899408284</v>
      </c>
      <c r="AI1713" s="2">
        <v>3309</v>
      </c>
      <c r="AJ1713" s="2">
        <v>331</v>
      </c>
      <c r="AK1713" s="2">
        <v>48</v>
      </c>
      <c r="AL1713" s="2">
        <v>306</v>
      </c>
      <c r="AM1713" s="2">
        <v>232</v>
      </c>
      <c r="AN1713" s="2">
        <v>4</v>
      </c>
      <c r="AO1713" s="2">
        <v>0</v>
      </c>
      <c r="AP1713" s="2">
        <f t="shared" si="864"/>
        <v>3950</v>
      </c>
      <c r="AQ1713" s="2">
        <f t="shared" si="865"/>
        <v>353.942652329749</v>
      </c>
      <c r="AR1713" s="5">
        <f t="shared" si="866"/>
        <v>665.412186379928</v>
      </c>
    </row>
    <row r="1714" spans="1:44">
      <c r="A1714" s="2">
        <v>20260512</v>
      </c>
      <c r="B1714" s="2" t="s">
        <v>3470</v>
      </c>
      <c r="C1714" s="2" t="s">
        <v>3471</v>
      </c>
      <c r="D1714" s="2">
        <v>13</v>
      </c>
      <c r="E1714" s="2">
        <v>3</v>
      </c>
      <c r="F1714" s="2">
        <v>12</v>
      </c>
      <c r="G1714" s="2">
        <v>4</v>
      </c>
      <c r="H1714" s="2">
        <v>5</v>
      </c>
      <c r="I1714" s="3">
        <v>9</v>
      </c>
      <c r="J1714" s="2">
        <v>6</v>
      </c>
      <c r="K1714" s="2">
        <v>1</v>
      </c>
      <c r="L1714" s="2">
        <v>0</v>
      </c>
      <c r="M1714" s="2">
        <v>6</v>
      </c>
      <c r="N1714" s="2">
        <v>10</v>
      </c>
      <c r="O1714" s="2">
        <v>32</v>
      </c>
      <c r="P1714" s="3">
        <v>12</v>
      </c>
      <c r="Q1714" s="2">
        <v>10</v>
      </c>
      <c r="R1714" s="2">
        <v>62</v>
      </c>
      <c r="S1714" s="2">
        <v>3</v>
      </c>
      <c r="T1714" s="2">
        <v>8</v>
      </c>
      <c r="U1714" s="2">
        <v>0</v>
      </c>
      <c r="V1714" s="2">
        <f t="shared" si="857"/>
        <v>21</v>
      </c>
      <c r="W1714" s="2">
        <v>3</v>
      </c>
      <c r="X1714" s="2">
        <v>2</v>
      </c>
      <c r="Y1714" s="2">
        <v>0</v>
      </c>
      <c r="Z1714" s="2">
        <f t="shared" si="858"/>
        <v>5</v>
      </c>
      <c r="AA1714" s="2">
        <f t="shared" si="859"/>
        <v>51</v>
      </c>
      <c r="AB1714" s="2">
        <v>2104</v>
      </c>
      <c r="AC1714" s="20">
        <f t="shared" si="860"/>
        <v>2.42395437262357</v>
      </c>
      <c r="AD1714" s="2" t="s">
        <v>58</v>
      </c>
      <c r="AE1714" s="2">
        <v>188</v>
      </c>
      <c r="AF1714" s="21">
        <f t="shared" si="861"/>
        <v>2.42395437262357</v>
      </c>
      <c r="AG1714" s="4">
        <f t="shared" si="862"/>
        <v>0.998098859315589</v>
      </c>
      <c r="AH1714" s="4">
        <f t="shared" si="863"/>
        <v>0.237642585551331</v>
      </c>
      <c r="AI1714" s="2">
        <v>1277</v>
      </c>
      <c r="AJ1714" s="2">
        <v>140</v>
      </c>
      <c r="AK1714" s="2">
        <v>44</v>
      </c>
      <c r="AL1714" s="2">
        <v>23</v>
      </c>
      <c r="AM1714" s="2">
        <v>24</v>
      </c>
      <c r="AN1714" s="2">
        <v>3</v>
      </c>
      <c r="AO1714" s="2">
        <v>0</v>
      </c>
      <c r="AP1714" s="2">
        <f t="shared" si="864"/>
        <v>1443</v>
      </c>
      <c r="AQ1714" s="2">
        <f t="shared" si="865"/>
        <v>53.3653846153846</v>
      </c>
      <c r="AR1714" s="5">
        <f t="shared" si="866"/>
        <v>100.326923076923</v>
      </c>
    </row>
    <row r="1715" spans="1:44">
      <c r="A1715" s="2">
        <v>20260512</v>
      </c>
      <c r="B1715" s="2" t="s">
        <v>3472</v>
      </c>
      <c r="C1715" s="2" t="s">
        <v>3473</v>
      </c>
      <c r="D1715" s="2">
        <v>0</v>
      </c>
      <c r="E1715" s="2">
        <v>0</v>
      </c>
      <c r="F1715" s="2">
        <v>6</v>
      </c>
      <c r="G1715" s="2">
        <v>5</v>
      </c>
      <c r="H1715" s="2">
        <v>10</v>
      </c>
      <c r="I1715" s="3">
        <v>11</v>
      </c>
      <c r="J1715" s="2">
        <v>6</v>
      </c>
      <c r="K1715" s="2">
        <v>3</v>
      </c>
      <c r="L1715" s="2">
        <v>0</v>
      </c>
      <c r="M1715" s="2">
        <v>6</v>
      </c>
      <c r="N1715" s="2">
        <v>12</v>
      </c>
      <c r="O1715" s="2">
        <v>19</v>
      </c>
      <c r="P1715" s="3">
        <v>9</v>
      </c>
      <c r="Q1715" s="2">
        <v>7</v>
      </c>
      <c r="R1715" s="2">
        <v>180</v>
      </c>
      <c r="S1715" s="2">
        <v>4</v>
      </c>
      <c r="T1715" s="2">
        <v>7</v>
      </c>
      <c r="U1715" s="2">
        <v>0</v>
      </c>
      <c r="V1715" s="2">
        <f t="shared" si="857"/>
        <v>18</v>
      </c>
      <c r="W1715" s="2">
        <v>0</v>
      </c>
      <c r="X1715" s="2">
        <v>3</v>
      </c>
      <c r="Y1715" s="2">
        <v>0</v>
      </c>
      <c r="Z1715" s="2">
        <f t="shared" si="858"/>
        <v>3</v>
      </c>
      <c r="AA1715" s="2">
        <f t="shared" si="859"/>
        <v>57</v>
      </c>
      <c r="AB1715" s="2">
        <v>2503</v>
      </c>
      <c r="AC1715" s="20">
        <f t="shared" si="860"/>
        <v>2.27726727926488</v>
      </c>
      <c r="AD1715" s="2" t="s">
        <v>58</v>
      </c>
      <c r="AE1715" s="2">
        <v>188</v>
      </c>
      <c r="AF1715" s="21">
        <f t="shared" si="861"/>
        <v>2.27726727926488</v>
      </c>
      <c r="AG1715" s="4">
        <f t="shared" si="862"/>
        <v>0.719137035557331</v>
      </c>
      <c r="AH1715" s="4">
        <f t="shared" si="863"/>
        <v>0.119856172592889</v>
      </c>
      <c r="AI1715" s="2">
        <v>1306</v>
      </c>
      <c r="AJ1715" s="2">
        <v>180</v>
      </c>
      <c r="AK1715" s="2">
        <v>5</v>
      </c>
      <c r="AL1715" s="2">
        <v>26</v>
      </c>
      <c r="AM1715" s="2">
        <v>30</v>
      </c>
      <c r="AN1715" s="2">
        <v>5</v>
      </c>
      <c r="AO1715" s="2">
        <v>0</v>
      </c>
      <c r="AP1715" s="2">
        <f t="shared" si="864"/>
        <v>1517</v>
      </c>
      <c r="AQ1715" s="2">
        <f t="shared" si="865"/>
        <v>72.1007604562738</v>
      </c>
      <c r="AR1715" s="5">
        <f t="shared" si="866"/>
        <v>135.549429657795</v>
      </c>
    </row>
    <row r="1716" spans="1:44">
      <c r="A1716" s="2">
        <v>20260512</v>
      </c>
      <c r="B1716" s="2" t="s">
        <v>3474</v>
      </c>
      <c r="C1716" s="2" t="s">
        <v>3475</v>
      </c>
      <c r="D1716" s="2">
        <v>1</v>
      </c>
      <c r="E1716" s="2">
        <v>2</v>
      </c>
      <c r="F1716" s="2">
        <v>9</v>
      </c>
      <c r="G1716" s="2">
        <v>12</v>
      </c>
      <c r="H1716" s="2">
        <v>6</v>
      </c>
      <c r="I1716" s="3">
        <v>14</v>
      </c>
      <c r="J1716" s="2">
        <v>6</v>
      </c>
      <c r="K1716" s="2">
        <v>0</v>
      </c>
      <c r="L1716" s="2">
        <v>2</v>
      </c>
      <c r="M1716" s="2">
        <v>6</v>
      </c>
      <c r="N1716" s="2">
        <v>8</v>
      </c>
      <c r="O1716" s="2">
        <v>15</v>
      </c>
      <c r="P1716" s="3">
        <v>9</v>
      </c>
      <c r="Q1716" s="2">
        <v>4</v>
      </c>
      <c r="R1716" s="2">
        <v>64</v>
      </c>
      <c r="S1716" s="2">
        <v>1</v>
      </c>
      <c r="T1716" s="2">
        <v>9</v>
      </c>
      <c r="U1716" s="2">
        <v>0</v>
      </c>
      <c r="V1716" s="2">
        <f t="shared" si="857"/>
        <v>14</v>
      </c>
      <c r="W1716" s="2">
        <v>2</v>
      </c>
      <c r="X1716" s="2">
        <v>4</v>
      </c>
      <c r="Y1716" s="2">
        <v>0</v>
      </c>
      <c r="Z1716" s="2">
        <f t="shared" si="858"/>
        <v>6</v>
      </c>
      <c r="AA1716" s="2">
        <f t="shared" si="859"/>
        <v>64</v>
      </c>
      <c r="AB1716" s="2">
        <v>1466</v>
      </c>
      <c r="AC1716" s="20">
        <f t="shared" si="860"/>
        <v>4.3656207366985</v>
      </c>
      <c r="AD1716" s="2" t="s">
        <v>58</v>
      </c>
      <c r="AE1716" s="2">
        <v>188</v>
      </c>
      <c r="AF1716" s="21">
        <f t="shared" si="861"/>
        <v>4.3656207366985</v>
      </c>
      <c r="AG1716" s="4">
        <f t="shared" si="862"/>
        <v>0.954979536152797</v>
      </c>
      <c r="AH1716" s="4">
        <f t="shared" si="863"/>
        <v>0.409276944065484</v>
      </c>
      <c r="AI1716" s="2">
        <v>654</v>
      </c>
      <c r="AJ1716" s="2">
        <v>120</v>
      </c>
      <c r="AK1716" s="2">
        <v>30</v>
      </c>
      <c r="AL1716" s="2">
        <v>19</v>
      </c>
      <c r="AM1716" s="2">
        <v>23</v>
      </c>
      <c r="AN1716" s="2">
        <v>5</v>
      </c>
      <c r="AO1716" s="2">
        <v>0</v>
      </c>
      <c r="AP1716" s="2">
        <f t="shared" si="864"/>
        <v>798</v>
      </c>
      <c r="AQ1716" s="2">
        <f t="shared" si="865"/>
        <v>31.8817419097083</v>
      </c>
      <c r="AR1716" s="5">
        <f t="shared" si="866"/>
        <v>59.9376747902517</v>
      </c>
    </row>
    <row r="1717" spans="1:44">
      <c r="A1717" s="2">
        <v>20260512</v>
      </c>
      <c r="B1717" s="2" t="s">
        <v>3476</v>
      </c>
      <c r="C1717" s="2" t="s">
        <v>3477</v>
      </c>
      <c r="D1717" s="2">
        <v>10</v>
      </c>
      <c r="E1717" s="2">
        <v>4</v>
      </c>
      <c r="F1717" s="2">
        <v>19</v>
      </c>
      <c r="G1717" s="2">
        <v>13</v>
      </c>
      <c r="H1717" s="2">
        <v>8</v>
      </c>
      <c r="I1717" s="3">
        <v>9</v>
      </c>
      <c r="J1717" s="2">
        <v>9</v>
      </c>
      <c r="K1717" s="2">
        <v>3</v>
      </c>
      <c r="L1717" s="2">
        <v>0</v>
      </c>
      <c r="M1717" s="2">
        <v>8</v>
      </c>
      <c r="N1717" s="2">
        <v>16</v>
      </c>
      <c r="O1717" s="2">
        <v>46</v>
      </c>
      <c r="P1717" s="3">
        <v>14</v>
      </c>
      <c r="Q1717" s="2">
        <v>17</v>
      </c>
      <c r="R1717" s="2">
        <v>171</v>
      </c>
      <c r="S1717" s="2">
        <v>3</v>
      </c>
      <c r="T1717" s="2">
        <v>11</v>
      </c>
      <c r="U1717" s="2">
        <v>2</v>
      </c>
      <c r="V1717" s="2">
        <f t="shared" si="857"/>
        <v>33</v>
      </c>
      <c r="W1717" s="2">
        <v>0</v>
      </c>
      <c r="X1717" s="2">
        <v>0</v>
      </c>
      <c r="Y1717" s="2">
        <v>0</v>
      </c>
      <c r="Z1717" s="2">
        <f t="shared" si="858"/>
        <v>2</v>
      </c>
      <c r="AA1717" s="2">
        <f t="shared" si="859"/>
        <v>77</v>
      </c>
      <c r="AB1717" s="2">
        <v>2903</v>
      </c>
      <c r="AC1717" s="20">
        <f t="shared" si="860"/>
        <v>2.65242852221839</v>
      </c>
      <c r="AD1717" s="2" t="s">
        <v>58</v>
      </c>
      <c r="AE1717" s="2">
        <v>188</v>
      </c>
      <c r="AF1717" s="21">
        <f t="shared" si="861"/>
        <v>2.65242852221839</v>
      </c>
      <c r="AG1717" s="4">
        <f t="shared" si="862"/>
        <v>1.13675508095074</v>
      </c>
      <c r="AH1717" s="4">
        <f t="shared" si="863"/>
        <v>0.0688942473303479</v>
      </c>
      <c r="AI1717" s="2">
        <v>1514</v>
      </c>
      <c r="AJ1717" s="2">
        <v>152</v>
      </c>
      <c r="AK1717" s="2">
        <v>56</v>
      </c>
      <c r="AL1717" s="2">
        <v>49</v>
      </c>
      <c r="AM1717" s="2">
        <v>58</v>
      </c>
      <c r="AN1717" s="2">
        <v>1</v>
      </c>
      <c r="AO1717" s="2">
        <v>0</v>
      </c>
      <c r="AP1717" s="2">
        <f t="shared" si="864"/>
        <v>1716</v>
      </c>
      <c r="AQ1717" s="2">
        <f t="shared" si="865"/>
        <v>117.053206002729</v>
      </c>
      <c r="AR1717" s="5">
        <f t="shared" si="866"/>
        <v>220.06002728513</v>
      </c>
    </row>
    <row r="1718" spans="1:44">
      <c r="A1718" s="2">
        <v>20260512</v>
      </c>
      <c r="B1718" s="2" t="s">
        <v>3478</v>
      </c>
      <c r="C1718" s="2" t="s">
        <v>3479</v>
      </c>
      <c r="D1718" s="2">
        <v>3</v>
      </c>
      <c r="E1718" s="2">
        <v>0</v>
      </c>
      <c r="F1718" s="2">
        <v>5</v>
      </c>
      <c r="G1718" s="2">
        <v>6</v>
      </c>
      <c r="H1718" s="2">
        <v>1</v>
      </c>
      <c r="I1718" s="3">
        <v>6</v>
      </c>
      <c r="J1718" s="2">
        <v>14</v>
      </c>
      <c r="K1718" s="2">
        <v>2</v>
      </c>
      <c r="L1718" s="2">
        <v>0</v>
      </c>
      <c r="M1718" s="2">
        <v>0</v>
      </c>
      <c r="N1718" s="2">
        <v>25</v>
      </c>
      <c r="O1718" s="2">
        <v>10</v>
      </c>
      <c r="P1718" s="3">
        <v>3</v>
      </c>
      <c r="Q1718" s="2">
        <v>5</v>
      </c>
      <c r="R1718" s="2">
        <v>31</v>
      </c>
      <c r="S1718" s="2">
        <v>1</v>
      </c>
      <c r="T1718" s="2">
        <v>3</v>
      </c>
      <c r="U1718" s="2">
        <v>0</v>
      </c>
      <c r="V1718" s="2">
        <f t="shared" si="857"/>
        <v>9</v>
      </c>
      <c r="W1718" s="2">
        <v>0</v>
      </c>
      <c r="X1718" s="2">
        <v>2</v>
      </c>
      <c r="Y1718" s="2">
        <v>0</v>
      </c>
      <c r="Z1718" s="2">
        <f t="shared" si="858"/>
        <v>2</v>
      </c>
      <c r="AA1718" s="2">
        <f t="shared" si="859"/>
        <v>35</v>
      </c>
      <c r="AB1718" s="2">
        <v>1255</v>
      </c>
      <c r="AC1718" s="20">
        <f t="shared" si="860"/>
        <v>2.78884462151394</v>
      </c>
      <c r="AD1718" s="2" t="s">
        <v>58</v>
      </c>
      <c r="AE1718" s="2">
        <v>188</v>
      </c>
      <c r="AF1718" s="21">
        <f t="shared" si="861"/>
        <v>2.78884462151394</v>
      </c>
      <c r="AG1718" s="4">
        <f t="shared" si="862"/>
        <v>0.717131474103586</v>
      </c>
      <c r="AH1718" s="4">
        <f t="shared" si="863"/>
        <v>0.159362549800797</v>
      </c>
      <c r="AO1718" s="2">
        <v>0</v>
      </c>
      <c r="AP1718" s="2">
        <f t="shared" si="864"/>
        <v>0</v>
      </c>
      <c r="AQ1718" s="2">
        <f t="shared" si="865"/>
        <v>0</v>
      </c>
      <c r="AR1718" s="5">
        <f t="shared" si="866"/>
        <v>0</v>
      </c>
    </row>
    <row r="1719" spans="1:44">
      <c r="A1719" s="2">
        <v>20260512</v>
      </c>
      <c r="B1719" s="2" t="s">
        <v>3480</v>
      </c>
      <c r="C1719" s="2" t="s">
        <v>3481</v>
      </c>
      <c r="D1719" s="2">
        <v>9</v>
      </c>
      <c r="E1719" s="2">
        <v>3</v>
      </c>
      <c r="F1719" s="2">
        <v>15</v>
      </c>
      <c r="G1719" s="2">
        <v>8</v>
      </c>
      <c r="H1719" s="2">
        <v>14</v>
      </c>
      <c r="I1719" s="3">
        <v>20</v>
      </c>
      <c r="J1719" s="2">
        <v>14</v>
      </c>
      <c r="K1719" s="2">
        <v>4</v>
      </c>
      <c r="L1719" s="2">
        <v>2</v>
      </c>
      <c r="M1719" s="2">
        <v>9</v>
      </c>
      <c r="N1719" s="2">
        <v>10</v>
      </c>
      <c r="O1719" s="2">
        <v>40</v>
      </c>
      <c r="P1719" s="3">
        <v>9</v>
      </c>
      <c r="Q1719" s="2">
        <v>16</v>
      </c>
      <c r="R1719" s="2">
        <v>93</v>
      </c>
      <c r="S1719" s="2">
        <v>3</v>
      </c>
      <c r="T1719" s="2">
        <v>7</v>
      </c>
      <c r="U1719" s="2">
        <v>1</v>
      </c>
      <c r="V1719" s="2">
        <f t="shared" si="857"/>
        <v>27</v>
      </c>
      <c r="W1719" s="2">
        <v>4</v>
      </c>
      <c r="X1719" s="2">
        <v>5</v>
      </c>
      <c r="Y1719" s="2">
        <v>0</v>
      </c>
      <c r="Z1719" s="2">
        <f t="shared" si="858"/>
        <v>10</v>
      </c>
      <c r="AA1719" s="2">
        <f t="shared" si="859"/>
        <v>88</v>
      </c>
      <c r="AB1719" s="2">
        <v>2953</v>
      </c>
      <c r="AC1719" s="20">
        <f t="shared" si="860"/>
        <v>2.98002031832035</v>
      </c>
      <c r="AD1719" s="2" t="s">
        <v>58</v>
      </c>
      <c r="AE1719" s="2">
        <v>188</v>
      </c>
      <c r="AF1719" s="21">
        <f t="shared" si="861"/>
        <v>2.98002031832035</v>
      </c>
      <c r="AG1719" s="4">
        <f t="shared" si="862"/>
        <v>0.91432441584829</v>
      </c>
      <c r="AH1719" s="4">
        <f t="shared" si="863"/>
        <v>0.338638672536404</v>
      </c>
      <c r="AO1719" s="2">
        <v>0</v>
      </c>
      <c r="AP1719" s="2">
        <f t="shared" ref="AP1711:AP1747" si="867">AI1719+AJ1719+AL1719+AN1719</f>
        <v>0</v>
      </c>
      <c r="AQ1719" s="2">
        <f t="shared" ref="AQ1711:AQ1747" si="868">AP1719/AB1718*100</f>
        <v>0</v>
      </c>
      <c r="AR1719" s="5">
        <f t="shared" ref="AR1711:AR1747" si="869">AQ1719*1.88</f>
        <v>0</v>
      </c>
    </row>
    <row r="1720" spans="1:44">
      <c r="A1720" s="2">
        <v>20260512</v>
      </c>
      <c r="B1720" s="2" t="s">
        <v>3482</v>
      </c>
      <c r="C1720" s="2" t="s">
        <v>3483</v>
      </c>
      <c r="D1720" s="2">
        <v>9</v>
      </c>
      <c r="E1720" s="2">
        <v>2</v>
      </c>
      <c r="F1720" s="2">
        <v>12</v>
      </c>
      <c r="G1720" s="2">
        <v>8</v>
      </c>
      <c r="H1720" s="2">
        <v>24</v>
      </c>
      <c r="I1720" s="3">
        <v>7</v>
      </c>
      <c r="J1720" s="2">
        <v>11</v>
      </c>
      <c r="K1720" s="2">
        <v>18</v>
      </c>
      <c r="L1720" s="2">
        <v>0</v>
      </c>
      <c r="M1720" s="2">
        <v>1</v>
      </c>
      <c r="N1720" s="2">
        <v>3</v>
      </c>
      <c r="O1720" s="2">
        <v>38</v>
      </c>
      <c r="P1720" s="3">
        <v>12</v>
      </c>
      <c r="Q1720" s="2">
        <v>7</v>
      </c>
      <c r="R1720" s="2">
        <v>76</v>
      </c>
      <c r="S1720" s="2">
        <v>4</v>
      </c>
      <c r="T1720" s="2">
        <v>15</v>
      </c>
      <c r="U1720" s="2">
        <v>2</v>
      </c>
      <c r="V1720" s="2">
        <f t="shared" si="857"/>
        <v>28</v>
      </c>
      <c r="W1720" s="2">
        <v>3</v>
      </c>
      <c r="X1720" s="2">
        <v>1</v>
      </c>
      <c r="Y1720" s="2">
        <v>0</v>
      </c>
      <c r="Z1720" s="2">
        <f t="shared" si="858"/>
        <v>6</v>
      </c>
      <c r="AA1720" s="2">
        <f t="shared" si="859"/>
        <v>98</v>
      </c>
      <c r="AB1720" s="2">
        <v>1676</v>
      </c>
      <c r="AC1720" s="20">
        <f t="shared" si="860"/>
        <v>5.8472553699284</v>
      </c>
      <c r="AD1720" s="2" t="s">
        <v>58</v>
      </c>
      <c r="AE1720" s="2">
        <v>188</v>
      </c>
      <c r="AF1720" s="21">
        <f t="shared" si="861"/>
        <v>5.8472553699284</v>
      </c>
      <c r="AG1720" s="4">
        <f t="shared" si="862"/>
        <v>1.67064439140811</v>
      </c>
      <c r="AH1720" s="4">
        <f t="shared" si="863"/>
        <v>0.35799522673031</v>
      </c>
      <c r="AI1720" s="2">
        <v>1572</v>
      </c>
      <c r="AJ1720" s="2">
        <v>162</v>
      </c>
      <c r="AK1720" s="2">
        <v>72</v>
      </c>
      <c r="AL1720" s="2">
        <v>43</v>
      </c>
      <c r="AM1720" s="2">
        <v>58</v>
      </c>
      <c r="AN1720" s="2">
        <v>3</v>
      </c>
      <c r="AO1720" s="2">
        <v>0</v>
      </c>
      <c r="AP1720" s="2">
        <f t="shared" si="867"/>
        <v>1780</v>
      </c>
      <c r="AQ1720" s="2">
        <f t="shared" si="868"/>
        <v>60.2776837114798</v>
      </c>
      <c r="AR1720" s="5">
        <f t="shared" si="869"/>
        <v>113.322045377582</v>
      </c>
    </row>
    <row r="1721" spans="1:44">
      <c r="A1721" s="2">
        <v>20260512</v>
      </c>
      <c r="B1721" s="2" t="s">
        <v>3484</v>
      </c>
      <c r="C1721" s="2" t="s">
        <v>3485</v>
      </c>
      <c r="D1721" s="2">
        <v>6</v>
      </c>
      <c r="E1721" s="2">
        <v>0</v>
      </c>
      <c r="F1721" s="2">
        <v>20</v>
      </c>
      <c r="G1721" s="2">
        <v>12</v>
      </c>
      <c r="H1721" s="2">
        <v>9</v>
      </c>
      <c r="I1721" s="3">
        <v>5</v>
      </c>
      <c r="J1721" s="2">
        <v>8</v>
      </c>
      <c r="K1721" s="2">
        <v>1</v>
      </c>
      <c r="L1721" s="2">
        <v>0</v>
      </c>
      <c r="M1721" s="2">
        <v>6</v>
      </c>
      <c r="N1721" s="2">
        <v>5</v>
      </c>
      <c r="O1721" s="2">
        <v>46</v>
      </c>
      <c r="P1721" s="3">
        <v>9</v>
      </c>
      <c r="Q1721" s="2">
        <v>14</v>
      </c>
      <c r="R1721" s="2">
        <v>20</v>
      </c>
      <c r="S1721" s="2">
        <v>4</v>
      </c>
      <c r="T1721" s="2">
        <v>4</v>
      </c>
      <c r="U1721" s="2">
        <v>0</v>
      </c>
      <c r="V1721" s="2">
        <f t="shared" si="857"/>
        <v>22</v>
      </c>
      <c r="W1721" s="2">
        <v>4</v>
      </c>
      <c r="X1721" s="2">
        <v>1</v>
      </c>
      <c r="Y1721" s="2">
        <v>0</v>
      </c>
      <c r="Z1721" s="2">
        <f t="shared" ref="Z1721:Z1730" si="870">Y1721+X1721+W1721+U1721</f>
        <v>5</v>
      </c>
      <c r="AA1721" s="2">
        <f t="shared" si="859"/>
        <v>54</v>
      </c>
      <c r="AB1721" s="2">
        <v>2398</v>
      </c>
      <c r="AC1721" s="20">
        <f t="shared" si="860"/>
        <v>2.25187656380317</v>
      </c>
      <c r="AD1721" s="2" t="s">
        <v>49</v>
      </c>
      <c r="AE1721" s="2">
        <v>188</v>
      </c>
      <c r="AF1721" s="21">
        <f t="shared" si="861"/>
        <v>2.25187656380317</v>
      </c>
      <c r="AG1721" s="4">
        <f t="shared" si="862"/>
        <v>0.917431192660551</v>
      </c>
      <c r="AH1721" s="4">
        <f t="shared" si="863"/>
        <v>0.208507089241034</v>
      </c>
      <c r="AI1721" s="2">
        <v>4393</v>
      </c>
      <c r="AJ1721" s="2">
        <v>377</v>
      </c>
      <c r="AK1721" s="2">
        <v>345</v>
      </c>
      <c r="AL1721" s="2">
        <v>161</v>
      </c>
      <c r="AM1721" s="2">
        <v>104</v>
      </c>
      <c r="AN1721" s="2">
        <v>3</v>
      </c>
      <c r="AO1721" s="2">
        <v>0</v>
      </c>
      <c r="AP1721" s="2">
        <f t="shared" si="867"/>
        <v>4934</v>
      </c>
      <c r="AQ1721" s="2">
        <f t="shared" si="868"/>
        <v>294.391408114558</v>
      </c>
      <c r="AR1721" s="5">
        <f t="shared" si="869"/>
        <v>553.45584725537</v>
      </c>
    </row>
    <row r="1722" spans="1:44">
      <c r="A1722" s="2">
        <v>20260513</v>
      </c>
      <c r="B1722" s="2" t="s">
        <v>3486</v>
      </c>
      <c r="C1722" s="2" t="s">
        <v>3487</v>
      </c>
      <c r="D1722" s="2">
        <v>3</v>
      </c>
      <c r="E1722" s="2">
        <v>1</v>
      </c>
      <c r="F1722" s="2">
        <v>5</v>
      </c>
      <c r="G1722" s="2">
        <v>12</v>
      </c>
      <c r="H1722" s="2">
        <v>6</v>
      </c>
      <c r="I1722" s="3">
        <v>10</v>
      </c>
      <c r="J1722" s="2">
        <v>7</v>
      </c>
      <c r="K1722" s="2">
        <v>4</v>
      </c>
      <c r="L1722" s="2">
        <v>0</v>
      </c>
      <c r="M1722" s="2">
        <v>11</v>
      </c>
      <c r="N1722" s="2">
        <v>6</v>
      </c>
      <c r="O1722" s="2">
        <v>21</v>
      </c>
      <c r="P1722" s="3">
        <v>3</v>
      </c>
      <c r="Q1722" s="2">
        <v>2</v>
      </c>
      <c r="R1722" s="2">
        <v>156</v>
      </c>
      <c r="S1722" s="2">
        <v>2</v>
      </c>
      <c r="T1722" s="2">
        <v>14</v>
      </c>
      <c r="U1722" s="2">
        <v>0</v>
      </c>
      <c r="V1722" s="2">
        <f t="shared" ref="V1722:V1727" si="871">U1722+T1722+S1722+Q1722</f>
        <v>18</v>
      </c>
      <c r="W1722" s="2">
        <v>3</v>
      </c>
      <c r="X1722" s="2">
        <v>2</v>
      </c>
      <c r="Y1722" s="2">
        <v>1</v>
      </c>
      <c r="Z1722" s="2">
        <f t="shared" si="870"/>
        <v>6</v>
      </c>
      <c r="AA1722" s="2">
        <f t="shared" ref="AA1722:AA1727" si="872">G1722+H1722+I1722+J1722+K1722+L1722+M1722+P1722+T1722+U1722</f>
        <v>67</v>
      </c>
      <c r="AB1722" s="2">
        <v>2284</v>
      </c>
      <c r="AC1722" s="20">
        <f t="shared" ref="AC1722:AC1727" si="873">AA1722/AB1722*100</f>
        <v>2.93345008756567</v>
      </c>
      <c r="AD1722" s="2" t="s">
        <v>49</v>
      </c>
      <c r="AE1722" s="2">
        <v>188</v>
      </c>
      <c r="AF1722" s="21">
        <f t="shared" si="861"/>
        <v>2.93345008756567</v>
      </c>
      <c r="AG1722" s="4">
        <f t="shared" si="862"/>
        <v>0.788091068301226</v>
      </c>
      <c r="AH1722" s="4">
        <f t="shared" si="863"/>
        <v>0.262697022767075</v>
      </c>
      <c r="AI1722" s="2">
        <v>2029</v>
      </c>
      <c r="AJ1722" s="2">
        <v>97</v>
      </c>
      <c r="AK1722" s="2">
        <v>261</v>
      </c>
      <c r="AL1722" s="2">
        <v>48</v>
      </c>
      <c r="AM1722" s="2">
        <v>15</v>
      </c>
      <c r="AN1722" s="2">
        <v>1</v>
      </c>
      <c r="AO1722" s="2">
        <v>0</v>
      </c>
      <c r="AP1722" s="2">
        <f t="shared" si="867"/>
        <v>2175</v>
      </c>
      <c r="AQ1722" s="2">
        <f t="shared" si="868"/>
        <v>90.7005838198499</v>
      </c>
      <c r="AR1722" s="5">
        <f t="shared" si="869"/>
        <v>170.517097581318</v>
      </c>
    </row>
    <row r="1723" spans="1:44">
      <c r="A1723" s="2">
        <v>20260513</v>
      </c>
      <c r="B1723" s="2" t="s">
        <v>3488</v>
      </c>
      <c r="C1723" s="2" t="s">
        <v>3489</v>
      </c>
      <c r="D1723" s="2">
        <v>10</v>
      </c>
      <c r="E1723" s="2">
        <v>6</v>
      </c>
      <c r="F1723" s="2">
        <v>32</v>
      </c>
      <c r="G1723" s="2">
        <v>11</v>
      </c>
      <c r="H1723" s="2">
        <v>21</v>
      </c>
      <c r="I1723" s="3">
        <v>13</v>
      </c>
      <c r="J1723" s="2">
        <v>5</v>
      </c>
      <c r="K1723" s="2">
        <v>29</v>
      </c>
      <c r="L1723" s="2">
        <v>2</v>
      </c>
      <c r="M1723" s="2">
        <v>9</v>
      </c>
      <c r="N1723" s="2">
        <v>8</v>
      </c>
      <c r="O1723" s="2">
        <v>51</v>
      </c>
      <c r="P1723" s="3">
        <v>16</v>
      </c>
      <c r="Q1723" s="2">
        <v>15</v>
      </c>
      <c r="R1723" s="2">
        <v>106</v>
      </c>
      <c r="S1723" s="2">
        <v>6</v>
      </c>
      <c r="T1723" s="2">
        <v>15</v>
      </c>
      <c r="U1723" s="2">
        <v>3</v>
      </c>
      <c r="V1723" s="2">
        <f t="shared" si="871"/>
        <v>39</v>
      </c>
      <c r="W1723" s="2">
        <v>2</v>
      </c>
      <c r="X1723" s="2">
        <v>6</v>
      </c>
      <c r="Y1723" s="2">
        <v>0</v>
      </c>
      <c r="Z1723" s="2">
        <f t="shared" si="870"/>
        <v>11</v>
      </c>
      <c r="AA1723" s="2">
        <f t="shared" si="872"/>
        <v>124</v>
      </c>
      <c r="AB1723" s="2">
        <v>2433</v>
      </c>
      <c r="AC1723" s="20">
        <f t="shared" si="873"/>
        <v>5.09658857377723</v>
      </c>
      <c r="AD1723" s="2" t="s">
        <v>49</v>
      </c>
      <c r="AE1723" s="2">
        <v>188</v>
      </c>
      <c r="AF1723" s="21">
        <f t="shared" si="861"/>
        <v>5.09658857377723</v>
      </c>
      <c r="AG1723" s="4">
        <f t="shared" si="862"/>
        <v>1.60295930949445</v>
      </c>
      <c r="AH1723" s="4">
        <f t="shared" si="863"/>
        <v>0.452116728318948</v>
      </c>
      <c r="AI1723" s="2">
        <v>2823</v>
      </c>
      <c r="AJ1723" s="2">
        <v>213</v>
      </c>
      <c r="AK1723" s="2">
        <v>227</v>
      </c>
      <c r="AL1723" s="2">
        <v>57</v>
      </c>
      <c r="AM1723" s="2">
        <v>67</v>
      </c>
      <c r="AN1723" s="2">
        <v>2</v>
      </c>
      <c r="AO1723" s="2">
        <v>0</v>
      </c>
      <c r="AP1723" s="2">
        <f t="shared" si="867"/>
        <v>3095</v>
      </c>
      <c r="AQ1723" s="2">
        <f t="shared" si="868"/>
        <v>135.507880910683</v>
      </c>
      <c r="AR1723" s="5">
        <f t="shared" si="869"/>
        <v>254.754816112084</v>
      </c>
    </row>
    <row r="1724" spans="1:44">
      <c r="A1724" s="2">
        <v>20260513</v>
      </c>
      <c r="B1724" s="2" t="s">
        <v>3490</v>
      </c>
      <c r="C1724" s="2" t="s">
        <v>3491</v>
      </c>
      <c r="D1724" s="2">
        <v>3</v>
      </c>
      <c r="E1724" s="2">
        <v>0</v>
      </c>
      <c r="F1724" s="2">
        <v>6</v>
      </c>
      <c r="G1724" s="2">
        <v>7</v>
      </c>
      <c r="H1724" s="2">
        <v>7</v>
      </c>
      <c r="I1724" s="3">
        <v>7</v>
      </c>
      <c r="J1724" s="2">
        <v>11</v>
      </c>
      <c r="K1724" s="2">
        <v>1</v>
      </c>
      <c r="L1724" s="2">
        <v>1</v>
      </c>
      <c r="M1724" s="2">
        <v>3</v>
      </c>
      <c r="N1724" s="2">
        <v>2</v>
      </c>
      <c r="O1724" s="2">
        <v>25</v>
      </c>
      <c r="P1724" s="3">
        <v>4</v>
      </c>
      <c r="Q1724" s="2">
        <v>4</v>
      </c>
      <c r="R1724" s="2">
        <v>47</v>
      </c>
      <c r="S1724" s="2">
        <v>0</v>
      </c>
      <c r="T1724" s="2">
        <v>4</v>
      </c>
      <c r="U1724" s="2">
        <v>0</v>
      </c>
      <c r="V1724" s="2">
        <f t="shared" si="871"/>
        <v>8</v>
      </c>
      <c r="W1724" s="2">
        <v>3</v>
      </c>
      <c r="X1724" s="2">
        <v>5</v>
      </c>
      <c r="Y1724" s="2">
        <v>0</v>
      </c>
      <c r="Z1724" s="2">
        <f t="shared" si="870"/>
        <v>8</v>
      </c>
      <c r="AA1724" s="2">
        <f t="shared" si="872"/>
        <v>45</v>
      </c>
      <c r="AB1724" s="2">
        <v>2234</v>
      </c>
      <c r="AC1724" s="20">
        <f t="shared" si="873"/>
        <v>2.01432408236347</v>
      </c>
      <c r="AD1724" s="2" t="s">
        <v>49</v>
      </c>
      <c r="AE1724" s="2">
        <v>188</v>
      </c>
      <c r="AF1724" s="21">
        <f t="shared" si="861"/>
        <v>2.01432408236347</v>
      </c>
      <c r="AG1724" s="4">
        <f t="shared" si="862"/>
        <v>0.35810205908684</v>
      </c>
      <c r="AH1724" s="4">
        <f t="shared" si="863"/>
        <v>0.35810205908684</v>
      </c>
      <c r="AI1724" s="2">
        <v>4075</v>
      </c>
      <c r="AJ1724" s="2">
        <v>160</v>
      </c>
      <c r="AK1724" s="2">
        <v>188</v>
      </c>
      <c r="AL1724" s="2">
        <v>20</v>
      </c>
      <c r="AM1724" s="2">
        <v>34</v>
      </c>
      <c r="AN1724" s="2">
        <v>3</v>
      </c>
      <c r="AO1724" s="2">
        <v>0</v>
      </c>
      <c r="AP1724" s="2">
        <f t="shared" si="867"/>
        <v>4258</v>
      </c>
      <c r="AQ1724" s="2">
        <f t="shared" si="868"/>
        <v>175.010275380189</v>
      </c>
      <c r="AR1724" s="5">
        <f t="shared" si="869"/>
        <v>329.019317714755</v>
      </c>
    </row>
    <row r="1725" spans="1:44">
      <c r="A1725" s="2">
        <v>20260513</v>
      </c>
      <c r="B1725" s="2" t="s">
        <v>3492</v>
      </c>
      <c r="C1725" s="2" t="s">
        <v>3493</v>
      </c>
      <c r="D1725" s="2">
        <v>14</v>
      </c>
      <c r="E1725" s="2">
        <v>6</v>
      </c>
      <c r="F1725" s="2">
        <v>16</v>
      </c>
      <c r="G1725" s="2">
        <v>7</v>
      </c>
      <c r="H1725" s="2">
        <v>12</v>
      </c>
      <c r="I1725" s="3">
        <v>19</v>
      </c>
      <c r="J1725" s="2">
        <v>11</v>
      </c>
      <c r="K1725" s="2">
        <v>22</v>
      </c>
      <c r="L1725" s="2">
        <v>0</v>
      </c>
      <c r="M1725" s="2">
        <v>6</v>
      </c>
      <c r="N1725" s="2">
        <v>11</v>
      </c>
      <c r="O1725" s="2">
        <v>47</v>
      </c>
      <c r="P1725" s="3">
        <v>15</v>
      </c>
      <c r="Q1725" s="2">
        <v>7</v>
      </c>
      <c r="R1725" s="2">
        <v>19</v>
      </c>
      <c r="S1725" s="2">
        <v>5</v>
      </c>
      <c r="T1725" s="2">
        <v>8</v>
      </c>
      <c r="U1725" s="2">
        <v>2</v>
      </c>
      <c r="V1725" s="2">
        <f t="shared" si="871"/>
        <v>22</v>
      </c>
      <c r="W1725" s="2">
        <v>10</v>
      </c>
      <c r="X1725" s="2">
        <v>2</v>
      </c>
      <c r="Y1725" s="2">
        <v>0</v>
      </c>
      <c r="Z1725" s="2">
        <f t="shared" si="870"/>
        <v>14</v>
      </c>
      <c r="AA1725" s="2">
        <f t="shared" si="872"/>
        <v>102</v>
      </c>
      <c r="AB1725" s="2">
        <v>2453</v>
      </c>
      <c r="AC1725" s="20">
        <f t="shared" si="873"/>
        <v>4.15817366490012</v>
      </c>
      <c r="AD1725" s="2" t="s">
        <v>49</v>
      </c>
      <c r="AE1725" s="2">
        <v>188</v>
      </c>
      <c r="AF1725" s="21">
        <f t="shared" si="861"/>
        <v>4.15817366490012</v>
      </c>
      <c r="AG1725" s="4">
        <f t="shared" si="862"/>
        <v>0.896860986547085</v>
      </c>
      <c r="AH1725" s="4">
        <f t="shared" si="863"/>
        <v>0.570729718711782</v>
      </c>
      <c r="AO1725" s="2">
        <v>0</v>
      </c>
      <c r="AP1725" s="2">
        <f t="shared" si="867"/>
        <v>0</v>
      </c>
      <c r="AQ1725" s="2">
        <f t="shared" si="868"/>
        <v>0</v>
      </c>
      <c r="AR1725" s="5">
        <f t="shared" si="869"/>
        <v>0</v>
      </c>
    </row>
    <row r="1726" spans="1:44">
      <c r="A1726" s="2">
        <v>20260513</v>
      </c>
      <c r="B1726" s="2" t="s">
        <v>3494</v>
      </c>
      <c r="C1726" s="2" t="s">
        <v>3495</v>
      </c>
      <c r="D1726" s="2">
        <v>3</v>
      </c>
      <c r="E1726" s="2">
        <v>1</v>
      </c>
      <c r="F1726" s="2">
        <v>11</v>
      </c>
      <c r="G1726" s="2">
        <v>4</v>
      </c>
      <c r="H1726" s="2">
        <v>6</v>
      </c>
      <c r="I1726" s="3">
        <v>9</v>
      </c>
      <c r="J1726" s="2">
        <v>16</v>
      </c>
      <c r="K1726" s="2">
        <v>2</v>
      </c>
      <c r="L1726" s="2">
        <v>1</v>
      </c>
      <c r="M1726" s="2">
        <v>8</v>
      </c>
      <c r="N1726" s="2">
        <v>6</v>
      </c>
      <c r="O1726" s="2">
        <v>12</v>
      </c>
      <c r="P1726" s="3">
        <v>4</v>
      </c>
      <c r="Q1726" s="2">
        <v>9</v>
      </c>
      <c r="R1726" s="2">
        <v>22</v>
      </c>
      <c r="S1726" s="2">
        <v>2</v>
      </c>
      <c r="T1726" s="2">
        <v>12</v>
      </c>
      <c r="U1726" s="2">
        <v>0</v>
      </c>
      <c r="V1726" s="2">
        <f t="shared" si="871"/>
        <v>23</v>
      </c>
      <c r="W1726" s="2">
        <v>6</v>
      </c>
      <c r="X1726" s="2">
        <v>3</v>
      </c>
      <c r="Y1726" s="2">
        <v>0</v>
      </c>
      <c r="Z1726" s="2">
        <f t="shared" si="870"/>
        <v>9</v>
      </c>
      <c r="AA1726" s="2">
        <f t="shared" si="872"/>
        <v>62</v>
      </c>
      <c r="AB1726" s="2">
        <v>2234</v>
      </c>
      <c r="AC1726" s="20">
        <f t="shared" si="873"/>
        <v>2.77529095792301</v>
      </c>
      <c r="AD1726" s="2" t="s">
        <v>49</v>
      </c>
      <c r="AE1726" s="2">
        <v>188</v>
      </c>
      <c r="AF1726" s="21">
        <f t="shared" si="861"/>
        <v>2.77529095792301</v>
      </c>
      <c r="AG1726" s="4">
        <f t="shared" si="862"/>
        <v>1.02954341987466</v>
      </c>
      <c r="AH1726" s="4">
        <f t="shared" si="863"/>
        <v>0.402864816472695</v>
      </c>
      <c r="AO1726" s="2">
        <v>0</v>
      </c>
      <c r="AP1726" s="2">
        <f t="shared" si="867"/>
        <v>0</v>
      </c>
      <c r="AQ1726" s="2">
        <f t="shared" si="868"/>
        <v>0</v>
      </c>
      <c r="AR1726" s="5">
        <f t="shared" si="869"/>
        <v>0</v>
      </c>
    </row>
    <row r="1727" spans="1:44">
      <c r="A1727" s="2">
        <v>20260513</v>
      </c>
      <c r="B1727" s="2" t="s">
        <v>3496</v>
      </c>
      <c r="C1727" s="2" t="s">
        <v>3497</v>
      </c>
      <c r="D1727" s="2">
        <v>3</v>
      </c>
      <c r="E1727" s="2">
        <v>1</v>
      </c>
      <c r="F1727" s="2">
        <v>16</v>
      </c>
      <c r="G1727" s="2">
        <v>16</v>
      </c>
      <c r="H1727" s="2">
        <v>9</v>
      </c>
      <c r="I1727" s="3">
        <v>6</v>
      </c>
      <c r="J1727" s="2">
        <v>10</v>
      </c>
      <c r="K1727" s="2">
        <v>0</v>
      </c>
      <c r="L1727" s="2">
        <v>1</v>
      </c>
      <c r="M1727" s="2">
        <v>4</v>
      </c>
      <c r="N1727" s="2">
        <v>10</v>
      </c>
      <c r="O1727" s="2">
        <v>48</v>
      </c>
      <c r="P1727" s="3">
        <v>6</v>
      </c>
      <c r="Q1727" s="2">
        <v>17</v>
      </c>
      <c r="R1727" s="2">
        <v>24</v>
      </c>
      <c r="S1727" s="2">
        <v>0</v>
      </c>
      <c r="T1727" s="2">
        <v>16</v>
      </c>
      <c r="U1727" s="2">
        <v>0</v>
      </c>
      <c r="V1727" s="2">
        <f t="shared" si="871"/>
        <v>33</v>
      </c>
      <c r="W1727" s="2">
        <v>9</v>
      </c>
      <c r="X1727" s="2">
        <v>4</v>
      </c>
      <c r="Y1727" s="2">
        <v>0</v>
      </c>
      <c r="Z1727" s="2">
        <f t="shared" si="870"/>
        <v>13</v>
      </c>
      <c r="AA1727" s="2">
        <f t="shared" si="872"/>
        <v>68</v>
      </c>
      <c r="AB1727" s="2">
        <v>2364</v>
      </c>
      <c r="AC1727" s="20">
        <f t="shared" si="873"/>
        <v>2.87648054145516</v>
      </c>
      <c r="AD1727" s="2" t="s">
        <v>49</v>
      </c>
      <c r="AE1727" s="2">
        <v>188</v>
      </c>
      <c r="AF1727" s="21">
        <f t="shared" si="861"/>
        <v>2.87648054145516</v>
      </c>
      <c r="AG1727" s="4">
        <f t="shared" si="862"/>
        <v>1.39593908629442</v>
      </c>
      <c r="AH1727" s="4">
        <f t="shared" si="863"/>
        <v>0.549915397631134</v>
      </c>
      <c r="AO1727" s="2">
        <v>0</v>
      </c>
      <c r="AP1727" s="2">
        <f t="shared" si="867"/>
        <v>0</v>
      </c>
      <c r="AQ1727" s="2">
        <f t="shared" si="868"/>
        <v>0</v>
      </c>
      <c r="AR1727" s="5">
        <f t="shared" si="869"/>
        <v>0</v>
      </c>
    </row>
    <row r="1728" spans="1:44">
      <c r="A1728" s="2">
        <v>20260513</v>
      </c>
      <c r="B1728" s="2" t="s">
        <v>3498</v>
      </c>
      <c r="C1728" s="2" t="s">
        <v>3499</v>
      </c>
      <c r="D1728" s="2">
        <v>2</v>
      </c>
      <c r="E1728" s="2">
        <v>0</v>
      </c>
      <c r="F1728" s="2">
        <v>7</v>
      </c>
      <c r="G1728" s="2">
        <v>3</v>
      </c>
      <c r="H1728" s="2">
        <v>2</v>
      </c>
      <c r="I1728" s="3">
        <v>12</v>
      </c>
      <c r="J1728" s="2">
        <v>7</v>
      </c>
      <c r="K1728" s="2">
        <v>0</v>
      </c>
      <c r="L1728" s="2">
        <v>0</v>
      </c>
      <c r="M1728" s="2">
        <v>3</v>
      </c>
      <c r="N1728" s="2">
        <v>10</v>
      </c>
      <c r="O1728" s="2">
        <v>20</v>
      </c>
      <c r="P1728" s="3">
        <v>5</v>
      </c>
      <c r="Q1728" s="2">
        <v>6</v>
      </c>
      <c r="R1728" s="2">
        <v>16</v>
      </c>
      <c r="S1728" s="2">
        <v>1</v>
      </c>
      <c r="T1728" s="2">
        <v>3</v>
      </c>
      <c r="U1728" s="2">
        <v>0</v>
      </c>
      <c r="V1728" s="2">
        <f t="shared" ref="V1728:V1747" si="874">U1728+T1728+S1728+Q1728</f>
        <v>10</v>
      </c>
      <c r="W1728" s="2">
        <v>11</v>
      </c>
      <c r="X1728" s="2">
        <v>5</v>
      </c>
      <c r="Y1728" s="2">
        <v>0</v>
      </c>
      <c r="Z1728" s="2">
        <f t="shared" si="870"/>
        <v>16</v>
      </c>
      <c r="AA1728" s="2">
        <f t="shared" ref="AA1728:AA1747" si="875">G1728+H1728+I1728+J1728+K1728+L1728+M1728+P1728+T1728+U1728</f>
        <v>35</v>
      </c>
      <c r="AB1728" s="2">
        <v>2294</v>
      </c>
      <c r="AC1728" s="20">
        <f t="shared" ref="AC1728:AC1747" si="876">AA1728/AB1728*100</f>
        <v>1.52571926765475</v>
      </c>
      <c r="AD1728" s="2" t="s">
        <v>49</v>
      </c>
      <c r="AE1728" s="2">
        <v>188</v>
      </c>
      <c r="AF1728" s="21">
        <f t="shared" ref="AF1728:AF1747" si="877">188/AE1728*AC1728</f>
        <v>1.52571926765475</v>
      </c>
      <c r="AG1728" s="4">
        <f t="shared" ref="AG1728:AG1747" si="878">V1728/AB1728*100</f>
        <v>0.4359197907585</v>
      </c>
      <c r="AH1728" s="4">
        <f t="shared" ref="AH1728:AH1747" si="879">Z1728/AB1728*100</f>
        <v>0.697471665213601</v>
      </c>
      <c r="AO1728" s="2">
        <v>0</v>
      </c>
      <c r="AP1728" s="2">
        <f t="shared" si="867"/>
        <v>0</v>
      </c>
      <c r="AQ1728" s="2">
        <f t="shared" si="868"/>
        <v>0</v>
      </c>
      <c r="AR1728" s="5">
        <f t="shared" si="869"/>
        <v>0</v>
      </c>
    </row>
    <row r="1729" spans="1:44">
      <c r="A1729" s="2">
        <v>20260513</v>
      </c>
      <c r="B1729" s="2" t="s">
        <v>3500</v>
      </c>
      <c r="C1729" s="2" t="s">
        <v>3501</v>
      </c>
      <c r="D1729" s="2">
        <v>19</v>
      </c>
      <c r="E1729" s="2">
        <v>14</v>
      </c>
      <c r="F1729" s="2">
        <v>45</v>
      </c>
      <c r="G1729" s="2">
        <v>16</v>
      </c>
      <c r="H1729" s="2">
        <v>32</v>
      </c>
      <c r="I1729" s="3">
        <v>54</v>
      </c>
      <c r="J1729" s="2">
        <v>21</v>
      </c>
      <c r="K1729" s="2">
        <v>35</v>
      </c>
      <c r="L1729" s="2">
        <v>0</v>
      </c>
      <c r="M1729" s="2">
        <v>16</v>
      </c>
      <c r="N1729" s="2">
        <v>48</v>
      </c>
      <c r="O1729" s="2">
        <v>115</v>
      </c>
      <c r="P1729" s="3">
        <v>26</v>
      </c>
      <c r="Q1729" s="2">
        <v>39</v>
      </c>
      <c r="R1729" s="2">
        <v>43</v>
      </c>
      <c r="S1729" s="2">
        <v>2</v>
      </c>
      <c r="T1729" s="2">
        <v>16</v>
      </c>
      <c r="U1729" s="2">
        <v>1</v>
      </c>
      <c r="V1729" s="2">
        <f t="shared" si="874"/>
        <v>58</v>
      </c>
      <c r="W1729" s="2">
        <v>8</v>
      </c>
      <c r="X1729" s="2">
        <v>35</v>
      </c>
      <c r="Y1729" s="2">
        <v>0</v>
      </c>
      <c r="Z1729" s="2">
        <f t="shared" si="870"/>
        <v>44</v>
      </c>
      <c r="AA1729" s="2">
        <f t="shared" si="875"/>
        <v>217</v>
      </c>
      <c r="AB1729" s="2">
        <v>3203</v>
      </c>
      <c r="AC1729" s="20">
        <f t="shared" si="876"/>
        <v>6.77489853262566</v>
      </c>
      <c r="AD1729" s="2" t="s">
        <v>3232</v>
      </c>
      <c r="AE1729" s="2">
        <v>188</v>
      </c>
      <c r="AF1729" s="21">
        <f t="shared" si="877"/>
        <v>6.77489853262566</v>
      </c>
      <c r="AG1729" s="4">
        <f t="shared" si="878"/>
        <v>1.81080237277552</v>
      </c>
      <c r="AH1729" s="4">
        <f t="shared" si="879"/>
        <v>1.37371214486419</v>
      </c>
      <c r="AI1729" s="2">
        <v>6101</v>
      </c>
      <c r="AJ1729" s="2">
        <v>1096</v>
      </c>
      <c r="AK1729" s="2">
        <v>152</v>
      </c>
      <c r="AL1729" s="2">
        <v>339</v>
      </c>
      <c r="AM1729" s="2">
        <v>376</v>
      </c>
      <c r="AN1729" s="2">
        <v>8</v>
      </c>
      <c r="AO1729" s="2">
        <v>0</v>
      </c>
      <c r="AP1729" s="2">
        <f t="shared" si="867"/>
        <v>7544</v>
      </c>
      <c r="AQ1729" s="2">
        <f t="shared" si="868"/>
        <v>328.857890148213</v>
      </c>
      <c r="AR1729" s="5">
        <f t="shared" si="869"/>
        <v>618.25283347864</v>
      </c>
    </row>
    <row r="1730" spans="1:44">
      <c r="A1730" s="39">
        <v>20260513</v>
      </c>
      <c r="B1730" s="2" t="s">
        <v>3502</v>
      </c>
      <c r="C1730" s="2" t="s">
        <v>3503</v>
      </c>
      <c r="D1730" s="2">
        <v>2</v>
      </c>
      <c r="E1730" s="2">
        <v>1</v>
      </c>
      <c r="F1730" s="2">
        <v>3</v>
      </c>
      <c r="G1730" s="2">
        <v>4</v>
      </c>
      <c r="H1730" s="2">
        <v>27</v>
      </c>
      <c r="I1730" s="3">
        <v>29</v>
      </c>
      <c r="J1730" s="2">
        <v>9</v>
      </c>
      <c r="K1730" s="2">
        <v>1</v>
      </c>
      <c r="L1730" s="2">
        <v>59</v>
      </c>
      <c r="M1730" s="2">
        <v>16</v>
      </c>
      <c r="N1730" s="2">
        <v>15</v>
      </c>
      <c r="O1730" s="2">
        <v>40</v>
      </c>
      <c r="P1730" s="3">
        <v>9</v>
      </c>
      <c r="Q1730" s="2">
        <v>4</v>
      </c>
      <c r="R1730" s="2">
        <v>0</v>
      </c>
      <c r="S1730" s="2">
        <v>4</v>
      </c>
      <c r="T1730" s="2">
        <v>1</v>
      </c>
      <c r="U1730" s="2">
        <v>0</v>
      </c>
      <c r="V1730" s="2">
        <f t="shared" si="874"/>
        <v>9</v>
      </c>
      <c r="W1730" s="2">
        <v>2</v>
      </c>
      <c r="X1730" s="2">
        <v>19</v>
      </c>
      <c r="Y1730" s="2">
        <v>0</v>
      </c>
      <c r="Z1730" s="2">
        <f t="shared" si="870"/>
        <v>21</v>
      </c>
      <c r="AA1730" s="2">
        <f t="shared" si="875"/>
        <v>155</v>
      </c>
      <c r="AB1730" s="2">
        <v>2106</v>
      </c>
      <c r="AC1730" s="20">
        <f t="shared" si="876"/>
        <v>7.35992402659069</v>
      </c>
      <c r="AD1730" s="2" t="s">
        <v>257</v>
      </c>
      <c r="AE1730" s="2">
        <v>188</v>
      </c>
      <c r="AF1730" s="21">
        <f t="shared" si="877"/>
        <v>7.35992402659069</v>
      </c>
      <c r="AG1730" s="4">
        <f t="shared" si="878"/>
        <v>0.427350427350427</v>
      </c>
      <c r="AH1730" s="4">
        <f t="shared" si="879"/>
        <v>0.997150997150997</v>
      </c>
      <c r="AI1730" s="2">
        <v>4112</v>
      </c>
      <c r="AJ1730" s="2">
        <v>788</v>
      </c>
      <c r="AK1730" s="2">
        <v>970</v>
      </c>
      <c r="AL1730" s="2">
        <v>28</v>
      </c>
      <c r="AM1730" s="2">
        <v>30</v>
      </c>
      <c r="AN1730" s="2">
        <v>7</v>
      </c>
      <c r="AO1730" s="2">
        <v>0</v>
      </c>
      <c r="AP1730" s="2">
        <f t="shared" si="867"/>
        <v>4935</v>
      </c>
      <c r="AQ1730" s="2">
        <f t="shared" si="868"/>
        <v>154.074305338745</v>
      </c>
      <c r="AR1730" s="5">
        <f t="shared" si="869"/>
        <v>289.65969403684</v>
      </c>
    </row>
    <row r="1731" spans="1:44">
      <c r="A1731" s="2">
        <v>20260513</v>
      </c>
      <c r="B1731" s="2" t="s">
        <v>3504</v>
      </c>
      <c r="C1731" s="2" t="s">
        <v>3505</v>
      </c>
      <c r="D1731" s="2">
        <v>5</v>
      </c>
      <c r="E1731" s="2">
        <v>14</v>
      </c>
      <c r="F1731" s="2">
        <v>7</v>
      </c>
      <c r="G1731" s="2">
        <v>10</v>
      </c>
      <c r="H1731" s="2">
        <v>23</v>
      </c>
      <c r="I1731" s="3">
        <v>68</v>
      </c>
      <c r="J1731" s="2">
        <v>17</v>
      </c>
      <c r="K1731" s="2">
        <v>1</v>
      </c>
      <c r="L1731" s="2">
        <v>4</v>
      </c>
      <c r="M1731" s="2">
        <v>37</v>
      </c>
      <c r="N1731" s="2">
        <v>13</v>
      </c>
      <c r="O1731" s="2">
        <v>5</v>
      </c>
      <c r="P1731" s="3">
        <v>42</v>
      </c>
      <c r="Q1731" s="2">
        <v>3</v>
      </c>
      <c r="R1731" s="2">
        <v>14</v>
      </c>
      <c r="S1731" s="2">
        <v>0</v>
      </c>
      <c r="T1731" s="2">
        <v>6</v>
      </c>
      <c r="U1731" s="2">
        <v>1</v>
      </c>
      <c r="V1731" s="2">
        <f t="shared" si="874"/>
        <v>10</v>
      </c>
      <c r="W1731" s="2">
        <v>5</v>
      </c>
      <c r="X1731" s="2">
        <v>11</v>
      </c>
      <c r="Y1731" s="2">
        <v>0</v>
      </c>
      <c r="Z1731" s="2">
        <f t="shared" ref="Z1728:Z1747" si="880">Y1731+X1731+W1731+U1731</f>
        <v>17</v>
      </c>
      <c r="AA1731" s="2">
        <f t="shared" si="875"/>
        <v>209</v>
      </c>
      <c r="AB1731" s="2">
        <v>2107</v>
      </c>
      <c r="AC1731" s="20">
        <f t="shared" si="876"/>
        <v>9.91931656383484</v>
      </c>
      <c r="AD1731" s="2" t="s">
        <v>257</v>
      </c>
      <c r="AE1731" s="2">
        <v>188</v>
      </c>
      <c r="AF1731" s="21">
        <f t="shared" si="877"/>
        <v>9.91931656383484</v>
      </c>
      <c r="AG1731" s="4">
        <f t="shared" si="878"/>
        <v>0.474608448030375</v>
      </c>
      <c r="AH1731" s="4">
        <f t="shared" si="879"/>
        <v>0.806834361651637</v>
      </c>
      <c r="AI1731" s="2">
        <v>4112</v>
      </c>
      <c r="AJ1731" s="2">
        <v>788</v>
      </c>
      <c r="AK1731" s="2">
        <v>970</v>
      </c>
      <c r="AL1731" s="2">
        <v>28</v>
      </c>
      <c r="AM1731" s="2">
        <v>30</v>
      </c>
      <c r="AN1731" s="2">
        <v>7</v>
      </c>
      <c r="AO1731" s="2">
        <v>0</v>
      </c>
      <c r="AP1731" s="2">
        <f t="shared" si="867"/>
        <v>4935</v>
      </c>
      <c r="AQ1731" s="2">
        <f t="shared" si="868"/>
        <v>234.330484330484</v>
      </c>
      <c r="AR1731" s="5">
        <f t="shared" si="869"/>
        <v>440.541310541311</v>
      </c>
    </row>
    <row r="1732" spans="1:44">
      <c r="A1732" s="2">
        <v>20260513</v>
      </c>
      <c r="B1732" s="2" t="s">
        <v>1686</v>
      </c>
      <c r="C1732" s="2" t="s">
        <v>3506</v>
      </c>
      <c r="D1732" s="2">
        <v>0</v>
      </c>
      <c r="E1732" s="2">
        <v>0</v>
      </c>
      <c r="F1732" s="2">
        <v>9</v>
      </c>
      <c r="G1732" s="2">
        <v>4</v>
      </c>
      <c r="H1732" s="2">
        <v>12</v>
      </c>
      <c r="I1732" s="3">
        <v>13</v>
      </c>
      <c r="J1732" s="2">
        <v>5</v>
      </c>
      <c r="K1732" s="2">
        <v>2</v>
      </c>
      <c r="L1732" s="2">
        <v>0</v>
      </c>
      <c r="M1732" s="2">
        <v>24</v>
      </c>
      <c r="N1732" s="2">
        <v>11</v>
      </c>
      <c r="O1732" s="2">
        <v>11</v>
      </c>
      <c r="P1732" s="3">
        <v>44</v>
      </c>
      <c r="Q1732" s="2">
        <v>7</v>
      </c>
      <c r="R1732" s="2">
        <v>9</v>
      </c>
      <c r="S1732" s="2">
        <v>0</v>
      </c>
      <c r="T1732" s="2">
        <v>3</v>
      </c>
      <c r="U1732" s="2">
        <v>0</v>
      </c>
      <c r="V1732" s="2">
        <f t="shared" si="874"/>
        <v>10</v>
      </c>
      <c r="W1732" s="2">
        <v>0</v>
      </c>
      <c r="X1732" s="2">
        <v>6</v>
      </c>
      <c r="Y1732" s="2">
        <v>0</v>
      </c>
      <c r="Z1732" s="2">
        <f t="shared" si="880"/>
        <v>6</v>
      </c>
      <c r="AA1732" s="2">
        <f t="shared" si="875"/>
        <v>107</v>
      </c>
      <c r="AB1732" s="2">
        <v>2107</v>
      </c>
      <c r="AC1732" s="20">
        <f t="shared" si="876"/>
        <v>5.07831039392501</v>
      </c>
      <c r="AD1732" s="2" t="s">
        <v>257</v>
      </c>
      <c r="AE1732" s="2">
        <v>188</v>
      </c>
      <c r="AF1732" s="21">
        <f t="shared" si="877"/>
        <v>5.07831039392501</v>
      </c>
      <c r="AG1732" s="4">
        <f t="shared" si="878"/>
        <v>0.474608448030375</v>
      </c>
      <c r="AH1732" s="4">
        <f t="shared" si="879"/>
        <v>0.284765068818225</v>
      </c>
      <c r="AI1732" s="2">
        <v>2004</v>
      </c>
      <c r="AJ1732" s="2">
        <v>365</v>
      </c>
      <c r="AK1732" s="2">
        <v>1181</v>
      </c>
      <c r="AL1732" s="2">
        <v>15</v>
      </c>
      <c r="AM1732" s="2">
        <v>22</v>
      </c>
      <c r="AN1732" s="2">
        <v>6</v>
      </c>
      <c r="AO1732" s="2">
        <v>0</v>
      </c>
      <c r="AP1732" s="2">
        <f t="shared" si="867"/>
        <v>2390</v>
      </c>
      <c r="AQ1732" s="2">
        <f t="shared" si="868"/>
        <v>113.43141907926</v>
      </c>
      <c r="AR1732" s="5">
        <f t="shared" si="869"/>
        <v>213.251067869008</v>
      </c>
    </row>
    <row r="1733" spans="1:44">
      <c r="A1733" s="2">
        <v>20260513</v>
      </c>
      <c r="B1733" s="2" t="s">
        <v>3507</v>
      </c>
      <c r="C1733" s="2" t="s">
        <v>3508</v>
      </c>
      <c r="D1733" s="2">
        <v>2</v>
      </c>
      <c r="E1733" s="2">
        <v>1</v>
      </c>
      <c r="F1733" s="2">
        <v>4</v>
      </c>
      <c r="G1733" s="2">
        <v>6</v>
      </c>
      <c r="H1733" s="2">
        <v>11</v>
      </c>
      <c r="I1733" s="3">
        <v>14</v>
      </c>
      <c r="J1733" s="2">
        <v>39</v>
      </c>
      <c r="K1733" s="2">
        <v>3</v>
      </c>
      <c r="L1733" s="2">
        <v>0</v>
      </c>
      <c r="M1733" s="2">
        <v>34</v>
      </c>
      <c r="N1733" s="2">
        <v>39</v>
      </c>
      <c r="O1733" s="2">
        <v>13</v>
      </c>
      <c r="P1733" s="3">
        <v>26</v>
      </c>
      <c r="Q1733" s="2">
        <v>2</v>
      </c>
      <c r="R1733" s="2">
        <v>8</v>
      </c>
      <c r="S1733" s="2">
        <v>1</v>
      </c>
      <c r="T1733" s="2">
        <v>4</v>
      </c>
      <c r="U1733" s="2">
        <v>0</v>
      </c>
      <c r="V1733" s="2">
        <f t="shared" si="874"/>
        <v>7</v>
      </c>
      <c r="W1733" s="2">
        <v>0</v>
      </c>
      <c r="X1733" s="2">
        <v>6</v>
      </c>
      <c r="Y1733" s="2">
        <v>0</v>
      </c>
      <c r="Z1733" s="2">
        <f t="shared" si="880"/>
        <v>6</v>
      </c>
      <c r="AA1733" s="2">
        <f t="shared" si="875"/>
        <v>137</v>
      </c>
      <c r="AB1733" s="2">
        <v>2157</v>
      </c>
      <c r="AC1733" s="20">
        <f t="shared" si="876"/>
        <v>6.35141400092721</v>
      </c>
      <c r="AD1733" s="2" t="s">
        <v>257</v>
      </c>
      <c r="AE1733" s="2">
        <v>188</v>
      </c>
      <c r="AF1733" s="21">
        <f t="shared" si="877"/>
        <v>6.35141400092721</v>
      </c>
      <c r="AG1733" s="4">
        <f t="shared" si="878"/>
        <v>0.324524802967084</v>
      </c>
      <c r="AH1733" s="4">
        <f t="shared" si="879"/>
        <v>0.278164116828929</v>
      </c>
      <c r="AI1733" s="2">
        <v>1939</v>
      </c>
      <c r="AJ1733" s="2">
        <v>318</v>
      </c>
      <c r="AK1733" s="2">
        <v>1174</v>
      </c>
      <c r="AL1733" s="2">
        <v>21</v>
      </c>
      <c r="AM1733" s="2">
        <v>26</v>
      </c>
      <c r="AN1733" s="2">
        <v>14</v>
      </c>
      <c r="AO1733" s="2">
        <v>0</v>
      </c>
      <c r="AP1733" s="2">
        <f t="shared" si="867"/>
        <v>2292</v>
      </c>
      <c r="AQ1733" s="2">
        <f t="shared" si="868"/>
        <v>108.780256288562</v>
      </c>
      <c r="AR1733" s="5">
        <f t="shared" si="869"/>
        <v>204.506881822496</v>
      </c>
    </row>
    <row r="1734" spans="1:44">
      <c r="A1734" s="2">
        <v>20260513</v>
      </c>
      <c r="C1734" s="2" t="s">
        <v>3509</v>
      </c>
      <c r="V1734" s="2">
        <f t="shared" si="874"/>
        <v>0</v>
      </c>
      <c r="Z1734" s="2">
        <f t="shared" si="880"/>
        <v>0</v>
      </c>
      <c r="AA1734" s="2">
        <f t="shared" si="875"/>
        <v>0</v>
      </c>
      <c r="AC1734" s="20" t="e">
        <f t="shared" si="876"/>
        <v>#DIV/0!</v>
      </c>
      <c r="AD1734" s="2" t="s">
        <v>257</v>
      </c>
      <c r="AE1734" s="2">
        <v>188</v>
      </c>
      <c r="AF1734" s="21" t="e">
        <f t="shared" si="877"/>
        <v>#DIV/0!</v>
      </c>
      <c r="AG1734" s="4" t="e">
        <f t="shared" si="878"/>
        <v>#DIV/0!</v>
      </c>
      <c r="AH1734" s="4" t="e">
        <f t="shared" si="879"/>
        <v>#DIV/0!</v>
      </c>
      <c r="AP1734" s="2">
        <f t="shared" si="867"/>
        <v>0</v>
      </c>
      <c r="AQ1734" s="2">
        <f t="shared" si="868"/>
        <v>0</v>
      </c>
      <c r="AR1734" s="5">
        <f t="shared" si="869"/>
        <v>0</v>
      </c>
    </row>
    <row r="1735" spans="1:44">
      <c r="A1735" s="2">
        <v>20260513</v>
      </c>
      <c r="B1735" s="8"/>
      <c r="C1735" s="2" t="s">
        <v>3510</v>
      </c>
      <c r="V1735" s="2">
        <f t="shared" si="874"/>
        <v>0</v>
      </c>
      <c r="Z1735" s="2">
        <f t="shared" si="880"/>
        <v>0</v>
      </c>
      <c r="AA1735" s="2">
        <f t="shared" si="875"/>
        <v>0</v>
      </c>
      <c r="AC1735" s="20" t="e">
        <f t="shared" si="876"/>
        <v>#DIV/0!</v>
      </c>
      <c r="AD1735" s="2" t="s">
        <v>257</v>
      </c>
      <c r="AE1735" s="2">
        <v>188</v>
      </c>
      <c r="AF1735" s="21" t="e">
        <f t="shared" si="877"/>
        <v>#DIV/0!</v>
      </c>
      <c r="AG1735" s="4" t="e">
        <f t="shared" si="878"/>
        <v>#DIV/0!</v>
      </c>
      <c r="AH1735" s="4" t="e">
        <f t="shared" si="879"/>
        <v>#DIV/0!</v>
      </c>
      <c r="AP1735" s="2">
        <f t="shared" si="867"/>
        <v>0</v>
      </c>
      <c r="AQ1735" s="2" t="e">
        <f t="shared" si="868"/>
        <v>#DIV/0!</v>
      </c>
      <c r="AR1735" s="5" t="e">
        <f t="shared" si="869"/>
        <v>#DIV/0!</v>
      </c>
    </row>
    <row r="1736" spans="1:44">
      <c r="A1736" s="2">
        <v>20260513</v>
      </c>
      <c r="B1736" s="8"/>
      <c r="C1736" s="2" t="s">
        <v>3511</v>
      </c>
      <c r="V1736" s="2">
        <f t="shared" si="874"/>
        <v>0</v>
      </c>
      <c r="Z1736" s="2">
        <f t="shared" si="880"/>
        <v>0</v>
      </c>
      <c r="AA1736" s="2">
        <f t="shared" si="875"/>
        <v>0</v>
      </c>
      <c r="AC1736" s="20" t="e">
        <f t="shared" si="876"/>
        <v>#DIV/0!</v>
      </c>
      <c r="AD1736" s="2" t="s">
        <v>257</v>
      </c>
      <c r="AE1736" s="2">
        <v>188</v>
      </c>
      <c r="AF1736" s="21" t="e">
        <f t="shared" si="877"/>
        <v>#DIV/0!</v>
      </c>
      <c r="AG1736" s="4" t="e">
        <f t="shared" si="878"/>
        <v>#DIV/0!</v>
      </c>
      <c r="AH1736" s="4" t="e">
        <f t="shared" si="879"/>
        <v>#DIV/0!</v>
      </c>
      <c r="AP1736" s="2">
        <f t="shared" si="867"/>
        <v>0</v>
      </c>
      <c r="AQ1736" s="2" t="e">
        <f t="shared" si="868"/>
        <v>#DIV/0!</v>
      </c>
      <c r="AR1736" s="5" t="e">
        <f t="shared" si="869"/>
        <v>#DIV/0!</v>
      </c>
    </row>
    <row r="1737" spans="1:44">
      <c r="A1737" s="2">
        <v>20260513</v>
      </c>
      <c r="B1737" s="8"/>
      <c r="C1737" s="2" t="s">
        <v>3512</v>
      </c>
      <c r="V1737" s="2">
        <f t="shared" si="874"/>
        <v>0</v>
      </c>
      <c r="Z1737" s="2">
        <f t="shared" si="880"/>
        <v>0</v>
      </c>
      <c r="AA1737" s="2">
        <f t="shared" si="875"/>
        <v>0</v>
      </c>
      <c r="AC1737" s="20" t="e">
        <f t="shared" si="876"/>
        <v>#DIV/0!</v>
      </c>
      <c r="AF1737" s="21" t="e">
        <f t="shared" si="877"/>
        <v>#DIV/0!</v>
      </c>
      <c r="AG1737" s="4" t="e">
        <f t="shared" si="878"/>
        <v>#DIV/0!</v>
      </c>
      <c r="AH1737" s="4" t="e">
        <f t="shared" si="879"/>
        <v>#DIV/0!</v>
      </c>
      <c r="AP1737" s="2">
        <f t="shared" si="867"/>
        <v>0</v>
      </c>
      <c r="AQ1737" s="2" t="e">
        <f t="shared" si="868"/>
        <v>#DIV/0!</v>
      </c>
      <c r="AR1737" s="5" t="e">
        <f t="shared" si="869"/>
        <v>#DIV/0!</v>
      </c>
    </row>
    <row r="1738" ht="18" customHeight="1" spans="1:44">
      <c r="A1738" s="2">
        <v>20260513</v>
      </c>
      <c r="B1738" s="22"/>
      <c r="C1738" s="2" t="s">
        <v>3513</v>
      </c>
      <c r="V1738" s="2">
        <f t="shared" si="874"/>
        <v>0</v>
      </c>
      <c r="Z1738" s="2">
        <f t="shared" si="880"/>
        <v>0</v>
      </c>
      <c r="AA1738" s="2">
        <f t="shared" si="875"/>
        <v>0</v>
      </c>
      <c r="AC1738" s="20" t="e">
        <f t="shared" si="876"/>
        <v>#DIV/0!</v>
      </c>
      <c r="AF1738" s="21" t="e">
        <f t="shared" si="877"/>
        <v>#DIV/0!</v>
      </c>
      <c r="AG1738" s="4" t="e">
        <f t="shared" si="878"/>
        <v>#DIV/0!</v>
      </c>
      <c r="AH1738" s="4" t="e">
        <f t="shared" si="879"/>
        <v>#DIV/0!</v>
      </c>
      <c r="AP1738" s="2">
        <f t="shared" si="867"/>
        <v>0</v>
      </c>
      <c r="AQ1738" s="2" t="e">
        <f t="shared" si="868"/>
        <v>#DIV/0!</v>
      </c>
      <c r="AR1738" s="5" t="e">
        <f t="shared" si="869"/>
        <v>#DIV/0!</v>
      </c>
    </row>
    <row r="1739" ht="18" customHeight="1" spans="1:44">
      <c r="A1739" s="2">
        <v>20260513</v>
      </c>
      <c r="V1739" s="2">
        <f t="shared" si="874"/>
        <v>0</v>
      </c>
      <c r="Z1739" s="2">
        <f t="shared" si="880"/>
        <v>0</v>
      </c>
      <c r="AA1739" s="2">
        <f t="shared" si="875"/>
        <v>0</v>
      </c>
      <c r="AC1739" s="20" t="e">
        <f t="shared" si="876"/>
        <v>#DIV/0!</v>
      </c>
      <c r="AF1739" s="21" t="e">
        <f t="shared" si="877"/>
        <v>#DIV/0!</v>
      </c>
      <c r="AG1739" s="4" t="e">
        <f t="shared" si="878"/>
        <v>#DIV/0!</v>
      </c>
      <c r="AH1739" s="4" t="e">
        <f t="shared" si="879"/>
        <v>#DIV/0!</v>
      </c>
      <c r="AP1739" s="2">
        <f t="shared" si="867"/>
        <v>0</v>
      </c>
      <c r="AQ1739" s="2" t="e">
        <f t="shared" si="868"/>
        <v>#DIV/0!</v>
      </c>
      <c r="AR1739" s="5" t="e">
        <f t="shared" si="869"/>
        <v>#DIV/0!</v>
      </c>
    </row>
    <row r="1740" ht="18" customHeight="1" spans="22:44">
      <c r="V1740" s="2">
        <f t="shared" si="874"/>
        <v>0</v>
      </c>
      <c r="Z1740" s="2">
        <f t="shared" si="880"/>
        <v>0</v>
      </c>
      <c r="AA1740" s="2">
        <f t="shared" si="875"/>
        <v>0</v>
      </c>
      <c r="AC1740" s="20" t="e">
        <f t="shared" si="876"/>
        <v>#DIV/0!</v>
      </c>
      <c r="AF1740" s="21" t="e">
        <f t="shared" si="877"/>
        <v>#DIV/0!</v>
      </c>
      <c r="AG1740" s="4" t="e">
        <f t="shared" si="878"/>
        <v>#DIV/0!</v>
      </c>
      <c r="AH1740" s="4" t="e">
        <f t="shared" si="879"/>
        <v>#DIV/0!</v>
      </c>
      <c r="AP1740" s="2">
        <f t="shared" si="867"/>
        <v>0</v>
      </c>
      <c r="AQ1740" s="2" t="e">
        <f t="shared" si="868"/>
        <v>#DIV/0!</v>
      </c>
      <c r="AR1740" s="5" t="e">
        <f t="shared" si="869"/>
        <v>#DIV/0!</v>
      </c>
    </row>
    <row r="1741" ht="18" customHeight="1" spans="22:44">
      <c r="V1741" s="2">
        <f t="shared" si="874"/>
        <v>0</v>
      </c>
      <c r="Z1741" s="2">
        <f t="shared" si="880"/>
        <v>0</v>
      </c>
      <c r="AA1741" s="2">
        <f t="shared" si="875"/>
        <v>0</v>
      </c>
      <c r="AC1741" s="20" t="e">
        <f t="shared" si="876"/>
        <v>#DIV/0!</v>
      </c>
      <c r="AF1741" s="21" t="e">
        <f t="shared" si="877"/>
        <v>#DIV/0!</v>
      </c>
      <c r="AG1741" s="4" t="e">
        <f t="shared" si="878"/>
        <v>#DIV/0!</v>
      </c>
      <c r="AH1741" s="4" t="e">
        <f t="shared" si="879"/>
        <v>#DIV/0!</v>
      </c>
      <c r="AP1741" s="2">
        <f t="shared" si="867"/>
        <v>0</v>
      </c>
      <c r="AQ1741" s="2" t="e">
        <f t="shared" si="868"/>
        <v>#DIV/0!</v>
      </c>
      <c r="AR1741" s="5" t="e">
        <f t="shared" si="869"/>
        <v>#DIV/0!</v>
      </c>
    </row>
    <row r="1742" ht="18" customHeight="1" spans="22:44">
      <c r="V1742" s="2">
        <f t="shared" si="874"/>
        <v>0</v>
      </c>
      <c r="Z1742" s="2">
        <f t="shared" si="880"/>
        <v>0</v>
      </c>
      <c r="AA1742" s="2">
        <f t="shared" si="875"/>
        <v>0</v>
      </c>
      <c r="AC1742" s="20" t="e">
        <f t="shared" si="876"/>
        <v>#DIV/0!</v>
      </c>
      <c r="AF1742" s="21" t="e">
        <f t="shared" si="877"/>
        <v>#DIV/0!</v>
      </c>
      <c r="AG1742" s="4" t="e">
        <f t="shared" si="878"/>
        <v>#DIV/0!</v>
      </c>
      <c r="AH1742" s="4" t="e">
        <f t="shared" si="879"/>
        <v>#DIV/0!</v>
      </c>
      <c r="AP1742" s="2">
        <f t="shared" si="867"/>
        <v>0</v>
      </c>
      <c r="AQ1742" s="2" t="e">
        <f t="shared" si="868"/>
        <v>#DIV/0!</v>
      </c>
      <c r="AR1742" s="5" t="e">
        <f t="shared" si="869"/>
        <v>#DIV/0!</v>
      </c>
    </row>
    <row r="1743" ht="18" customHeight="1" spans="22:44">
      <c r="V1743" s="2">
        <f t="shared" si="874"/>
        <v>0</v>
      </c>
      <c r="Z1743" s="2">
        <f t="shared" si="880"/>
        <v>0</v>
      </c>
      <c r="AA1743" s="2">
        <f t="shared" si="875"/>
        <v>0</v>
      </c>
      <c r="AC1743" s="20" t="e">
        <f t="shared" si="876"/>
        <v>#DIV/0!</v>
      </c>
      <c r="AF1743" s="21" t="e">
        <f t="shared" si="877"/>
        <v>#DIV/0!</v>
      </c>
      <c r="AG1743" s="4" t="e">
        <f t="shared" si="878"/>
        <v>#DIV/0!</v>
      </c>
      <c r="AH1743" s="4" t="e">
        <f t="shared" si="879"/>
        <v>#DIV/0!</v>
      </c>
      <c r="AP1743" s="2">
        <f t="shared" si="867"/>
        <v>0</v>
      </c>
      <c r="AQ1743" s="2" t="e">
        <f t="shared" si="868"/>
        <v>#DIV/0!</v>
      </c>
      <c r="AR1743" s="5" t="e">
        <f t="shared" si="869"/>
        <v>#DIV/0!</v>
      </c>
    </row>
    <row r="1744" spans="22:44">
      <c r="V1744" s="2">
        <f t="shared" si="874"/>
        <v>0</v>
      </c>
      <c r="Z1744" s="2">
        <f t="shared" si="880"/>
        <v>0</v>
      </c>
      <c r="AA1744" s="2">
        <f t="shared" si="875"/>
        <v>0</v>
      </c>
      <c r="AC1744" s="20" t="e">
        <f t="shared" si="876"/>
        <v>#DIV/0!</v>
      </c>
      <c r="AF1744" s="21" t="e">
        <f t="shared" si="877"/>
        <v>#DIV/0!</v>
      </c>
      <c r="AG1744" s="4" t="e">
        <f t="shared" si="878"/>
        <v>#DIV/0!</v>
      </c>
      <c r="AH1744" s="4" t="e">
        <f t="shared" si="879"/>
        <v>#DIV/0!</v>
      </c>
      <c r="AP1744" s="2">
        <f t="shared" si="867"/>
        <v>0</v>
      </c>
      <c r="AQ1744" s="2" t="e">
        <f t="shared" si="868"/>
        <v>#DIV/0!</v>
      </c>
      <c r="AR1744" s="5" t="e">
        <f t="shared" si="869"/>
        <v>#DIV/0!</v>
      </c>
    </row>
    <row r="1745" spans="22:44">
      <c r="V1745" s="2">
        <f t="shared" si="874"/>
        <v>0</v>
      </c>
      <c r="Z1745" s="2">
        <f t="shared" si="880"/>
        <v>0</v>
      </c>
      <c r="AA1745" s="2">
        <f t="shared" si="875"/>
        <v>0</v>
      </c>
      <c r="AC1745" s="20" t="e">
        <f t="shared" si="876"/>
        <v>#DIV/0!</v>
      </c>
      <c r="AF1745" s="21" t="e">
        <f t="shared" si="877"/>
        <v>#DIV/0!</v>
      </c>
      <c r="AG1745" s="4" t="e">
        <f t="shared" si="878"/>
        <v>#DIV/0!</v>
      </c>
      <c r="AH1745" s="4" t="e">
        <f t="shared" si="879"/>
        <v>#DIV/0!</v>
      </c>
      <c r="AP1745" s="2">
        <f t="shared" si="867"/>
        <v>0</v>
      </c>
      <c r="AQ1745" s="2" t="e">
        <f t="shared" si="868"/>
        <v>#DIV/0!</v>
      </c>
      <c r="AR1745" s="5" t="e">
        <f t="shared" si="869"/>
        <v>#DIV/0!</v>
      </c>
    </row>
    <row r="1746" spans="22:44">
      <c r="V1746" s="2">
        <f t="shared" si="874"/>
        <v>0</v>
      </c>
      <c r="Z1746" s="2">
        <f t="shared" si="880"/>
        <v>0</v>
      </c>
      <c r="AA1746" s="2">
        <f t="shared" si="875"/>
        <v>0</v>
      </c>
      <c r="AC1746" s="20" t="e">
        <f t="shared" si="876"/>
        <v>#DIV/0!</v>
      </c>
      <c r="AF1746" s="21" t="e">
        <f t="shared" si="877"/>
        <v>#DIV/0!</v>
      </c>
      <c r="AG1746" s="4" t="e">
        <f t="shared" si="878"/>
        <v>#DIV/0!</v>
      </c>
      <c r="AH1746" s="4" t="e">
        <f t="shared" si="879"/>
        <v>#DIV/0!</v>
      </c>
      <c r="AP1746" s="2">
        <f t="shared" si="867"/>
        <v>0</v>
      </c>
      <c r="AQ1746" s="2" t="e">
        <f t="shared" si="868"/>
        <v>#DIV/0!</v>
      </c>
      <c r="AR1746" s="5" t="e">
        <f t="shared" si="869"/>
        <v>#DIV/0!</v>
      </c>
    </row>
    <row r="1747" spans="22:44">
      <c r="V1747" s="2">
        <f t="shared" si="874"/>
        <v>0</v>
      </c>
      <c r="Z1747" s="2">
        <f t="shared" si="880"/>
        <v>0</v>
      </c>
      <c r="AA1747" s="2">
        <f t="shared" si="875"/>
        <v>0</v>
      </c>
      <c r="AC1747" s="20" t="e">
        <f t="shared" si="876"/>
        <v>#DIV/0!</v>
      </c>
      <c r="AF1747" s="21" t="e">
        <f t="shared" si="877"/>
        <v>#DIV/0!</v>
      </c>
      <c r="AG1747" s="4" t="e">
        <f t="shared" si="878"/>
        <v>#DIV/0!</v>
      </c>
      <c r="AH1747" s="4" t="e">
        <f t="shared" si="879"/>
        <v>#DIV/0!</v>
      </c>
      <c r="AP1747" s="2">
        <f t="shared" si="867"/>
        <v>0</v>
      </c>
      <c r="AQ1747" s="2" t="e">
        <f t="shared" si="868"/>
        <v>#DIV/0!</v>
      </c>
      <c r="AR1747" s="5" t="e">
        <f t="shared" si="869"/>
        <v>#DIV/0!</v>
      </c>
    </row>
    <row r="1748" spans="29:32">
      <c r="AC1748" s="20"/>
      <c r="AF1748" s="21"/>
    </row>
    <row r="1749" spans="29:32">
      <c r="AC1749" s="20"/>
      <c r="AF1749" s="21"/>
    </row>
    <row r="1750" spans="29:32">
      <c r="AC1750" s="20"/>
      <c r="AF1750" s="21"/>
    </row>
    <row r="1751" spans="29:32">
      <c r="AC1751" s="20"/>
      <c r="AF1751" s="21"/>
    </row>
    <row r="1752" spans="29:32">
      <c r="AC1752" s="20"/>
      <c r="AF1752" s="21"/>
    </row>
    <row r="1753" spans="29:32">
      <c r="AC1753" s="20"/>
      <c r="AF1753" s="21"/>
    </row>
    <row r="1754" spans="3:32">
      <c r="C1754" s="30"/>
      <c r="AC1754" s="20"/>
      <c r="AF1754" s="21"/>
    </row>
    <row r="1755" ht="30" customHeight="1" spans="29:32">
      <c r="AC1755" s="20"/>
      <c r="AF1755" s="21"/>
    </row>
    <row r="1756" ht="30" customHeight="1" spans="29:32">
      <c r="AC1756" s="20"/>
      <c r="AF1756" s="21"/>
    </row>
    <row r="1757" ht="30" customHeight="1" spans="29:32">
      <c r="AC1757" s="20"/>
      <c r="AF1757" s="21"/>
    </row>
    <row r="1758" ht="30" customHeight="1" spans="29:32">
      <c r="AC1758" s="20"/>
      <c r="AF1758" s="21"/>
    </row>
    <row r="1759" ht="30" customHeight="1" spans="2:32">
      <c r="B1759" s="8"/>
      <c r="AC1759" s="20"/>
      <c r="AF1759" s="21"/>
    </row>
    <row r="1760" ht="30" customHeight="1" spans="2:32">
      <c r="B1760" s="8"/>
      <c r="AC1760" s="20"/>
      <c r="AF1760" s="21"/>
    </row>
    <row r="1761" spans="2:32">
      <c r="B1761" s="8"/>
      <c r="AC1761" s="20"/>
      <c r="AF1761" s="21"/>
    </row>
    <row r="1762" spans="2:32">
      <c r="B1762" s="8"/>
      <c r="AC1762" s="20"/>
      <c r="AF1762" s="21"/>
    </row>
    <row r="1763" spans="2:32">
      <c r="B1763" s="8"/>
      <c r="AC1763" s="20"/>
      <c r="AF1763" s="21"/>
    </row>
    <row r="1764" spans="2:32">
      <c r="B1764" s="8"/>
      <c r="AC1764" s="20"/>
      <c r="AF1764" s="21"/>
    </row>
    <row r="1765" spans="29:32">
      <c r="AC1765" s="20"/>
      <c r="AF1765" s="21"/>
    </row>
    <row r="1766" spans="29:32">
      <c r="AC1766" s="20"/>
      <c r="AF1766" s="21"/>
    </row>
    <row r="1767" spans="29:32">
      <c r="AC1767" s="20"/>
      <c r="AF1767" s="21"/>
    </row>
    <row r="1768" spans="29:32">
      <c r="AC1768" s="20"/>
      <c r="AF1768" s="21"/>
    </row>
    <row r="1769" spans="29:32">
      <c r="AC1769" s="20"/>
      <c r="AF1769" s="21"/>
    </row>
    <row r="1770" spans="29:32">
      <c r="AC1770" s="20"/>
      <c r="AF1770" s="21"/>
    </row>
    <row r="1771" ht="23" customHeight="1" spans="29:32">
      <c r="AC1771" s="20"/>
      <c r="AF1771" s="21"/>
    </row>
    <row r="1772" ht="18" customHeight="1" spans="16:32">
      <c r="P1772" s="2"/>
      <c r="Q1772" s="3"/>
      <c r="AC1772" s="20"/>
      <c r="AF1772" s="21"/>
    </row>
    <row r="1773" ht="18" customHeight="1" spans="29:32">
      <c r="AC1773" s="20"/>
      <c r="AF1773" s="21"/>
    </row>
    <row r="1774" ht="18" customHeight="1" spans="29:32">
      <c r="AC1774" s="20"/>
      <c r="AF1774" s="21"/>
    </row>
    <row r="1775" ht="18" customHeight="1" spans="29:32">
      <c r="AC1775" s="20"/>
      <c r="AF1775" s="21"/>
    </row>
    <row r="1776" ht="18" customHeight="1" spans="2:32">
      <c r="B1776" s="8"/>
      <c r="AC1776" s="20"/>
      <c r="AF1776" s="21"/>
    </row>
    <row r="1777" ht="18" customHeight="1" spans="2:32">
      <c r="B1777" s="40"/>
      <c r="AC1777" s="20"/>
      <c r="AF1777" s="21"/>
    </row>
    <row r="1778" spans="2:32">
      <c r="B1778" s="8"/>
      <c r="AC1778" s="20"/>
      <c r="AF1778" s="21"/>
    </row>
    <row r="1779" spans="2:32">
      <c r="B1779" s="8"/>
      <c r="AC1779" s="20"/>
      <c r="AF1779" s="21"/>
    </row>
    <row r="1780" spans="2:32">
      <c r="B1780" s="8"/>
      <c r="AC1780" s="20"/>
      <c r="AF1780" s="21"/>
    </row>
    <row r="1781" spans="29:32">
      <c r="AC1781" s="20"/>
      <c r="AF1781" s="21"/>
    </row>
    <row r="1782" spans="29:32">
      <c r="AC1782" s="20"/>
      <c r="AF1782" s="21"/>
    </row>
    <row r="1783" spans="29:32">
      <c r="AC1783" s="20"/>
      <c r="AF1783" s="21"/>
    </row>
    <row r="1784" spans="29:32">
      <c r="AC1784" s="20"/>
      <c r="AF1784" s="21"/>
    </row>
    <row r="1785" spans="29:32">
      <c r="AC1785" s="20"/>
      <c r="AF1785" s="21"/>
    </row>
    <row r="1786" spans="29:32">
      <c r="AC1786" s="20"/>
      <c r="AF1786" s="21"/>
    </row>
    <row r="1787" spans="29:32">
      <c r="AC1787" s="20"/>
      <c r="AF1787" s="21"/>
    </row>
    <row r="1788" spans="29:32">
      <c r="AC1788" s="20"/>
      <c r="AF1788" s="21"/>
    </row>
    <row r="1789" spans="29:32">
      <c r="AC1789" s="20"/>
      <c r="AF1789" s="21"/>
    </row>
    <row r="1790" spans="29:32">
      <c r="AC1790" s="20"/>
      <c r="AF1790" s="21"/>
    </row>
    <row r="1791" spans="29:32">
      <c r="AC1791" s="20"/>
      <c r="AF1791" s="21"/>
    </row>
    <row r="1792" spans="29:32">
      <c r="AC1792" s="20"/>
      <c r="AF1792" s="21"/>
    </row>
    <row r="1793" spans="29:32">
      <c r="AC1793" s="20"/>
      <c r="AF1793" s="21"/>
    </row>
    <row r="1794" spans="29:32">
      <c r="AC1794" s="20"/>
      <c r="AF1794" s="21"/>
    </row>
    <row r="1795" spans="29:32">
      <c r="AC1795" s="20"/>
      <c r="AF1795" s="21"/>
    </row>
    <row r="1796" spans="29:32">
      <c r="AC1796" s="20"/>
      <c r="AF1796" s="21"/>
    </row>
    <row r="1797" spans="29:32">
      <c r="AC1797" s="20"/>
      <c r="AF1797" s="21"/>
    </row>
    <row r="1798" spans="29:32">
      <c r="AC1798" s="20"/>
      <c r="AF1798" s="21"/>
    </row>
    <row r="1799" spans="29:32">
      <c r="AC1799" s="20"/>
      <c r="AF1799" s="21"/>
    </row>
    <row r="1800" spans="29:32">
      <c r="AC1800" s="20"/>
      <c r="AF1800" s="21"/>
    </row>
    <row r="1801" spans="16:32">
      <c r="P1801" s="2"/>
      <c r="AC1801" s="20"/>
      <c r="AF1801" s="21"/>
    </row>
    <row r="1802" spans="29:32">
      <c r="AC1802" s="20"/>
      <c r="AF1802" s="21"/>
    </row>
    <row r="1803" spans="29:32">
      <c r="AC1803" s="20"/>
      <c r="AF1803" s="21"/>
    </row>
    <row r="1804" spans="29:32">
      <c r="AC1804" s="20"/>
      <c r="AF1804" s="21"/>
    </row>
    <row r="1805" spans="29:32">
      <c r="AC1805" s="20"/>
      <c r="AF1805" s="21"/>
    </row>
    <row r="1806" spans="29:32">
      <c r="AC1806" s="20"/>
      <c r="AF1806" s="21"/>
    </row>
    <row r="1807" spans="29:32">
      <c r="AC1807" s="20"/>
      <c r="AF1807" s="21"/>
    </row>
    <row r="1808" spans="29:32">
      <c r="AC1808" s="20"/>
      <c r="AF1808" s="21"/>
    </row>
    <row r="1809" spans="29:32">
      <c r="AC1809" s="20"/>
      <c r="AF1809" s="21"/>
    </row>
    <row r="1810" spans="29:32">
      <c r="AC1810" s="20"/>
      <c r="AF1810" s="21"/>
    </row>
    <row r="1811" spans="29:32">
      <c r="AC1811" s="20"/>
      <c r="AF1811" s="21"/>
    </row>
    <row r="1812" spans="29:32">
      <c r="AC1812" s="20"/>
      <c r="AF1812" s="21"/>
    </row>
    <row r="1813" spans="29:32">
      <c r="AC1813" s="20"/>
      <c r="AF1813" s="21"/>
    </row>
    <row r="1814" spans="29:32">
      <c r="AC1814" s="20"/>
      <c r="AF1814" s="21"/>
    </row>
    <row r="1815" spans="29:32">
      <c r="AC1815" s="20"/>
      <c r="AF1815" s="21"/>
    </row>
    <row r="1816" spans="29:32">
      <c r="AC1816" s="20"/>
      <c r="AF1816" s="21"/>
    </row>
    <row r="1817" spans="29:32">
      <c r="AC1817" s="20"/>
      <c r="AF1817" s="21"/>
    </row>
    <row r="1818" spans="29:32">
      <c r="AC1818" s="20"/>
      <c r="AF1818" s="21"/>
    </row>
    <row r="1819" spans="29:32">
      <c r="AC1819" s="20"/>
      <c r="AF1819" s="21"/>
    </row>
    <row r="1820" spans="29:32">
      <c r="AC1820" s="20"/>
      <c r="AF1820" s="21"/>
    </row>
    <row r="1821" spans="29:32">
      <c r="AC1821" s="20"/>
      <c r="AF1821" s="21"/>
    </row>
    <row r="1822" spans="29:32">
      <c r="AC1822" s="20"/>
      <c r="AF1822" s="21"/>
    </row>
    <row r="1823" spans="29:32">
      <c r="AC1823" s="20"/>
      <c r="AF1823" s="21"/>
    </row>
    <row r="1824" spans="29:32">
      <c r="AC1824" s="20"/>
      <c r="AF1824" s="21"/>
    </row>
    <row r="1825" spans="29:32">
      <c r="AC1825" s="20"/>
      <c r="AF1825" s="21"/>
    </row>
    <row r="1826" spans="29:32">
      <c r="AC1826" s="20"/>
      <c r="AF1826" s="21"/>
    </row>
    <row r="1827" spans="29:32">
      <c r="AC1827" s="20"/>
      <c r="AF1827" s="21"/>
    </row>
    <row r="1828" spans="29:32">
      <c r="AC1828" s="20"/>
      <c r="AF1828" s="21"/>
    </row>
    <row r="1829" spans="29:32">
      <c r="AC1829" s="20"/>
      <c r="AF1829" s="21"/>
    </row>
    <row r="1830" spans="29:32">
      <c r="AC1830" s="20"/>
      <c r="AF1830" s="21"/>
    </row>
    <row r="1831" spans="29:32">
      <c r="AC1831" s="20"/>
      <c r="AF1831" s="21"/>
    </row>
    <row r="1832" spans="2:32">
      <c r="B1832" s="8"/>
      <c r="AC1832" s="20"/>
      <c r="AF1832" s="21"/>
    </row>
    <row r="1833" spans="29:32">
      <c r="AC1833" s="20"/>
      <c r="AF1833" s="21"/>
    </row>
    <row r="1834" spans="29:32">
      <c r="AC1834" s="20"/>
      <c r="AF1834" s="21"/>
    </row>
    <row r="1835" spans="29:32">
      <c r="AC1835" s="20"/>
      <c r="AF1835" s="21"/>
    </row>
    <row r="1836" spans="29:32">
      <c r="AC1836" s="20"/>
      <c r="AF1836" s="21"/>
    </row>
    <row r="1837" spans="29:32">
      <c r="AC1837" s="20"/>
      <c r="AF1837" s="21"/>
    </row>
    <row r="1838" spans="29:32">
      <c r="AC1838" s="20"/>
      <c r="AF1838" s="21"/>
    </row>
    <row r="1839" spans="29:32">
      <c r="AC1839" s="20"/>
      <c r="AF1839" s="21"/>
    </row>
    <row r="1840" spans="29:32">
      <c r="AC1840" s="20"/>
      <c r="AF1840" s="21"/>
    </row>
    <row r="1841" spans="29:32">
      <c r="AC1841" s="20"/>
      <c r="AF1841" s="21"/>
    </row>
    <row r="1842" spans="2:32">
      <c r="B1842" s="8"/>
      <c r="AC1842" s="20"/>
      <c r="AF1842" s="21"/>
    </row>
    <row r="1843" spans="2:32">
      <c r="B1843" s="8"/>
      <c r="AC1843" s="20"/>
      <c r="AF1843" s="21"/>
    </row>
    <row r="1844" spans="2:32">
      <c r="B1844" s="8"/>
      <c r="AC1844" s="20"/>
      <c r="AF1844" s="21"/>
    </row>
    <row r="1845" spans="2:32">
      <c r="B1845" s="8"/>
      <c r="AC1845" s="20"/>
      <c r="AF1845" s="21"/>
    </row>
    <row r="1846" spans="2:32">
      <c r="B1846" s="8"/>
      <c r="AC1846" s="20"/>
      <c r="AF1846" s="21"/>
    </row>
    <row r="1847" spans="29:32">
      <c r="AC1847" s="20"/>
      <c r="AF1847" s="21"/>
    </row>
    <row r="1848" spans="29:32">
      <c r="AC1848" s="20"/>
      <c r="AF1848" s="21"/>
    </row>
    <row r="1849" spans="29:32">
      <c r="AC1849" s="20"/>
      <c r="AF1849" s="21"/>
    </row>
    <row r="1850" spans="29:32">
      <c r="AC1850" s="20"/>
      <c r="AF1850" s="21"/>
    </row>
    <row r="1851" spans="29:32">
      <c r="AC1851" s="20"/>
      <c r="AF1851" s="21"/>
    </row>
    <row r="1852" spans="29:32">
      <c r="AC1852" s="20"/>
      <c r="AF1852" s="21"/>
    </row>
    <row r="1853" spans="29:32">
      <c r="AC1853" s="20"/>
      <c r="AF1853" s="21"/>
    </row>
    <row r="1854" spans="29:32">
      <c r="AC1854" s="20"/>
      <c r="AF1854" s="21"/>
    </row>
    <row r="1855" spans="29:32">
      <c r="AC1855" s="20"/>
      <c r="AF1855" s="21"/>
    </row>
    <row r="1856" spans="29:32">
      <c r="AC1856" s="20"/>
      <c r="AF1856" s="21"/>
    </row>
    <row r="1857" spans="29:32">
      <c r="AC1857" s="20"/>
      <c r="AF1857" s="21"/>
    </row>
    <row r="1858" spans="29:32">
      <c r="AC1858" s="20"/>
      <c r="AF1858" s="21"/>
    </row>
    <row r="1859" spans="29:32">
      <c r="AC1859" s="20"/>
      <c r="AF1859" s="21"/>
    </row>
    <row r="1860" spans="2:32">
      <c r="B1860" s="8"/>
      <c r="AC1860" s="20"/>
      <c r="AF1860" s="21"/>
    </row>
    <row r="1861" spans="2:32">
      <c r="B1861" s="8"/>
      <c r="AC1861" s="20"/>
      <c r="AF1861" s="21"/>
    </row>
    <row r="1862" spans="2:32">
      <c r="B1862" s="8"/>
      <c r="AC1862" s="20"/>
      <c r="AF1862" s="21"/>
    </row>
    <row r="1863" spans="2:32">
      <c r="B1863" s="8"/>
      <c r="AC1863" s="20"/>
      <c r="AF1863" s="21"/>
    </row>
    <row r="1864" spans="29:32">
      <c r="AC1864" s="20"/>
      <c r="AF1864" s="21"/>
    </row>
    <row r="1865" spans="29:32">
      <c r="AC1865" s="20"/>
      <c r="AF1865" s="21"/>
    </row>
    <row r="1866" spans="29:32">
      <c r="AC1866" s="20"/>
      <c r="AF1866" s="21"/>
    </row>
    <row r="1867" spans="29:32">
      <c r="AC1867" s="20"/>
      <c r="AF1867" s="21"/>
    </row>
    <row r="1868" spans="9:32">
      <c r="I1868" s="2"/>
      <c r="O1868" s="3"/>
      <c r="P1868" s="2"/>
      <c r="AC1868" s="20"/>
      <c r="AF1868" s="21"/>
    </row>
    <row r="1869" spans="29:32">
      <c r="AC1869" s="20"/>
      <c r="AF1869" s="21"/>
    </row>
    <row r="1870" spans="29:32">
      <c r="AC1870" s="20"/>
      <c r="AF1870" s="21"/>
    </row>
    <row r="1871" spans="29:32">
      <c r="AC1871" s="20"/>
      <c r="AF1871" s="21"/>
    </row>
    <row r="1872" spans="29:32">
      <c r="AC1872" s="20"/>
      <c r="AF1872" s="21"/>
    </row>
    <row r="1873" spans="29:32">
      <c r="AC1873" s="20"/>
      <c r="AF1873" s="21"/>
    </row>
    <row r="1874" spans="29:32">
      <c r="AC1874" s="20"/>
      <c r="AF1874" s="21"/>
    </row>
    <row r="1875" spans="29:32">
      <c r="AC1875" s="20"/>
      <c r="AF1875" s="21"/>
    </row>
    <row r="1876" spans="29:32">
      <c r="AC1876" s="20"/>
      <c r="AF1876" s="21"/>
    </row>
    <row r="1877" spans="29:32">
      <c r="AC1877" s="20"/>
      <c r="AF1877" s="21"/>
    </row>
    <row r="1878" spans="8:32">
      <c r="H1878" s="3"/>
      <c r="I1878" s="2"/>
      <c r="O1878" s="3"/>
      <c r="P1878" s="2"/>
      <c r="AC1878" s="20"/>
      <c r="AF1878" s="21"/>
    </row>
    <row r="1879" spans="29:32">
      <c r="AC1879" s="20"/>
      <c r="AF1879" s="21"/>
    </row>
    <row r="1880" spans="29:32">
      <c r="AC1880" s="20"/>
      <c r="AF1880" s="21"/>
    </row>
    <row r="1881" spans="29:32">
      <c r="AC1881" s="20"/>
      <c r="AF1881" s="21"/>
    </row>
    <row r="1882" spans="29:32">
      <c r="AC1882" s="20"/>
      <c r="AF1882" s="21"/>
    </row>
    <row r="1883" spans="29:32">
      <c r="AC1883" s="20"/>
      <c r="AF1883" s="21"/>
    </row>
    <row r="1884" spans="2:32">
      <c r="B1884" s="8"/>
      <c r="AC1884" s="20"/>
      <c r="AF1884" s="21"/>
    </row>
    <row r="1885" spans="29:32">
      <c r="AC1885" s="20"/>
      <c r="AF1885" s="21"/>
    </row>
    <row r="1886" spans="29:32">
      <c r="AC1886" s="20"/>
      <c r="AF1886" s="21"/>
    </row>
    <row r="1887" spans="29:32">
      <c r="AC1887" s="20"/>
      <c r="AF1887" s="21"/>
    </row>
    <row r="1888" spans="29:32">
      <c r="AC1888" s="20"/>
      <c r="AF1888" s="21"/>
    </row>
    <row r="1889" spans="29:32">
      <c r="AC1889" s="20"/>
      <c r="AF1889" s="21"/>
    </row>
    <row r="1890" spans="29:32">
      <c r="AC1890" s="20"/>
      <c r="AF1890" s="21"/>
    </row>
    <row r="1891" spans="29:32">
      <c r="AC1891" s="20"/>
      <c r="AF1891" s="21"/>
    </row>
    <row r="1892" spans="29:32">
      <c r="AC1892" s="20"/>
      <c r="AF1892" s="21"/>
    </row>
    <row r="1893" spans="29:32">
      <c r="AC1893" s="20"/>
      <c r="AF1893" s="21"/>
    </row>
    <row r="1894" spans="29:32">
      <c r="AC1894" s="20"/>
      <c r="AF1894" s="21"/>
    </row>
    <row r="1895" spans="2:32">
      <c r="B1895" s="8"/>
      <c r="AC1895" s="20"/>
      <c r="AF1895" s="21"/>
    </row>
    <row r="1896" spans="29:32">
      <c r="AC1896" s="20"/>
      <c r="AF1896" s="21"/>
    </row>
    <row r="1897" spans="2:32">
      <c r="B1897" s="8"/>
      <c r="AC1897" s="20"/>
      <c r="AF1897" s="21"/>
    </row>
    <row r="1898" spans="2:32">
      <c r="B1898" s="8"/>
      <c r="AC1898" s="20"/>
      <c r="AF1898" s="21"/>
    </row>
    <row r="1899" spans="2:32">
      <c r="B1899" s="8"/>
      <c r="AC1899" s="20"/>
      <c r="AF1899" s="21"/>
    </row>
    <row r="1900" spans="2:32">
      <c r="B1900" s="8"/>
      <c r="AC1900" s="20"/>
      <c r="AF1900" s="21"/>
    </row>
    <row r="1901" spans="2:32">
      <c r="B1901" s="8"/>
      <c r="AC1901" s="20"/>
      <c r="AF1901" s="21"/>
    </row>
    <row r="1902" spans="2:32">
      <c r="B1902" s="8"/>
      <c r="AC1902" s="20"/>
      <c r="AF1902" s="21"/>
    </row>
    <row r="1903" spans="29:32">
      <c r="AC1903" s="20"/>
      <c r="AF1903" s="21"/>
    </row>
    <row r="1904" spans="29:32">
      <c r="AC1904" s="20"/>
      <c r="AF1904" s="21"/>
    </row>
    <row r="1905" spans="29:32">
      <c r="AC1905" s="20"/>
      <c r="AF1905" s="21"/>
    </row>
    <row r="1906" spans="29:32">
      <c r="AC1906" s="20"/>
      <c r="AF1906" s="21"/>
    </row>
    <row r="1907" spans="29:32">
      <c r="AC1907" s="20"/>
      <c r="AF1907" s="21"/>
    </row>
    <row r="1908" spans="29:32">
      <c r="AC1908" s="20"/>
      <c r="AF1908" s="21"/>
    </row>
    <row r="1909" spans="29:32">
      <c r="AC1909" s="20"/>
      <c r="AF1909" s="21"/>
    </row>
    <row r="1910" spans="29:32">
      <c r="AC1910" s="20"/>
      <c r="AF1910" s="21"/>
    </row>
    <row r="1911" spans="29:32">
      <c r="AC1911" s="20"/>
      <c r="AF1911" s="21"/>
    </row>
    <row r="1912" spans="29:32">
      <c r="AC1912" s="20"/>
      <c r="AF1912" s="21"/>
    </row>
    <row r="1913" spans="29:32">
      <c r="AC1913" s="20"/>
      <c r="AF1913" s="21"/>
    </row>
    <row r="1914" spans="29:32">
      <c r="AC1914" s="20"/>
      <c r="AF1914" s="21"/>
    </row>
    <row r="1915" spans="2:32">
      <c r="B1915" s="8"/>
      <c r="AC1915" s="20"/>
      <c r="AF1915" s="21"/>
    </row>
    <row r="1916" spans="2:32">
      <c r="B1916" s="8"/>
      <c r="AC1916" s="20"/>
      <c r="AF1916" s="21"/>
    </row>
    <row r="1917" spans="2:32">
      <c r="B1917" s="8"/>
      <c r="AC1917" s="20"/>
      <c r="AF1917" s="21"/>
    </row>
    <row r="1918" spans="2:32">
      <c r="B1918" s="8"/>
      <c r="AC1918" s="20"/>
      <c r="AF1918" s="21"/>
    </row>
    <row r="1919" spans="2:32">
      <c r="B1919" s="8"/>
      <c r="AC1919" s="20"/>
      <c r="AF1919" s="21"/>
    </row>
    <row r="1920" spans="2:32">
      <c r="B1920" s="8"/>
      <c r="AC1920" s="20"/>
      <c r="AF1920" s="21"/>
    </row>
    <row r="1921" spans="2:32">
      <c r="B1921" s="8"/>
      <c r="AC1921" s="20"/>
      <c r="AF1921" s="21"/>
    </row>
    <row r="1922" spans="2:32">
      <c r="B1922" s="8"/>
      <c r="AC1922" s="20"/>
      <c r="AF1922" s="21"/>
    </row>
    <row r="1923" spans="2:32">
      <c r="B1923" s="8"/>
      <c r="AC1923" s="20"/>
      <c r="AF1923" s="21"/>
    </row>
    <row r="1924" spans="2:32">
      <c r="B1924" s="8"/>
      <c r="AC1924" s="20"/>
      <c r="AF1924" s="21"/>
    </row>
    <row r="1925" spans="2:32">
      <c r="B1925" s="8"/>
      <c r="AC1925" s="20"/>
      <c r="AF1925" s="21"/>
    </row>
    <row r="1926" spans="2:32">
      <c r="B1926" s="8"/>
      <c r="AC1926" s="20"/>
      <c r="AF1926" s="21"/>
    </row>
    <row r="1927" spans="2:32">
      <c r="B1927" s="8"/>
      <c r="AC1927" s="20"/>
      <c r="AF1927" s="21"/>
    </row>
    <row r="1928" spans="2:32">
      <c r="B1928" s="8"/>
      <c r="AC1928" s="20"/>
      <c r="AF1928" s="21"/>
    </row>
    <row r="1929" spans="29:32">
      <c r="AC1929" s="20"/>
      <c r="AF1929" s="21"/>
    </row>
    <row r="1930" spans="29:32">
      <c r="AC1930" s="20"/>
      <c r="AF1930" s="21"/>
    </row>
    <row r="1931" spans="29:32">
      <c r="AC1931" s="20"/>
      <c r="AF1931" s="21"/>
    </row>
    <row r="1932" spans="29:32">
      <c r="AC1932" s="20"/>
      <c r="AF1932" s="21"/>
    </row>
    <row r="1933" spans="29:32">
      <c r="AC1933" s="20"/>
      <c r="AF1933" s="21"/>
    </row>
    <row r="1934" spans="29:32">
      <c r="AC1934" s="20"/>
      <c r="AF1934" s="21"/>
    </row>
    <row r="1935" spans="29:32">
      <c r="AC1935" s="20"/>
      <c r="AF1935" s="21"/>
    </row>
    <row r="1936" spans="29:32">
      <c r="AC1936" s="20"/>
      <c r="AF1936" s="21"/>
    </row>
    <row r="1937" spans="29:32">
      <c r="AC1937" s="20"/>
      <c r="AF1937" s="21"/>
    </row>
    <row r="1938" spans="29:32">
      <c r="AC1938" s="20"/>
      <c r="AF1938" s="21"/>
    </row>
    <row r="1939" spans="29:32">
      <c r="AC1939" s="20"/>
      <c r="AF1939" s="21"/>
    </row>
    <row r="1940" spans="29:32">
      <c r="AC1940" s="20"/>
      <c r="AF1940" s="21"/>
    </row>
    <row r="1941" spans="29:32">
      <c r="AC1941" s="20"/>
      <c r="AF1941" s="21"/>
    </row>
    <row r="1942" spans="29:32">
      <c r="AC1942" s="20"/>
      <c r="AF1942" s="21"/>
    </row>
    <row r="1943" spans="29:32">
      <c r="AC1943" s="20"/>
      <c r="AF1943" s="21"/>
    </row>
    <row r="1944" spans="29:32">
      <c r="AC1944" s="20"/>
      <c r="AF1944" s="21"/>
    </row>
    <row r="1945" spans="29:32">
      <c r="AC1945" s="20"/>
      <c r="AF1945" s="21"/>
    </row>
    <row r="1946" spans="29:32">
      <c r="AC1946" s="20"/>
      <c r="AF1946" s="21"/>
    </row>
    <row r="1947" spans="29:32">
      <c r="AC1947" s="20"/>
      <c r="AF1947" s="21"/>
    </row>
    <row r="1948" spans="29:32">
      <c r="AC1948" s="20"/>
      <c r="AF1948" s="21"/>
    </row>
    <row r="1949" spans="29:32">
      <c r="AC1949" s="20"/>
      <c r="AF1949" s="21"/>
    </row>
    <row r="1950" spans="29:32">
      <c r="AC1950" s="20"/>
      <c r="AF1950" s="21"/>
    </row>
    <row r="1951" spans="29:32">
      <c r="AC1951" s="20"/>
      <c r="AF1951" s="21"/>
    </row>
    <row r="1952" spans="29:32">
      <c r="AC1952" s="20"/>
      <c r="AF1952" s="21"/>
    </row>
    <row r="1953" spans="29:32">
      <c r="AC1953" s="20"/>
      <c r="AF1953" s="21"/>
    </row>
    <row r="1954" spans="29:32">
      <c r="AC1954" s="20"/>
      <c r="AF1954" s="21"/>
    </row>
    <row r="1955" spans="29:32">
      <c r="AC1955" s="20"/>
      <c r="AF1955" s="21"/>
    </row>
    <row r="1956" spans="29:32">
      <c r="AC1956" s="20"/>
      <c r="AF1956" s="21"/>
    </row>
    <row r="1957" spans="29:32">
      <c r="AC1957" s="20"/>
      <c r="AF1957" s="21"/>
    </row>
    <row r="1958" spans="29:32">
      <c r="AC1958" s="20"/>
      <c r="AF1958" s="21"/>
    </row>
    <row r="1959" spans="29:32">
      <c r="AC1959" s="20"/>
      <c r="AF1959" s="21"/>
    </row>
    <row r="1960" spans="29:32">
      <c r="AC1960" s="20"/>
      <c r="AF1960" s="21"/>
    </row>
    <row r="1961" spans="29:32">
      <c r="AC1961" s="20"/>
      <c r="AF1961" s="21"/>
    </row>
    <row r="1962" spans="29:32">
      <c r="AC1962" s="20"/>
      <c r="AF1962" s="21"/>
    </row>
    <row r="1963" spans="29:32">
      <c r="AC1963" s="20"/>
      <c r="AF1963" s="21"/>
    </row>
    <row r="1964" spans="29:32">
      <c r="AC1964" s="20"/>
      <c r="AF1964" s="21"/>
    </row>
    <row r="1965" spans="29:32">
      <c r="AC1965" s="20"/>
      <c r="AF1965" s="21"/>
    </row>
    <row r="1966" spans="29:32">
      <c r="AC1966" s="20"/>
      <c r="AF1966" s="21"/>
    </row>
    <row r="1967" spans="29:32">
      <c r="AC1967" s="20"/>
      <c r="AF1967" s="21"/>
    </row>
    <row r="1968" spans="29:32">
      <c r="AC1968" s="20"/>
      <c r="AF1968" s="21"/>
    </row>
    <row r="1969" spans="29:32">
      <c r="AC1969" s="20"/>
      <c r="AF1969" s="21"/>
    </row>
    <row r="1970" spans="29:32">
      <c r="AC1970" s="20"/>
      <c r="AF1970" s="21"/>
    </row>
    <row r="1971" spans="29:32">
      <c r="AC1971" s="20"/>
      <c r="AF1971" s="21"/>
    </row>
    <row r="1972" spans="29:32">
      <c r="AC1972" s="20"/>
      <c r="AF1972" s="21"/>
    </row>
    <row r="1973" spans="29:32">
      <c r="AC1973" s="20"/>
      <c r="AF1973" s="21"/>
    </row>
    <row r="1974" spans="29:32">
      <c r="AC1974" s="20"/>
      <c r="AF1974" s="21"/>
    </row>
    <row r="1975" spans="29:32">
      <c r="AC1975" s="20"/>
      <c r="AF1975" s="21"/>
    </row>
    <row r="1976" spans="29:32">
      <c r="AC1976" s="20"/>
      <c r="AF1976" s="21"/>
    </row>
    <row r="1977" spans="29:32">
      <c r="AC1977" s="20"/>
      <c r="AF1977" s="21"/>
    </row>
    <row r="1978" spans="29:32">
      <c r="AC1978" s="20"/>
      <c r="AF1978" s="21"/>
    </row>
    <row r="1979" spans="29:32">
      <c r="AC1979" s="20"/>
      <c r="AF1979" s="21"/>
    </row>
    <row r="1980" spans="29:32">
      <c r="AC1980" s="20"/>
      <c r="AF1980" s="21"/>
    </row>
    <row r="1981" spans="2:32">
      <c r="B1981" s="8"/>
      <c r="AC1981" s="20"/>
      <c r="AF1981" s="21"/>
    </row>
    <row r="1982" spans="2:32">
      <c r="B1982" s="8"/>
      <c r="AC1982" s="20"/>
      <c r="AF1982" s="21"/>
    </row>
    <row r="1983" spans="2:32">
      <c r="B1983" s="8"/>
      <c r="AC1983" s="20"/>
      <c r="AF1983" s="21"/>
    </row>
    <row r="1984" spans="29:32">
      <c r="AC1984" s="20"/>
      <c r="AF1984" s="21"/>
    </row>
    <row r="1985" spans="29:32">
      <c r="AC1985" s="20"/>
      <c r="AF1985" s="21"/>
    </row>
    <row r="1986" spans="29:32">
      <c r="AC1986" s="20"/>
      <c r="AF1986" s="21"/>
    </row>
    <row r="1987" spans="29:32">
      <c r="AC1987" s="20"/>
      <c r="AF1987" s="21"/>
    </row>
    <row r="1988" spans="29:32">
      <c r="AC1988" s="20"/>
      <c r="AF1988" s="21"/>
    </row>
    <row r="1989" spans="29:32">
      <c r="AC1989" s="20"/>
      <c r="AF1989" s="21"/>
    </row>
    <row r="1990" spans="29:32">
      <c r="AC1990" s="20"/>
      <c r="AF1990" s="21"/>
    </row>
    <row r="1991" spans="29:32">
      <c r="AC1991" s="20"/>
      <c r="AF1991" s="21"/>
    </row>
    <row r="1992" spans="29:32">
      <c r="AC1992" s="20"/>
      <c r="AF1992" s="21"/>
    </row>
    <row r="1993" spans="29:32">
      <c r="AC1993" s="20"/>
      <c r="AF1993" s="21"/>
    </row>
    <row r="1994" spans="29:32">
      <c r="AC1994" s="20"/>
      <c r="AF1994" s="21"/>
    </row>
    <row r="1995" spans="29:32">
      <c r="AC1995" s="20"/>
      <c r="AF1995" s="21"/>
    </row>
    <row r="1996" spans="29:32">
      <c r="AC1996" s="20"/>
      <c r="AF1996" s="21"/>
    </row>
    <row r="1997" spans="29:32">
      <c r="AC1997" s="20"/>
      <c r="AF1997" s="21"/>
    </row>
    <row r="1998" spans="29:32">
      <c r="AC1998" s="20"/>
      <c r="AF1998" s="21"/>
    </row>
    <row r="1999" spans="29:32">
      <c r="AC1999" s="20"/>
      <c r="AF1999" s="21"/>
    </row>
    <row r="2000" spans="29:32">
      <c r="AC2000" s="20"/>
      <c r="AF2000" s="21"/>
    </row>
    <row r="2001" spans="29:32">
      <c r="AC2001" s="20"/>
      <c r="AF2001" s="21"/>
    </row>
    <row r="2002" spans="29:32">
      <c r="AC2002" s="20"/>
      <c r="AF2002" s="21"/>
    </row>
    <row r="2003" spans="29:32">
      <c r="AC2003" s="20"/>
      <c r="AF2003" s="21"/>
    </row>
    <row r="2004" spans="29:32">
      <c r="AC2004" s="20"/>
      <c r="AF2004" s="21"/>
    </row>
    <row r="2005" spans="2:32">
      <c r="B2005" s="8"/>
      <c r="AC2005" s="20"/>
      <c r="AF2005" s="21"/>
    </row>
    <row r="2006" spans="2:32">
      <c r="B2006" s="8"/>
      <c r="AC2006" s="20"/>
      <c r="AF2006" s="21"/>
    </row>
    <row r="2007" spans="2:32">
      <c r="B2007" s="8"/>
      <c r="AC2007" s="20"/>
      <c r="AF2007" s="21"/>
    </row>
    <row r="2008" spans="2:32">
      <c r="B2008" s="8"/>
      <c r="AC2008" s="20"/>
      <c r="AF2008" s="21"/>
    </row>
    <row r="2009" spans="29:32">
      <c r="AC2009" s="20"/>
      <c r="AF2009" s="21"/>
    </row>
    <row r="2010" spans="29:32">
      <c r="AC2010" s="20"/>
      <c r="AF2010" s="21"/>
    </row>
    <row r="2011" spans="29:32">
      <c r="AC2011" s="20"/>
      <c r="AF2011" s="21"/>
    </row>
    <row r="2012" spans="29:32">
      <c r="AC2012" s="20"/>
      <c r="AF2012" s="21"/>
    </row>
    <row r="2013" spans="2:32">
      <c r="B2013" s="41"/>
      <c r="AC2013" s="20"/>
      <c r="AF2013" s="21"/>
    </row>
    <row r="2014" spans="2:32">
      <c r="B2014" s="41"/>
      <c r="AC2014" s="20"/>
      <c r="AF2014" s="21"/>
    </row>
    <row r="2015" spans="2:32">
      <c r="B2015" s="41"/>
      <c r="AC2015" s="20"/>
      <c r="AF2015" s="21"/>
    </row>
    <row r="2016" spans="29:32">
      <c r="AC2016" s="20"/>
      <c r="AF2016" s="21"/>
    </row>
    <row r="2017" spans="29:32">
      <c r="AC2017" s="20"/>
      <c r="AF2017" s="21"/>
    </row>
    <row r="2018" spans="29:32">
      <c r="AC2018" s="20"/>
      <c r="AF2018" s="21"/>
    </row>
    <row r="2019" spans="29:32">
      <c r="AC2019" s="20"/>
      <c r="AF2019" s="21"/>
    </row>
    <row r="2020" spans="29:32">
      <c r="AC2020" s="20"/>
      <c r="AF2020" s="21"/>
    </row>
    <row r="2021" spans="29:32">
      <c r="AC2021" s="20"/>
      <c r="AF2021" s="21"/>
    </row>
    <row r="2022" spans="29:32">
      <c r="AC2022" s="20"/>
      <c r="AF2022" s="21"/>
    </row>
    <row r="2023" spans="29:32">
      <c r="AC2023" s="20"/>
      <c r="AF2023" s="21"/>
    </row>
    <row r="2024" spans="29:32">
      <c r="AC2024" s="20"/>
      <c r="AF2024" s="21"/>
    </row>
    <row r="2025" spans="29:32">
      <c r="AC2025" s="20"/>
      <c r="AF2025" s="21"/>
    </row>
    <row r="2026" spans="29:32">
      <c r="AC2026" s="20"/>
      <c r="AF2026" s="21"/>
    </row>
    <row r="2027" spans="29:32">
      <c r="AC2027" s="20"/>
      <c r="AF2027" s="21"/>
    </row>
    <row r="2028" spans="29:32">
      <c r="AC2028" s="20"/>
      <c r="AF2028" s="21"/>
    </row>
    <row r="2029" spans="29:32">
      <c r="AC2029" s="20"/>
      <c r="AF2029" s="21"/>
    </row>
    <row r="2030" spans="29:32">
      <c r="AC2030" s="20"/>
      <c r="AF2030" s="21"/>
    </row>
    <row r="2031" spans="29:32">
      <c r="AC2031" s="20"/>
      <c r="AF2031" s="21"/>
    </row>
    <row r="2032" spans="29:32">
      <c r="AC2032" s="20"/>
      <c r="AF2032" s="21"/>
    </row>
    <row r="2033" spans="29:32">
      <c r="AC2033" s="20"/>
      <c r="AF2033" s="21"/>
    </row>
    <row r="2034" spans="29:32">
      <c r="AC2034" s="20"/>
      <c r="AF2034" s="21"/>
    </row>
    <row r="2035" spans="29:32">
      <c r="AC2035" s="20"/>
      <c r="AF2035" s="21"/>
    </row>
    <row r="2036" spans="29:32">
      <c r="AC2036" s="20"/>
      <c r="AF2036" s="21"/>
    </row>
    <row r="2037" spans="29:32">
      <c r="AC2037" s="20"/>
      <c r="AF2037" s="21"/>
    </row>
    <row r="2038" spans="29:32">
      <c r="AC2038" s="20"/>
      <c r="AF2038" s="21"/>
    </row>
    <row r="2039" spans="29:32">
      <c r="AC2039" s="20"/>
      <c r="AF2039" s="21"/>
    </row>
    <row r="2040" spans="29:32">
      <c r="AC2040" s="20"/>
      <c r="AF2040" s="21"/>
    </row>
    <row r="2041" spans="29:32">
      <c r="AC2041" s="20"/>
      <c r="AF2041" s="21"/>
    </row>
    <row r="2042" spans="29:32">
      <c r="AC2042" s="20"/>
      <c r="AF2042" s="21"/>
    </row>
    <row r="2043" spans="29:32">
      <c r="AC2043" s="20"/>
      <c r="AF2043" s="21"/>
    </row>
    <row r="2044" spans="29:32">
      <c r="AC2044" s="20"/>
      <c r="AF2044" s="21"/>
    </row>
    <row r="2045" spans="29:32">
      <c r="AC2045" s="20"/>
      <c r="AF2045" s="21"/>
    </row>
    <row r="2046" spans="29:32">
      <c r="AC2046" s="20"/>
      <c r="AF2046" s="21"/>
    </row>
    <row r="2047" spans="2:32">
      <c r="B2047" s="41"/>
      <c r="AC2047" s="20"/>
      <c r="AF2047" s="21"/>
    </row>
    <row r="2048" spans="2:32">
      <c r="B2048" s="41"/>
      <c r="AC2048" s="20"/>
      <c r="AF2048" s="21"/>
    </row>
    <row r="2049" spans="2:32">
      <c r="B2049" s="41"/>
      <c r="AC2049" s="20"/>
      <c r="AF2049" s="21"/>
    </row>
    <row r="2050" spans="2:32">
      <c r="B2050" s="41"/>
      <c r="AC2050" s="20"/>
      <c r="AF2050" s="21"/>
    </row>
    <row r="2051" spans="2:32">
      <c r="B2051" s="41"/>
      <c r="AC2051" s="20"/>
      <c r="AF2051" s="21"/>
    </row>
    <row r="2052" spans="2:32">
      <c r="B2052" s="41"/>
      <c r="AC2052" s="20"/>
      <c r="AF2052" s="21"/>
    </row>
    <row r="2053" spans="2:32">
      <c r="B2053" s="42"/>
      <c r="AC2053" s="20"/>
      <c r="AF2053" s="21"/>
    </row>
    <row r="2054" spans="2:32">
      <c r="B2054" s="42"/>
      <c r="AC2054" s="20"/>
      <c r="AF2054" s="21"/>
    </row>
    <row r="2055" spans="2:32">
      <c r="B2055" s="42"/>
      <c r="AC2055" s="20"/>
      <c r="AF2055" s="21"/>
    </row>
    <row r="2056" spans="2:32">
      <c r="B2056" s="42"/>
      <c r="AC2056" s="20"/>
      <c r="AF2056" s="21"/>
    </row>
    <row r="2057" spans="2:32">
      <c r="B2057" s="42"/>
      <c r="AC2057" s="20"/>
      <c r="AF2057" s="21"/>
    </row>
    <row r="2058" spans="2:32">
      <c r="B2058" s="42"/>
      <c r="AC2058" s="20"/>
      <c r="AF2058" s="21"/>
    </row>
    <row r="2059" spans="2:32">
      <c r="B2059" s="42"/>
      <c r="AC2059" s="20"/>
      <c r="AF2059" s="21"/>
    </row>
    <row r="2060" spans="2:32">
      <c r="B2060" s="42"/>
      <c r="AC2060" s="20"/>
      <c r="AF2060" s="21"/>
    </row>
    <row r="2061" spans="2:32">
      <c r="B2061" s="42"/>
      <c r="AC2061" s="20"/>
      <c r="AF2061" s="21"/>
    </row>
    <row r="2062" spans="2:32">
      <c r="B2062" s="42"/>
      <c r="I2062" s="2"/>
      <c r="J2062" s="3"/>
      <c r="P2062" s="2"/>
      <c r="Q2062" s="3"/>
      <c r="AC2062" s="20"/>
      <c r="AF2062" s="21"/>
    </row>
    <row r="2063" spans="2:32">
      <c r="B2063" s="42"/>
      <c r="AC2063" s="20"/>
      <c r="AF2063" s="21"/>
    </row>
    <row r="2064" spans="2:32">
      <c r="B2064" s="42"/>
      <c r="AC2064" s="20"/>
      <c r="AF2064" s="21"/>
    </row>
    <row r="2065" spans="2:32">
      <c r="B2065" s="42"/>
      <c r="AC2065" s="20"/>
      <c r="AF2065" s="21"/>
    </row>
    <row r="2066" spans="2:32">
      <c r="B2066" s="42"/>
      <c r="AC2066" s="20"/>
      <c r="AF2066" s="21"/>
    </row>
    <row r="2067" spans="2:32">
      <c r="B2067" s="42"/>
      <c r="AC2067" s="20"/>
      <c r="AF2067" s="21"/>
    </row>
    <row r="2068" spans="29:32">
      <c r="AC2068" s="20"/>
      <c r="AF2068" s="21"/>
    </row>
    <row r="2069" spans="29:32">
      <c r="AC2069" s="20"/>
      <c r="AF2069" s="21"/>
    </row>
    <row r="2070" spans="29:32">
      <c r="AC2070" s="20"/>
      <c r="AF2070" s="21"/>
    </row>
    <row r="2071" spans="29:32">
      <c r="AC2071" s="20"/>
      <c r="AF2071" s="21"/>
    </row>
    <row r="2072" spans="29:32">
      <c r="AC2072" s="20"/>
      <c r="AF2072" s="21"/>
    </row>
    <row r="2073" spans="29:32">
      <c r="AC2073" s="20"/>
      <c r="AF2073" s="21"/>
    </row>
    <row r="2074" spans="29:32">
      <c r="AC2074" s="20"/>
      <c r="AF2074" s="21"/>
    </row>
    <row r="2075" spans="29:32">
      <c r="AC2075" s="20"/>
      <c r="AF2075" s="21"/>
    </row>
    <row r="2076" spans="29:32">
      <c r="AC2076" s="20"/>
      <c r="AF2076" s="21"/>
    </row>
    <row r="2077" spans="29:32">
      <c r="AC2077" s="20"/>
      <c r="AF2077" s="21"/>
    </row>
    <row r="2078" spans="29:32">
      <c r="AC2078" s="20"/>
      <c r="AF2078" s="21"/>
    </row>
    <row r="2079" spans="29:32">
      <c r="AC2079" s="20"/>
      <c r="AF2079" s="21"/>
    </row>
    <row r="2080" spans="2:32">
      <c r="B2080" s="8"/>
      <c r="AC2080" s="20"/>
      <c r="AF2080" s="21"/>
    </row>
    <row r="2081" spans="29:32">
      <c r="AC2081" s="20"/>
      <c r="AF2081" s="21"/>
    </row>
    <row r="2082" spans="2:32">
      <c r="B2082" s="8"/>
      <c r="AC2082" s="20"/>
      <c r="AF2082" s="21"/>
    </row>
    <row r="2083" spans="2:32">
      <c r="B2083" s="8"/>
      <c r="AC2083" s="20"/>
      <c r="AF2083" s="21"/>
    </row>
    <row r="2084" spans="2:32">
      <c r="B2084" s="8"/>
      <c r="AC2084" s="20"/>
      <c r="AF2084" s="21"/>
    </row>
    <row r="2085" spans="2:32">
      <c r="B2085" s="8"/>
      <c r="AC2085" s="20"/>
      <c r="AF2085" s="21"/>
    </row>
    <row r="2086" spans="29:32">
      <c r="AC2086" s="20"/>
      <c r="AF2086" s="21"/>
    </row>
    <row r="2087" spans="29:32">
      <c r="AC2087" s="20"/>
      <c r="AF2087" s="21"/>
    </row>
    <row r="2088" spans="29:32">
      <c r="AC2088" s="20"/>
      <c r="AF2088" s="21"/>
    </row>
    <row r="2089" spans="29:32">
      <c r="AC2089" s="20"/>
      <c r="AF2089" s="21"/>
    </row>
    <row r="2090" spans="29:32">
      <c r="AC2090" s="20"/>
      <c r="AF2090" s="21"/>
    </row>
    <row r="2091" spans="29:32">
      <c r="AC2091" s="20"/>
      <c r="AF2091" s="21"/>
    </row>
    <row r="2092" spans="29:32">
      <c r="AC2092" s="20"/>
      <c r="AF2092" s="21"/>
    </row>
    <row r="2093" ht="23" customHeight="1" spans="29:32">
      <c r="AC2093" s="20"/>
      <c r="AF2093" s="21"/>
    </row>
    <row r="2094" ht="23" customHeight="1" spans="29:32">
      <c r="AC2094" s="20"/>
      <c r="AF2094" s="21"/>
    </row>
    <row r="2095" ht="23" customHeight="1" spans="29:32">
      <c r="AC2095" s="20"/>
      <c r="AF2095" s="21"/>
    </row>
    <row r="2096" ht="23" customHeight="1" spans="29:32">
      <c r="AC2096" s="20"/>
      <c r="AF2096" s="21"/>
    </row>
    <row r="2097" spans="29:32">
      <c r="AC2097" s="20"/>
      <c r="AF2097" s="21"/>
    </row>
    <row r="2098" spans="29:32">
      <c r="AC2098" s="20"/>
      <c r="AF2098" s="21"/>
    </row>
    <row r="2099" spans="29:32">
      <c r="AC2099" s="20"/>
      <c r="AF2099" s="21"/>
    </row>
    <row r="2100" ht="30" customHeight="1" spans="29:32">
      <c r="AC2100" s="20"/>
      <c r="AF2100" s="21"/>
    </row>
    <row r="2101" spans="29:32">
      <c r="AC2101" s="20"/>
      <c r="AF2101" s="21"/>
    </row>
    <row r="2102" spans="29:32">
      <c r="AC2102" s="20"/>
      <c r="AF2102" s="21"/>
    </row>
    <row r="2103" spans="29:32">
      <c r="AC2103" s="20"/>
      <c r="AF2103" s="21"/>
    </row>
    <row r="2104" spans="29:32">
      <c r="AC2104" s="20"/>
      <c r="AF2104" s="21"/>
    </row>
    <row r="2105" spans="29:32">
      <c r="AC2105" s="20"/>
      <c r="AF2105" s="21"/>
    </row>
    <row r="2106" spans="29:32">
      <c r="AC2106" s="20"/>
      <c r="AF2106" s="21"/>
    </row>
    <row r="2107" spans="29:32">
      <c r="AC2107" s="20"/>
      <c r="AF2107" s="21"/>
    </row>
    <row r="2108" spans="29:32">
      <c r="AC2108" s="20"/>
      <c r="AF2108" s="21"/>
    </row>
    <row r="2109" spans="29:32">
      <c r="AC2109" s="20"/>
      <c r="AF2109" s="21"/>
    </row>
    <row r="2110" spans="29:32">
      <c r="AC2110" s="20"/>
      <c r="AF2110" s="21"/>
    </row>
    <row r="2111" spans="29:32">
      <c r="AC2111" s="20"/>
      <c r="AF2111" s="21"/>
    </row>
    <row r="2112" spans="29:32">
      <c r="AC2112" s="20"/>
      <c r="AF2112" s="21"/>
    </row>
    <row r="2113" spans="29:32">
      <c r="AC2113" s="20"/>
      <c r="AF2113" s="21"/>
    </row>
    <row r="2114" spans="29:32">
      <c r="AC2114" s="20"/>
      <c r="AF2114" s="21"/>
    </row>
    <row r="2115" spans="29:32">
      <c r="AC2115" s="20"/>
      <c r="AF2115" s="21"/>
    </row>
    <row r="2116" spans="29:32">
      <c r="AC2116" s="20"/>
      <c r="AF2116" s="21"/>
    </row>
    <row r="2117" spans="29:32">
      <c r="AC2117" s="20"/>
      <c r="AF2117" s="21"/>
    </row>
    <row r="2118" spans="29:32">
      <c r="AC2118" s="20"/>
      <c r="AF2118" s="21"/>
    </row>
    <row r="2119" spans="29:32">
      <c r="AC2119" s="20"/>
      <c r="AF2119" s="21"/>
    </row>
    <row r="2120" spans="29:32">
      <c r="AC2120" s="20"/>
      <c r="AF2120" s="21"/>
    </row>
    <row r="2121" spans="29:32">
      <c r="AC2121" s="20"/>
      <c r="AF2121" s="21"/>
    </row>
    <row r="2122" spans="29:32">
      <c r="AC2122" s="20"/>
      <c r="AF2122" s="21"/>
    </row>
    <row r="2123" spans="29:32">
      <c r="AC2123" s="20"/>
      <c r="AF2123" s="21"/>
    </row>
    <row r="2124" spans="29:32">
      <c r="AC2124" s="20"/>
      <c r="AF2124" s="21"/>
    </row>
    <row r="2125" spans="29:32">
      <c r="AC2125" s="20"/>
      <c r="AF2125" s="21"/>
    </row>
    <row r="2126" spans="29:32">
      <c r="AC2126" s="20"/>
      <c r="AF2126" s="21"/>
    </row>
    <row r="2127" spans="29:32">
      <c r="AC2127" s="20"/>
      <c r="AF2127" s="21"/>
    </row>
    <row r="2128" spans="29:32">
      <c r="AC2128" s="20"/>
      <c r="AF2128" s="21"/>
    </row>
    <row r="2129" spans="29:32">
      <c r="AC2129" s="20"/>
      <c r="AF2129" s="21"/>
    </row>
    <row r="2130" spans="29:32">
      <c r="AC2130" s="20"/>
      <c r="AF2130" s="21"/>
    </row>
    <row r="2131" spans="29:32">
      <c r="AC2131" s="20"/>
      <c r="AF2131" s="21"/>
    </row>
    <row r="2132" spans="29:32">
      <c r="AC2132" s="20"/>
      <c r="AF2132" s="21"/>
    </row>
    <row r="2133" spans="29:32">
      <c r="AC2133" s="20"/>
      <c r="AF2133" s="21"/>
    </row>
    <row r="2134" spans="29:32">
      <c r="AC2134" s="20"/>
      <c r="AF2134" s="21"/>
    </row>
    <row r="2135" spans="29:32">
      <c r="AC2135" s="20"/>
      <c r="AF2135" s="21"/>
    </row>
    <row r="2136" spans="29:32">
      <c r="AC2136" s="20"/>
      <c r="AF2136" s="21"/>
    </row>
    <row r="2137" spans="29:32">
      <c r="AC2137" s="20"/>
      <c r="AF2137" s="21"/>
    </row>
    <row r="2138" spans="29:32">
      <c r="AC2138" s="20"/>
      <c r="AF2138" s="21"/>
    </row>
    <row r="2139" spans="29:32">
      <c r="AC2139" s="20"/>
      <c r="AF2139" s="21"/>
    </row>
    <row r="2140" spans="29:32">
      <c r="AC2140" s="20"/>
      <c r="AF2140" s="21"/>
    </row>
    <row r="2141" spans="29:32">
      <c r="AC2141" s="20"/>
      <c r="AF2141" s="21"/>
    </row>
    <row r="2142" spans="29:32">
      <c r="AC2142" s="20"/>
      <c r="AF2142" s="21"/>
    </row>
    <row r="2143" spans="2:32">
      <c r="B2143" s="8"/>
      <c r="AC2143" s="20"/>
      <c r="AF2143" s="21"/>
    </row>
    <row r="2144" spans="2:32">
      <c r="B2144" s="8"/>
      <c r="AC2144" s="20"/>
      <c r="AF2144" s="21"/>
    </row>
    <row r="2145" spans="2:32">
      <c r="B2145" s="8"/>
      <c r="AC2145" s="20"/>
      <c r="AF2145" s="21"/>
    </row>
    <row r="2146" ht="16" customHeight="1" spans="29:32">
      <c r="AC2146" s="20"/>
      <c r="AF2146" s="21"/>
    </row>
    <row r="2147" spans="2:32">
      <c r="B2147" s="37"/>
      <c r="AC2147" s="20"/>
      <c r="AF2147" s="21"/>
    </row>
    <row r="2148" spans="2:32">
      <c r="B2148" s="37"/>
      <c r="AC2148" s="20"/>
      <c r="AF2148" s="21"/>
    </row>
    <row r="2149" spans="2:32">
      <c r="B2149" s="37"/>
      <c r="AC2149" s="20"/>
      <c r="AF2149" s="21"/>
    </row>
    <row r="2150" spans="2:32">
      <c r="B2150" s="8"/>
      <c r="AC2150" s="20"/>
      <c r="AF2150" s="21"/>
    </row>
    <row r="2151" spans="2:32">
      <c r="B2151" s="8"/>
      <c r="AC2151" s="20"/>
      <c r="AF2151" s="21"/>
    </row>
    <row r="2152" spans="2:32">
      <c r="B2152" s="8"/>
      <c r="AC2152" s="20"/>
      <c r="AF2152" s="21"/>
    </row>
    <row r="2153" spans="2:32">
      <c r="B2153" s="8"/>
      <c r="AC2153" s="20"/>
      <c r="AF2153" s="21"/>
    </row>
    <row r="2154" spans="2:32">
      <c r="B2154" s="8"/>
      <c r="AC2154" s="20"/>
      <c r="AF2154" s="21"/>
    </row>
    <row r="2155" spans="2:32">
      <c r="B2155" s="8"/>
      <c r="AC2155" s="20"/>
      <c r="AF2155" s="21"/>
    </row>
    <row r="2156" spans="29:32">
      <c r="AC2156" s="20"/>
      <c r="AF2156" s="21"/>
    </row>
    <row r="2157" spans="29:32">
      <c r="AC2157" s="20"/>
      <c r="AF2157" s="21"/>
    </row>
    <row r="2158" spans="29:32">
      <c r="AC2158" s="20"/>
      <c r="AF2158" s="21"/>
    </row>
    <row r="2159" spans="29:32">
      <c r="AC2159" s="20"/>
      <c r="AF2159" s="21"/>
    </row>
    <row r="2160" spans="29:32">
      <c r="AC2160" s="20"/>
      <c r="AF2160" s="21"/>
    </row>
    <row r="2161" spans="29:32">
      <c r="AC2161" s="20"/>
      <c r="AF2161" s="21"/>
    </row>
    <row r="2162" spans="29:32">
      <c r="AC2162" s="20"/>
      <c r="AF2162" s="21"/>
    </row>
    <row r="2163" spans="29:32">
      <c r="AC2163" s="20"/>
      <c r="AF2163" s="21"/>
    </row>
    <row r="2164" spans="29:32">
      <c r="AC2164" s="20"/>
      <c r="AF2164" s="21"/>
    </row>
    <row r="2165" spans="29:32">
      <c r="AC2165" s="20"/>
      <c r="AF2165" s="21"/>
    </row>
    <row r="2166" spans="29:32">
      <c r="AC2166" s="20"/>
      <c r="AF2166" s="21"/>
    </row>
    <row r="2167" spans="29:32">
      <c r="AC2167" s="20"/>
      <c r="AF2167" s="21"/>
    </row>
    <row r="2168" spans="29:32">
      <c r="AC2168" s="20"/>
      <c r="AF2168" s="21"/>
    </row>
    <row r="2169" spans="29:32">
      <c r="AC2169" s="20"/>
      <c r="AF2169" s="21"/>
    </row>
    <row r="2170" spans="29:32">
      <c r="AC2170" s="20"/>
      <c r="AF2170" s="21"/>
    </row>
    <row r="2171" spans="2:32">
      <c r="B2171" s="8"/>
      <c r="AC2171" s="20"/>
      <c r="AF2171" s="21"/>
    </row>
    <row r="2172" spans="2:32">
      <c r="B2172" s="8"/>
      <c r="AC2172" s="20"/>
      <c r="AF2172" s="21"/>
    </row>
    <row r="2173" spans="2:32">
      <c r="B2173" s="8"/>
      <c r="AC2173" s="20"/>
      <c r="AF2173" s="21"/>
    </row>
    <row r="2174" spans="2:32">
      <c r="B2174" s="8"/>
      <c r="AC2174" s="20"/>
      <c r="AF2174" s="21"/>
    </row>
    <row r="2175" spans="2:32">
      <c r="B2175" s="8"/>
      <c r="AC2175" s="20"/>
      <c r="AF2175" s="21"/>
    </row>
    <row r="2176" spans="2:32">
      <c r="B2176" s="8"/>
      <c r="AC2176" s="20"/>
      <c r="AF2176" s="21"/>
    </row>
    <row r="2177" spans="2:32">
      <c r="B2177" s="8"/>
      <c r="AC2177" s="20"/>
      <c r="AF2177" s="21"/>
    </row>
    <row r="2178" spans="2:32">
      <c r="B2178" s="8"/>
      <c r="AC2178" s="20"/>
      <c r="AF2178" s="21"/>
    </row>
    <row r="2179" spans="29:32">
      <c r="AC2179" s="20"/>
      <c r="AF2179" s="21"/>
    </row>
    <row r="2180" spans="29:32">
      <c r="AC2180" s="20"/>
      <c r="AF2180" s="21"/>
    </row>
    <row r="2181" spans="2:32">
      <c r="B2181" s="8"/>
      <c r="AC2181" s="20"/>
      <c r="AF2181" s="21"/>
    </row>
    <row r="2182" spans="29:32">
      <c r="AC2182" s="20"/>
      <c r="AF2182" s="21"/>
    </row>
    <row r="2183" spans="9:32">
      <c r="I2183" s="2"/>
      <c r="J2183" s="3"/>
      <c r="P2183" s="2"/>
      <c r="Q2183" s="3"/>
      <c r="AC2183" s="20"/>
      <c r="AF2183" s="21"/>
    </row>
    <row r="2184" spans="29:32">
      <c r="AC2184" s="20"/>
      <c r="AF2184" s="21"/>
    </row>
    <row r="2185" spans="29:32">
      <c r="AC2185" s="20"/>
      <c r="AF2185" s="21"/>
    </row>
    <row r="2186" spans="29:32">
      <c r="AC2186" s="20"/>
      <c r="AF2186" s="21"/>
    </row>
    <row r="2187" spans="29:32">
      <c r="AC2187" s="20"/>
      <c r="AF2187" s="21"/>
    </row>
    <row r="2188" spans="9:32">
      <c r="I2188" s="2"/>
      <c r="J2188" s="3"/>
      <c r="P2188" s="2"/>
      <c r="Q2188" s="3"/>
      <c r="AC2188" s="20"/>
      <c r="AF2188" s="21"/>
    </row>
    <row r="2189" spans="29:32">
      <c r="AC2189" s="20"/>
      <c r="AF2189" s="21"/>
    </row>
    <row r="2190" spans="29:32">
      <c r="AC2190" s="20"/>
      <c r="AF2190" s="21"/>
    </row>
    <row r="2191" spans="29:32">
      <c r="AC2191" s="20"/>
      <c r="AF2191" s="21"/>
    </row>
    <row r="2192" spans="29:32">
      <c r="AC2192" s="20"/>
      <c r="AF2192" s="21"/>
    </row>
    <row r="2193" spans="29:32">
      <c r="AC2193" s="20"/>
      <c r="AF2193" s="21"/>
    </row>
    <row r="2194" spans="29:32">
      <c r="AC2194" s="20"/>
      <c r="AF2194" s="21"/>
    </row>
    <row r="2195" spans="29:32">
      <c r="AC2195" s="20"/>
      <c r="AF2195" s="21"/>
    </row>
    <row r="2196" spans="29:32">
      <c r="AC2196" s="20"/>
      <c r="AF2196" s="21"/>
    </row>
    <row r="2197" spans="29:32">
      <c r="AC2197" s="20"/>
      <c r="AF2197" s="21"/>
    </row>
    <row r="2198" spans="29:32">
      <c r="AC2198" s="20"/>
      <c r="AF2198" s="21"/>
    </row>
    <row r="2199" spans="29:32">
      <c r="AC2199" s="20"/>
      <c r="AF2199" s="21"/>
    </row>
    <row r="2200" spans="29:32">
      <c r="AC2200" s="20"/>
      <c r="AF2200" s="21"/>
    </row>
    <row r="2201" spans="2:32">
      <c r="B2201" s="8"/>
      <c r="AC2201" s="20"/>
      <c r="AF2201" s="21"/>
    </row>
    <row r="2202" spans="2:32">
      <c r="B2202" s="8"/>
      <c r="AC2202" s="20"/>
      <c r="AF2202" s="21"/>
    </row>
    <row r="2203" spans="2:32">
      <c r="B2203" s="8"/>
      <c r="AC2203" s="20"/>
      <c r="AF2203" s="21"/>
    </row>
    <row r="2204" spans="2:32">
      <c r="B2204" s="8"/>
      <c r="AC2204" s="20"/>
      <c r="AF2204" s="21"/>
    </row>
    <row r="2205" spans="2:32">
      <c r="B2205" s="8"/>
      <c r="AC2205" s="20"/>
      <c r="AF2205" s="21"/>
    </row>
    <row r="2206" spans="2:32">
      <c r="B2206" s="8"/>
      <c r="AC2206" s="20"/>
      <c r="AF2206" s="21"/>
    </row>
    <row r="2207" spans="29:32">
      <c r="AC2207" s="20"/>
      <c r="AF2207" s="21"/>
    </row>
    <row r="2208" spans="29:32">
      <c r="AC2208" s="20"/>
      <c r="AF2208" s="21"/>
    </row>
    <row r="2209" spans="29:32">
      <c r="AC2209" s="20"/>
      <c r="AF2209" s="21"/>
    </row>
    <row r="2210" spans="29:32">
      <c r="AC2210" s="20"/>
      <c r="AF2210" s="21"/>
    </row>
    <row r="2211" spans="29:32">
      <c r="AC2211" s="20"/>
      <c r="AF2211" s="21"/>
    </row>
    <row r="2212" spans="29:32">
      <c r="AC2212" s="20"/>
      <c r="AF2212" s="21"/>
    </row>
    <row r="2213" spans="29:32">
      <c r="AC2213" s="20"/>
      <c r="AF2213" s="21"/>
    </row>
    <row r="2214" spans="29:32">
      <c r="AC2214" s="20"/>
      <c r="AF2214" s="21"/>
    </row>
    <row r="2215" spans="29:32">
      <c r="AC2215" s="20"/>
      <c r="AF2215" s="21"/>
    </row>
    <row r="2216" spans="29:32">
      <c r="AC2216" s="20"/>
      <c r="AF2216" s="21"/>
    </row>
    <row r="2217" spans="29:32">
      <c r="AC2217" s="20"/>
      <c r="AF2217" s="21"/>
    </row>
    <row r="2218" spans="29:32">
      <c r="AC2218" s="20"/>
      <c r="AF2218" s="21"/>
    </row>
    <row r="2219" spans="29:32">
      <c r="AC2219" s="20"/>
      <c r="AF2219" s="21"/>
    </row>
    <row r="2220" spans="29:32">
      <c r="AC2220" s="20"/>
      <c r="AF2220" s="21"/>
    </row>
    <row r="2221" spans="29:32">
      <c r="AC2221" s="20"/>
      <c r="AF2221" s="21"/>
    </row>
    <row r="2222" spans="2:32">
      <c r="B2222" s="43"/>
      <c r="AC2222" s="20"/>
      <c r="AF2222" s="21"/>
    </row>
    <row r="2223" spans="2:32">
      <c r="B2223" s="1"/>
      <c r="AC2223" s="20"/>
      <c r="AF2223" s="21"/>
    </row>
    <row r="2224" spans="29:32">
      <c r="AC2224" s="20"/>
      <c r="AF2224" s="21"/>
    </row>
    <row r="2225" spans="2:32">
      <c r="B2225" s="1"/>
      <c r="AC2225" s="20"/>
      <c r="AF2225" s="21"/>
    </row>
    <row r="2226" spans="29:32">
      <c r="AC2226" s="20"/>
      <c r="AF2226" s="21"/>
    </row>
    <row r="2227" spans="29:32">
      <c r="AC2227" s="20"/>
      <c r="AF2227" s="21"/>
    </row>
    <row r="2228" spans="29:32">
      <c r="AC2228" s="20"/>
      <c r="AF2228" s="21"/>
    </row>
    <row r="2229" spans="29:32">
      <c r="AC2229" s="20"/>
      <c r="AF2229" s="21"/>
    </row>
    <row r="2230" spans="2:32">
      <c r="B2230" s="8"/>
      <c r="AC2230" s="20"/>
      <c r="AF2230" s="21"/>
    </row>
    <row r="2231" spans="2:32">
      <c r="B2231" s="8"/>
      <c r="AC2231" s="20"/>
      <c r="AF2231" s="21"/>
    </row>
    <row r="2232" spans="2:32">
      <c r="B2232" s="8"/>
      <c r="AC2232" s="20"/>
      <c r="AF2232" s="21"/>
    </row>
    <row r="2233" spans="2:32">
      <c r="B2233" s="8"/>
      <c r="AC2233" s="20"/>
      <c r="AF2233" s="21"/>
    </row>
    <row r="2234" spans="2:32">
      <c r="B2234" s="8"/>
      <c r="AC2234" s="20"/>
      <c r="AF2234" s="21"/>
    </row>
    <row r="2235" spans="2:32">
      <c r="B2235" s="8"/>
      <c r="AC2235" s="20"/>
      <c r="AF2235" s="21"/>
    </row>
    <row r="2236" spans="29:32">
      <c r="AC2236" s="20"/>
      <c r="AF2236" s="21"/>
    </row>
    <row r="2237" spans="29:32">
      <c r="AC2237" s="20"/>
      <c r="AF2237" s="21"/>
    </row>
    <row r="2238" spans="29:32">
      <c r="AC2238" s="20"/>
      <c r="AF2238" s="21"/>
    </row>
    <row r="2239" spans="29:32">
      <c r="AC2239" s="20"/>
      <c r="AF2239" s="21"/>
    </row>
    <row r="2240" spans="29:32">
      <c r="AC2240" s="20"/>
      <c r="AF2240" s="21"/>
    </row>
    <row r="2241" spans="29:32">
      <c r="AC2241" s="20"/>
      <c r="AF2241" s="21"/>
    </row>
    <row r="2242" spans="29:32">
      <c r="AC2242" s="20"/>
      <c r="AF2242" s="21"/>
    </row>
    <row r="2243" spans="29:32">
      <c r="AC2243" s="20"/>
      <c r="AF2243" s="21"/>
    </row>
    <row r="2244" spans="29:32">
      <c r="AC2244" s="20"/>
      <c r="AF2244" s="21"/>
    </row>
    <row r="2245" spans="29:32">
      <c r="AC2245" s="20"/>
      <c r="AF2245" s="21"/>
    </row>
    <row r="2246" spans="29:32">
      <c r="AC2246" s="20"/>
      <c r="AF2246" s="21"/>
    </row>
    <row r="2247" spans="29:32">
      <c r="AC2247" s="20"/>
      <c r="AF2247" s="21"/>
    </row>
    <row r="2248" spans="29:32">
      <c r="AC2248" s="20"/>
      <c r="AF2248" s="21"/>
    </row>
    <row r="2249" spans="29:32">
      <c r="AC2249" s="20"/>
      <c r="AF2249" s="21"/>
    </row>
    <row r="2250" spans="29:32">
      <c r="AC2250" s="20"/>
      <c r="AF2250" s="21"/>
    </row>
    <row r="2251" spans="29:32">
      <c r="AC2251" s="20"/>
      <c r="AF2251" s="21"/>
    </row>
    <row r="2252" spans="29:32">
      <c r="AC2252" s="20"/>
      <c r="AF2252" s="21"/>
    </row>
    <row r="2253" spans="29:32">
      <c r="AC2253" s="20"/>
      <c r="AF2253" s="21"/>
    </row>
    <row r="2254" spans="29:32">
      <c r="AC2254" s="20"/>
      <c r="AF2254" s="21"/>
    </row>
    <row r="2255" spans="29:32">
      <c r="AC2255" s="20"/>
      <c r="AF2255" s="21"/>
    </row>
    <row r="2256" spans="29:32">
      <c r="AC2256" s="20"/>
      <c r="AF2256" s="21"/>
    </row>
    <row r="2257" spans="29:32">
      <c r="AC2257" s="20"/>
      <c r="AF2257" s="21"/>
    </row>
    <row r="2258" spans="29:32">
      <c r="AC2258" s="20"/>
      <c r="AF2258" s="21"/>
    </row>
    <row r="2259" spans="29:32">
      <c r="AC2259" s="20"/>
      <c r="AF2259" s="21"/>
    </row>
    <row r="2260" spans="29:32">
      <c r="AC2260" s="20"/>
      <c r="AF2260" s="21"/>
    </row>
    <row r="2261" spans="29:32">
      <c r="AC2261" s="20"/>
      <c r="AF2261" s="21"/>
    </row>
    <row r="2262" spans="29:32">
      <c r="AC2262" s="20"/>
      <c r="AF2262" s="21"/>
    </row>
    <row r="2263" spans="29:32">
      <c r="AC2263" s="20"/>
      <c r="AF2263" s="21"/>
    </row>
    <row r="2264" spans="29:32">
      <c r="AC2264" s="20"/>
      <c r="AF2264" s="21"/>
    </row>
    <row r="2265" spans="29:32">
      <c r="AC2265" s="20"/>
      <c r="AF2265" s="21"/>
    </row>
    <row r="2266" spans="2:32">
      <c r="B2266" s="8"/>
      <c r="AC2266" s="20"/>
      <c r="AF2266" s="21"/>
    </row>
    <row r="2267" spans="2:32">
      <c r="B2267" s="8"/>
      <c r="AC2267" s="20"/>
      <c r="AF2267" s="21"/>
    </row>
    <row r="2268" spans="2:32">
      <c r="B2268" s="8"/>
      <c r="AC2268" s="20"/>
      <c r="AF2268" s="21"/>
    </row>
    <row r="2269" spans="2:32">
      <c r="B2269" s="8"/>
      <c r="AC2269" s="20"/>
      <c r="AF2269" s="21"/>
    </row>
    <row r="2270" spans="29:32">
      <c r="AC2270" s="20"/>
      <c r="AF2270" s="21"/>
    </row>
    <row r="2271" spans="29:32">
      <c r="AC2271" s="20"/>
      <c r="AF2271" s="21"/>
    </row>
    <row r="2272" spans="29:32">
      <c r="AC2272" s="20"/>
      <c r="AF2272" s="21"/>
    </row>
    <row r="2273" spans="29:32">
      <c r="AC2273" s="20"/>
      <c r="AF2273" s="21"/>
    </row>
    <row r="2274" spans="29:32">
      <c r="AC2274" s="20"/>
      <c r="AF2274" s="21"/>
    </row>
    <row r="2275" spans="29:32">
      <c r="AC2275" s="20"/>
      <c r="AF2275" s="21"/>
    </row>
    <row r="2276" spans="29:32">
      <c r="AC2276" s="20"/>
      <c r="AF2276" s="21"/>
    </row>
    <row r="2277" spans="29:32">
      <c r="AC2277" s="20"/>
      <c r="AF2277" s="21"/>
    </row>
    <row r="2278" spans="29:32">
      <c r="AC2278" s="20"/>
      <c r="AF2278" s="21"/>
    </row>
    <row r="2279" spans="29:32">
      <c r="AC2279" s="20"/>
      <c r="AF2279" s="21"/>
    </row>
    <row r="2280" spans="29:32">
      <c r="AC2280" s="20"/>
      <c r="AF2280" s="21"/>
    </row>
    <row r="2281" spans="2:32">
      <c r="B2281" s="8"/>
      <c r="AC2281" s="20"/>
      <c r="AF2281" s="21"/>
    </row>
    <row r="2282" spans="2:32">
      <c r="B2282" s="8"/>
      <c r="AC2282" s="20"/>
      <c r="AF2282" s="21"/>
    </row>
    <row r="2283" spans="2:32">
      <c r="B2283" s="8"/>
      <c r="AC2283" s="20"/>
      <c r="AF2283" s="21"/>
    </row>
    <row r="2284" spans="29:32">
      <c r="AC2284" s="20"/>
      <c r="AF2284" s="21"/>
    </row>
    <row r="2285" spans="29:32">
      <c r="AC2285" s="20"/>
      <c r="AF2285" s="21"/>
    </row>
    <row r="2286" spans="29:32">
      <c r="AC2286" s="20"/>
      <c r="AF2286" s="21"/>
    </row>
    <row r="2287" spans="29:32">
      <c r="AC2287" s="20"/>
      <c r="AF2287" s="21"/>
    </row>
    <row r="2288" spans="29:32">
      <c r="AC2288" s="20"/>
      <c r="AF2288" s="21"/>
    </row>
    <row r="2289" spans="29:32">
      <c r="AC2289" s="20"/>
      <c r="AF2289" s="21"/>
    </row>
    <row r="2290" spans="29:32">
      <c r="AC2290" s="20"/>
      <c r="AF2290" s="21"/>
    </row>
    <row r="2291" spans="29:32">
      <c r="AC2291" s="20"/>
      <c r="AF2291" s="21"/>
    </row>
    <row r="2292" spans="29:32">
      <c r="AC2292" s="20"/>
      <c r="AF2292" s="21"/>
    </row>
    <row r="2293" spans="29:32">
      <c r="AC2293" s="20"/>
      <c r="AF2293" s="21"/>
    </row>
    <row r="2294" spans="29:32">
      <c r="AC2294" s="20"/>
      <c r="AF2294" s="21"/>
    </row>
    <row r="2295" spans="29:32">
      <c r="AC2295" s="20"/>
      <c r="AF2295" s="21"/>
    </row>
    <row r="2296" spans="29:32">
      <c r="AC2296" s="20"/>
      <c r="AF2296" s="21"/>
    </row>
    <row r="2297" spans="29:32">
      <c r="AC2297" s="20"/>
      <c r="AF2297" s="21"/>
    </row>
    <row r="2298" spans="29:32">
      <c r="AC2298" s="20"/>
      <c r="AF2298" s="21"/>
    </row>
    <row r="2299" spans="29:32">
      <c r="AC2299" s="20"/>
      <c r="AF2299" s="21"/>
    </row>
    <row r="2300" spans="29:32">
      <c r="AC2300" s="20"/>
      <c r="AF2300" s="21"/>
    </row>
    <row r="2301" spans="29:32">
      <c r="AC2301" s="20"/>
      <c r="AF2301" s="21"/>
    </row>
    <row r="2302" spans="29:32">
      <c r="AC2302" s="20"/>
      <c r="AF2302" s="21"/>
    </row>
    <row r="2303" spans="29:32">
      <c r="AC2303" s="20"/>
      <c r="AF2303" s="21"/>
    </row>
    <row r="2304" spans="29:32">
      <c r="AC2304" s="20"/>
      <c r="AF2304" s="21"/>
    </row>
    <row r="2305" spans="9:32">
      <c r="I2305" s="2"/>
      <c r="J2305" s="3"/>
      <c r="P2305" s="2"/>
      <c r="Q2305" s="3"/>
      <c r="AC2305" s="20"/>
      <c r="AF2305" s="21"/>
    </row>
    <row r="2306" spans="29:32">
      <c r="AC2306" s="20"/>
      <c r="AF2306" s="21"/>
    </row>
    <row r="2307" spans="29:32">
      <c r="AC2307" s="20"/>
      <c r="AF2307" s="21"/>
    </row>
    <row r="2308" spans="29:32">
      <c r="AC2308" s="20"/>
      <c r="AF2308" s="21"/>
    </row>
    <row r="2309" spans="29:32">
      <c r="AC2309" s="20"/>
      <c r="AF2309" s="21"/>
    </row>
    <row r="2310" spans="29:32">
      <c r="AC2310" s="20"/>
      <c r="AF2310" s="21"/>
    </row>
    <row r="2311" spans="29:32">
      <c r="AC2311" s="20"/>
      <c r="AF2311" s="21"/>
    </row>
    <row r="2312" spans="29:32">
      <c r="AC2312" s="20"/>
      <c r="AF2312" s="21"/>
    </row>
    <row r="2313" spans="2:32">
      <c r="B2313" s="8"/>
      <c r="AC2313" s="20"/>
      <c r="AF2313" s="21"/>
    </row>
    <row r="2314" spans="2:32">
      <c r="B2314" s="8"/>
      <c r="AC2314" s="20"/>
      <c r="AF2314" s="21"/>
    </row>
    <row r="2315" spans="2:32">
      <c r="B2315" s="8"/>
      <c r="AC2315" s="20"/>
      <c r="AF2315" s="21"/>
    </row>
    <row r="2316" spans="2:32">
      <c r="B2316" s="8"/>
      <c r="AC2316" s="20"/>
      <c r="AF2316" s="21"/>
    </row>
    <row r="2317" spans="2:32">
      <c r="B2317" s="8"/>
      <c r="AC2317" s="20"/>
      <c r="AF2317" s="21"/>
    </row>
    <row r="2318" spans="2:32">
      <c r="B2318" s="8"/>
      <c r="AC2318" s="20"/>
      <c r="AF2318" s="21"/>
    </row>
    <row r="2319" spans="2:32">
      <c r="B2319" s="8"/>
      <c r="AC2319" s="20"/>
      <c r="AF2319" s="21"/>
    </row>
    <row r="2320" spans="29:32">
      <c r="AC2320" s="20"/>
      <c r="AF2320" s="21"/>
    </row>
    <row r="2321" spans="29:32">
      <c r="AC2321" s="20"/>
      <c r="AF2321" s="21"/>
    </row>
    <row r="2322" spans="29:32">
      <c r="AC2322" s="20"/>
      <c r="AF2322" s="21"/>
    </row>
    <row r="2323" spans="29:32">
      <c r="AC2323" s="20"/>
      <c r="AF2323" s="21"/>
    </row>
    <row r="2324" spans="29:32">
      <c r="AC2324" s="20"/>
      <c r="AF2324" s="21"/>
    </row>
    <row r="2325" spans="29:32">
      <c r="AC2325" s="20"/>
      <c r="AF2325" s="21"/>
    </row>
    <row r="2326" spans="29:32">
      <c r="AC2326" s="20"/>
      <c r="AF2326" s="21"/>
    </row>
    <row r="2327" spans="29:32">
      <c r="AC2327" s="20"/>
      <c r="AF2327" s="21"/>
    </row>
    <row r="2328" spans="29:32">
      <c r="AC2328" s="20"/>
      <c r="AF2328" s="21"/>
    </row>
    <row r="2329" spans="29:32">
      <c r="AC2329" s="20"/>
      <c r="AF2329" s="21"/>
    </row>
    <row r="2330" spans="29:32">
      <c r="AC2330" s="20"/>
      <c r="AF2330" s="21"/>
    </row>
    <row r="2331" spans="29:32">
      <c r="AC2331" s="20"/>
      <c r="AF2331" s="21"/>
    </row>
    <row r="2332" spans="29:32">
      <c r="AC2332" s="20"/>
      <c r="AF2332" s="21"/>
    </row>
    <row r="2333" spans="29:32">
      <c r="AC2333" s="20"/>
      <c r="AF2333" s="21"/>
    </row>
    <row r="2334" spans="29:32">
      <c r="AC2334" s="20"/>
      <c r="AF2334" s="21"/>
    </row>
    <row r="2335" spans="29:32">
      <c r="AC2335" s="20"/>
      <c r="AF2335" s="21"/>
    </row>
    <row r="2336" spans="29:32">
      <c r="AC2336" s="20"/>
      <c r="AF2336" s="21"/>
    </row>
    <row r="2337" spans="29:32">
      <c r="AC2337" s="20"/>
      <c r="AF2337" s="21"/>
    </row>
    <row r="2338" spans="29:32">
      <c r="AC2338" s="20"/>
      <c r="AF2338" s="21"/>
    </row>
    <row r="2339" spans="29:32">
      <c r="AC2339" s="20"/>
      <c r="AF2339" s="21"/>
    </row>
    <row r="2340" spans="29:32">
      <c r="AC2340" s="20"/>
      <c r="AF2340" s="21"/>
    </row>
    <row r="2341" spans="29:32">
      <c r="AC2341" s="20"/>
      <c r="AF2341" s="21"/>
    </row>
    <row r="2342" spans="29:32">
      <c r="AC2342" s="20"/>
      <c r="AF2342" s="21"/>
    </row>
    <row r="2343" spans="2:32">
      <c r="B2343" s="8"/>
      <c r="AC2343" s="20"/>
      <c r="AF2343" s="21"/>
    </row>
    <row r="2344" spans="2:32">
      <c r="B2344" s="8"/>
      <c r="AC2344" s="20"/>
      <c r="AF2344" s="21"/>
    </row>
    <row r="2345" spans="2:32">
      <c r="B2345" s="8"/>
      <c r="AC2345" s="20"/>
      <c r="AF2345" s="21"/>
    </row>
    <row r="2346" spans="2:32">
      <c r="B2346" s="8"/>
      <c r="AC2346" s="20"/>
      <c r="AF2346" s="21"/>
    </row>
    <row r="2347" spans="29:32">
      <c r="AC2347" s="20"/>
      <c r="AF2347" s="21"/>
    </row>
    <row r="2348" spans="29:32">
      <c r="AC2348" s="20"/>
      <c r="AF2348" s="21"/>
    </row>
    <row r="2349" spans="29:32">
      <c r="AC2349" s="20"/>
      <c r="AF2349" s="21"/>
    </row>
    <row r="2350" spans="29:32">
      <c r="AC2350" s="20"/>
      <c r="AF2350" s="21"/>
    </row>
    <row r="2351" spans="2:32">
      <c r="B2351" s="8"/>
      <c r="AC2351" s="20"/>
      <c r="AF2351" s="21"/>
    </row>
    <row r="2352" spans="2:32">
      <c r="B2352" s="8"/>
      <c r="AC2352" s="20"/>
      <c r="AF2352" s="21"/>
    </row>
    <row r="2353" spans="2:32">
      <c r="B2353" s="8"/>
      <c r="AC2353" s="20"/>
      <c r="AF2353" s="21"/>
    </row>
    <row r="2354" spans="2:32">
      <c r="B2354" s="8"/>
      <c r="AC2354" s="20"/>
      <c r="AF2354" s="21"/>
    </row>
    <row r="2355" spans="2:32">
      <c r="B2355" s="8"/>
      <c r="AC2355" s="20"/>
      <c r="AF2355" s="21"/>
    </row>
    <row r="2356" spans="2:32">
      <c r="B2356" s="8"/>
      <c r="AC2356" s="20"/>
      <c r="AF2356" s="21"/>
    </row>
    <row r="2357" spans="2:32">
      <c r="B2357" s="8"/>
      <c r="AC2357" s="20"/>
      <c r="AF2357" s="21"/>
    </row>
    <row r="2358" spans="2:32">
      <c r="B2358" s="8"/>
      <c r="AC2358" s="20"/>
      <c r="AF2358" s="21"/>
    </row>
    <row r="2359" spans="29:32">
      <c r="AC2359" s="20"/>
      <c r="AF2359" s="21"/>
    </row>
    <row r="2360" spans="29:32">
      <c r="AC2360" s="20"/>
      <c r="AF2360" s="21"/>
    </row>
    <row r="2361" spans="29:32">
      <c r="AC2361" s="20"/>
      <c r="AF2361" s="21"/>
    </row>
    <row r="2362" spans="29:32">
      <c r="AC2362" s="20"/>
      <c r="AF2362" s="21"/>
    </row>
    <row r="2363" spans="29:32">
      <c r="AC2363" s="20"/>
      <c r="AF2363" s="21"/>
    </row>
    <row r="2364" spans="29:32">
      <c r="AC2364" s="20"/>
      <c r="AF2364" s="21"/>
    </row>
    <row r="2365" spans="29:32">
      <c r="AC2365" s="20"/>
      <c r="AF2365" s="21"/>
    </row>
    <row r="2366" spans="29:32">
      <c r="AC2366" s="20"/>
      <c r="AF2366" s="21"/>
    </row>
    <row r="2367" spans="29:32">
      <c r="AC2367" s="20"/>
      <c r="AF2367" s="21"/>
    </row>
    <row r="2368" spans="29:32">
      <c r="AC2368" s="20"/>
      <c r="AF2368" s="21"/>
    </row>
    <row r="2369" spans="29:32">
      <c r="AC2369" s="20"/>
      <c r="AF2369" s="21"/>
    </row>
    <row r="2370" spans="29:32">
      <c r="AC2370" s="20"/>
      <c r="AF2370" s="21"/>
    </row>
    <row r="2371" spans="29:32">
      <c r="AC2371" s="20"/>
      <c r="AF2371" s="21"/>
    </row>
    <row r="2372" spans="2:32">
      <c r="B2372" s="8"/>
      <c r="AC2372" s="20"/>
      <c r="AF2372" s="21"/>
    </row>
    <row r="2373" spans="2:32">
      <c r="B2373" s="8"/>
      <c r="AC2373" s="20"/>
      <c r="AF2373" s="21"/>
    </row>
    <row r="2374" spans="2:32">
      <c r="B2374" s="8"/>
      <c r="AC2374" s="20"/>
      <c r="AF2374" s="21"/>
    </row>
    <row r="2375" spans="2:32">
      <c r="B2375" s="8"/>
      <c r="AC2375" s="20"/>
      <c r="AF2375" s="21"/>
    </row>
    <row r="2376" spans="2:32">
      <c r="B2376" s="8"/>
      <c r="AC2376" s="20"/>
      <c r="AF2376" s="21"/>
    </row>
    <row r="2377" spans="29:32">
      <c r="AC2377" s="20"/>
      <c r="AF2377" s="21"/>
    </row>
    <row r="2378" spans="29:32">
      <c r="AC2378" s="20"/>
      <c r="AF2378" s="21"/>
    </row>
    <row r="2379" spans="29:32">
      <c r="AC2379" s="20"/>
      <c r="AF2379" s="21"/>
    </row>
    <row r="2380" spans="29:32">
      <c r="AC2380" s="20"/>
      <c r="AF2380" s="21"/>
    </row>
    <row r="2381" spans="29:32">
      <c r="AC2381" s="20"/>
      <c r="AF2381" s="21"/>
    </row>
    <row r="2382" spans="29:32">
      <c r="AC2382" s="20"/>
      <c r="AF2382" s="21"/>
    </row>
    <row r="2383" spans="29:32">
      <c r="AC2383" s="20"/>
      <c r="AF2383" s="21"/>
    </row>
    <row r="2384" spans="29:32">
      <c r="AC2384" s="20"/>
      <c r="AF2384" s="21"/>
    </row>
    <row r="2385" spans="29:32">
      <c r="AC2385" s="20"/>
      <c r="AF2385" s="21"/>
    </row>
    <row r="2386" spans="29:32">
      <c r="AC2386" s="20"/>
      <c r="AF2386" s="21"/>
    </row>
    <row r="2387" spans="29:32">
      <c r="AC2387" s="20"/>
      <c r="AF2387" s="21"/>
    </row>
    <row r="2388" spans="29:32">
      <c r="AC2388" s="20"/>
      <c r="AF2388" s="21"/>
    </row>
    <row r="2389" spans="29:32">
      <c r="AC2389" s="20"/>
      <c r="AF2389" s="21"/>
    </row>
    <row r="2390" spans="29:32">
      <c r="AC2390" s="20"/>
      <c r="AF2390" s="21"/>
    </row>
    <row r="2391" spans="29:32">
      <c r="AC2391" s="20"/>
      <c r="AF2391" s="21"/>
    </row>
    <row r="2392" spans="29:32">
      <c r="AC2392" s="20"/>
      <c r="AF2392" s="21"/>
    </row>
    <row r="2393" spans="29:32">
      <c r="AC2393" s="20"/>
      <c r="AF2393" s="21"/>
    </row>
    <row r="2394" spans="29:32">
      <c r="AC2394" s="20"/>
      <c r="AF2394" s="21"/>
    </row>
    <row r="2395" spans="29:32">
      <c r="AC2395" s="20"/>
      <c r="AF2395" s="21"/>
    </row>
    <row r="2396" spans="29:32">
      <c r="AC2396" s="20"/>
      <c r="AF2396" s="21"/>
    </row>
    <row r="2397" spans="29:32">
      <c r="AC2397" s="20"/>
      <c r="AF2397" s="21"/>
    </row>
    <row r="2398" spans="29:32">
      <c r="AC2398" s="20"/>
      <c r="AF2398" s="21"/>
    </row>
    <row r="2399" spans="29:32">
      <c r="AC2399" s="20"/>
      <c r="AF2399" s="21"/>
    </row>
    <row r="2400" spans="29:32">
      <c r="AC2400" s="20"/>
      <c r="AF2400" s="21"/>
    </row>
    <row r="2401" spans="29:32">
      <c r="AC2401" s="20"/>
      <c r="AF2401" s="21"/>
    </row>
    <row r="2402" spans="29:32">
      <c r="AC2402" s="20"/>
      <c r="AF2402" s="21"/>
    </row>
    <row r="2403" spans="29:32">
      <c r="AC2403" s="20"/>
      <c r="AF2403" s="21"/>
    </row>
    <row r="2404" spans="29:32">
      <c r="AC2404" s="20"/>
      <c r="AF2404" s="21"/>
    </row>
    <row r="2405" spans="29:32">
      <c r="AC2405" s="20"/>
      <c r="AF2405" s="21"/>
    </row>
    <row r="2406" spans="29:32">
      <c r="AC2406" s="20"/>
      <c r="AF2406" s="21"/>
    </row>
    <row r="2407" spans="29:32">
      <c r="AC2407" s="20"/>
      <c r="AF2407" s="21"/>
    </row>
    <row r="2408" spans="10:32">
      <c r="J2408" s="3"/>
      <c r="P2408" s="2"/>
      <c r="Q2408" s="3"/>
      <c r="AC2408" s="20"/>
      <c r="AF2408" s="21"/>
    </row>
    <row r="2409" spans="29:32">
      <c r="AC2409" s="20"/>
      <c r="AF2409" s="21"/>
    </row>
    <row r="2410" spans="29:32">
      <c r="AC2410" s="20"/>
      <c r="AF2410" s="21"/>
    </row>
    <row r="2411" spans="29:32">
      <c r="AC2411" s="20"/>
      <c r="AF2411" s="21"/>
    </row>
    <row r="2412" spans="29:32">
      <c r="AC2412" s="20"/>
      <c r="AF2412" s="21"/>
    </row>
    <row r="2413" spans="29:32">
      <c r="AC2413" s="20"/>
      <c r="AF2413" s="21"/>
    </row>
    <row r="2414" spans="29:32">
      <c r="AC2414" s="20"/>
      <c r="AF2414" s="21"/>
    </row>
    <row r="2415" spans="29:32">
      <c r="AC2415" s="20"/>
      <c r="AF2415" s="21"/>
    </row>
    <row r="2416" spans="29:32">
      <c r="AC2416" s="20"/>
      <c r="AF2416" s="21"/>
    </row>
    <row r="2417" spans="2:32">
      <c r="B2417" s="8"/>
      <c r="AC2417" s="20"/>
      <c r="AF2417" s="21"/>
    </row>
    <row r="2418" spans="2:32">
      <c r="B2418" s="8"/>
      <c r="AC2418" s="20"/>
      <c r="AF2418" s="21"/>
    </row>
    <row r="2419" spans="2:32">
      <c r="B2419" s="8"/>
      <c r="AC2419" s="20"/>
      <c r="AF2419" s="21"/>
    </row>
    <row r="2420" spans="2:32">
      <c r="B2420" s="8"/>
      <c r="AC2420" s="20"/>
      <c r="AF2420" s="21"/>
    </row>
    <row r="2421" spans="2:32">
      <c r="B2421" s="8"/>
      <c r="AC2421" s="20"/>
      <c r="AF2421" s="21"/>
    </row>
    <row r="2422" spans="2:32">
      <c r="B2422" s="8"/>
      <c r="AC2422" s="20"/>
      <c r="AF2422" s="21"/>
    </row>
    <row r="2423" spans="2:32">
      <c r="B2423" s="8"/>
      <c r="AC2423" s="20"/>
      <c r="AF2423" s="21"/>
    </row>
    <row r="2424" spans="2:32">
      <c r="B2424" s="8"/>
      <c r="AC2424" s="20"/>
      <c r="AF2424" s="21"/>
    </row>
    <row r="2425" spans="29:32">
      <c r="AC2425" s="20"/>
      <c r="AF2425" s="21"/>
    </row>
    <row r="2426" spans="29:32">
      <c r="AC2426" s="20"/>
      <c r="AF2426" s="21"/>
    </row>
    <row r="2427" spans="29:32">
      <c r="AC2427" s="20"/>
      <c r="AF2427" s="21"/>
    </row>
    <row r="2428" spans="29:32">
      <c r="AC2428" s="20"/>
      <c r="AF2428" s="21"/>
    </row>
    <row r="2429" spans="29:32">
      <c r="AC2429" s="20"/>
      <c r="AF2429" s="21"/>
    </row>
    <row r="2430" spans="29:32">
      <c r="AC2430" s="20"/>
      <c r="AF2430" s="21"/>
    </row>
    <row r="2431" spans="29:32">
      <c r="AC2431" s="20"/>
      <c r="AF2431" s="21"/>
    </row>
    <row r="2432" spans="29:32">
      <c r="AC2432" s="20"/>
      <c r="AF2432" s="21"/>
    </row>
    <row r="2433" spans="29:32">
      <c r="AC2433" s="20"/>
      <c r="AF2433" s="21"/>
    </row>
    <row r="2434" spans="29:32">
      <c r="AC2434" s="20"/>
      <c r="AF2434" s="21"/>
    </row>
    <row r="2435" spans="29:32">
      <c r="AC2435" s="20"/>
      <c r="AF2435" s="21"/>
    </row>
    <row r="2436" spans="29:32">
      <c r="AC2436" s="20"/>
      <c r="AF2436" s="21"/>
    </row>
    <row r="2437" spans="29:32">
      <c r="AC2437" s="20"/>
      <c r="AF2437" s="21"/>
    </row>
    <row r="2438" spans="29:32">
      <c r="AC2438" s="20"/>
      <c r="AF2438" s="21"/>
    </row>
    <row r="2439" spans="29:32">
      <c r="AC2439" s="20"/>
      <c r="AF2439" s="21"/>
    </row>
    <row r="2440" spans="29:32">
      <c r="AC2440" s="20"/>
      <c r="AF2440" s="21"/>
    </row>
    <row r="2441" spans="29:32">
      <c r="AC2441" s="20"/>
      <c r="AF2441" s="21"/>
    </row>
    <row r="2442" spans="29:32">
      <c r="AC2442" s="20"/>
      <c r="AF2442" s="21"/>
    </row>
    <row r="2443" spans="29:32">
      <c r="AC2443" s="20"/>
      <c r="AF2443" s="21"/>
    </row>
    <row r="2444" spans="29:32">
      <c r="AC2444" s="20"/>
      <c r="AF2444" s="21"/>
    </row>
    <row r="2445" spans="2:32">
      <c r="B2445" s="8"/>
      <c r="AC2445" s="20"/>
      <c r="AF2445" s="21"/>
    </row>
    <row r="2446" spans="2:32">
      <c r="B2446" s="8"/>
      <c r="AC2446" s="20"/>
      <c r="AF2446" s="21"/>
    </row>
    <row r="2447" spans="2:32">
      <c r="B2447" s="8"/>
      <c r="AC2447" s="20"/>
      <c r="AF2447" s="21"/>
    </row>
    <row r="2448" spans="2:32">
      <c r="B2448" s="8"/>
      <c r="AC2448" s="20"/>
      <c r="AF2448" s="21"/>
    </row>
    <row r="2449" spans="29:32">
      <c r="AC2449" s="20"/>
      <c r="AF2449" s="21"/>
    </row>
    <row r="2450" spans="29:32">
      <c r="AC2450" s="20"/>
      <c r="AF2450" s="21"/>
    </row>
    <row r="2451" spans="29:32">
      <c r="AC2451" s="20"/>
      <c r="AF2451" s="21"/>
    </row>
    <row r="2452" spans="29:32">
      <c r="AC2452" s="20"/>
      <c r="AF2452" s="21"/>
    </row>
    <row r="2453" spans="29:32">
      <c r="AC2453" s="20"/>
      <c r="AF2453" s="21"/>
    </row>
    <row r="2454" spans="29:32">
      <c r="AC2454" s="20"/>
      <c r="AF2454" s="21"/>
    </row>
    <row r="2455" spans="29:32">
      <c r="AC2455" s="20"/>
      <c r="AF2455" s="21"/>
    </row>
    <row r="2456" spans="29:32">
      <c r="AC2456" s="20"/>
      <c r="AF2456" s="21"/>
    </row>
    <row r="2457" spans="29:32">
      <c r="AC2457" s="20"/>
      <c r="AF2457" s="21"/>
    </row>
    <row r="2458" spans="29:32">
      <c r="AC2458" s="20"/>
      <c r="AF2458" s="21"/>
    </row>
    <row r="2459" spans="29:32">
      <c r="AC2459" s="20"/>
      <c r="AF2459" s="21"/>
    </row>
    <row r="2460" spans="29:32">
      <c r="AC2460" s="20"/>
      <c r="AF2460" s="21"/>
    </row>
    <row r="2461" spans="29:32">
      <c r="AC2461" s="20"/>
      <c r="AF2461" s="21"/>
    </row>
    <row r="2462" spans="29:32">
      <c r="AC2462" s="20"/>
      <c r="AF2462" s="21"/>
    </row>
    <row r="2463" spans="29:32">
      <c r="AC2463" s="20"/>
      <c r="AF2463" s="21"/>
    </row>
    <row r="2464" spans="29:32">
      <c r="AC2464" s="20"/>
      <c r="AF2464" s="21"/>
    </row>
    <row r="2465" spans="29:32">
      <c r="AC2465" s="20"/>
      <c r="AF2465" s="21"/>
    </row>
    <row r="2466" spans="29:32">
      <c r="AC2466" s="20"/>
      <c r="AF2466" s="21"/>
    </row>
    <row r="2467" spans="29:32">
      <c r="AC2467" s="20"/>
      <c r="AF2467" s="21"/>
    </row>
    <row r="2468" spans="2:32">
      <c r="B2468" s="8"/>
      <c r="AC2468" s="20"/>
      <c r="AF2468" s="21"/>
    </row>
    <row r="2469" spans="2:32">
      <c r="B2469" s="8"/>
      <c r="AC2469" s="20"/>
      <c r="AF2469" s="21"/>
    </row>
    <row r="2470" spans="29:32">
      <c r="AC2470" s="20"/>
      <c r="AF2470" s="21"/>
    </row>
    <row r="2471" spans="29:32">
      <c r="AC2471" s="20"/>
      <c r="AF2471" s="21"/>
    </row>
    <row r="2472" spans="29:32">
      <c r="AC2472" s="20"/>
      <c r="AF2472" s="21"/>
    </row>
    <row r="2473" spans="29:32">
      <c r="AC2473" s="20"/>
      <c r="AF2473" s="21"/>
    </row>
    <row r="2474" spans="29:32">
      <c r="AC2474" s="20"/>
      <c r="AF2474" s="21"/>
    </row>
    <row r="2475" spans="29:32">
      <c r="AC2475" s="20"/>
      <c r="AF2475" s="21"/>
    </row>
    <row r="2476" spans="29:32">
      <c r="AC2476" s="20"/>
      <c r="AF2476" s="21"/>
    </row>
    <row r="2477" spans="29:32">
      <c r="AC2477" s="20"/>
      <c r="AF2477" s="21"/>
    </row>
    <row r="2478" spans="29:32">
      <c r="AC2478" s="20"/>
      <c r="AF2478" s="21"/>
    </row>
    <row r="2479" spans="29:32">
      <c r="AC2479" s="20"/>
      <c r="AF2479" s="21"/>
    </row>
    <row r="2480" spans="29:32">
      <c r="AC2480" s="20"/>
      <c r="AF2480" s="21"/>
    </row>
    <row r="2481" spans="29:32">
      <c r="AC2481" s="20"/>
      <c r="AF2481" s="21"/>
    </row>
    <row r="2482" spans="29:32">
      <c r="AC2482" s="20"/>
      <c r="AF2482" s="21"/>
    </row>
    <row r="2483" spans="29:32">
      <c r="AC2483" s="20"/>
      <c r="AF2483" s="21"/>
    </row>
    <row r="2484" spans="29:32">
      <c r="AC2484" s="20"/>
      <c r="AF2484" s="21"/>
    </row>
    <row r="2485" spans="29:32">
      <c r="AC2485" s="20"/>
      <c r="AF2485" s="21"/>
    </row>
    <row r="2486" spans="29:32">
      <c r="AC2486" s="20"/>
      <c r="AF2486" s="21"/>
    </row>
    <row r="2487" spans="29:32">
      <c r="AC2487" s="20"/>
      <c r="AF2487" s="21"/>
    </row>
    <row r="2488" spans="29:32">
      <c r="AC2488" s="20"/>
      <c r="AF2488" s="21"/>
    </row>
    <row r="2489" spans="29:32">
      <c r="AC2489" s="20"/>
      <c r="AF2489" s="21"/>
    </row>
    <row r="2490" spans="2:32">
      <c r="B2490" s="31"/>
      <c r="AC2490" s="20"/>
      <c r="AF2490" s="21"/>
    </row>
    <row r="2491" spans="29:32">
      <c r="AC2491" s="20"/>
      <c r="AF2491" s="21"/>
    </row>
    <row r="2492" spans="29:32">
      <c r="AC2492" s="20"/>
      <c r="AF2492" s="21"/>
    </row>
    <row r="2493" spans="2:32">
      <c r="B2493" s="8"/>
      <c r="AC2493" s="20"/>
      <c r="AF2493" s="21"/>
    </row>
    <row r="2494" spans="2:32">
      <c r="B2494" s="8"/>
      <c r="AC2494" s="20"/>
      <c r="AF2494" s="21"/>
    </row>
    <row r="2495" spans="2:32">
      <c r="B2495" s="8"/>
      <c r="AC2495" s="20"/>
      <c r="AF2495" s="21"/>
    </row>
    <row r="2496" spans="2:32">
      <c r="B2496" s="8"/>
      <c r="AC2496" s="20"/>
      <c r="AF2496" s="21"/>
    </row>
    <row r="2497" spans="2:32">
      <c r="B2497" s="8"/>
      <c r="AC2497" s="20"/>
      <c r="AF2497" s="21"/>
    </row>
    <row r="2498" spans="2:32">
      <c r="B2498" s="8"/>
      <c r="AC2498" s="20"/>
      <c r="AF2498" s="21"/>
    </row>
    <row r="2499" spans="2:32">
      <c r="B2499" s="8"/>
      <c r="AC2499" s="20"/>
      <c r="AF2499" s="21"/>
    </row>
    <row r="2500" spans="2:32">
      <c r="B2500" s="8"/>
      <c r="AC2500" s="20"/>
      <c r="AF2500" s="21"/>
    </row>
    <row r="2501" spans="2:32">
      <c r="B2501" s="8"/>
      <c r="AC2501" s="20"/>
      <c r="AF2501" s="21"/>
    </row>
    <row r="2502" spans="2:32">
      <c r="B2502" s="8"/>
      <c r="AC2502" s="20"/>
      <c r="AF2502" s="21"/>
    </row>
    <row r="2503" spans="29:32">
      <c r="AC2503" s="20"/>
      <c r="AF2503" s="21"/>
    </row>
    <row r="2504" spans="29:32">
      <c r="AC2504" s="20"/>
      <c r="AF2504" s="21"/>
    </row>
    <row r="2505" spans="29:32">
      <c r="AC2505" s="20"/>
      <c r="AF2505" s="21"/>
    </row>
    <row r="2506" spans="29:32">
      <c r="AC2506" s="20"/>
      <c r="AF2506" s="21"/>
    </row>
    <row r="2507" spans="29:32">
      <c r="AC2507" s="20"/>
      <c r="AF2507" s="21"/>
    </row>
    <row r="2508" spans="29:32">
      <c r="AC2508" s="20"/>
      <c r="AF2508" s="21"/>
    </row>
    <row r="2509" spans="29:32">
      <c r="AC2509" s="20"/>
      <c r="AF2509" s="21"/>
    </row>
    <row r="2510" spans="29:32">
      <c r="AC2510" s="20"/>
      <c r="AF2510" s="21"/>
    </row>
    <row r="2511" spans="29:32">
      <c r="AC2511" s="20"/>
      <c r="AF2511" s="21"/>
    </row>
    <row r="2512" spans="29:32">
      <c r="AC2512" s="20"/>
      <c r="AF2512" s="21"/>
    </row>
    <row r="2513" spans="2:32">
      <c r="B2513" s="8"/>
      <c r="AC2513" s="20"/>
      <c r="AF2513" s="21"/>
    </row>
    <row r="2514" spans="2:32">
      <c r="B2514" s="8"/>
      <c r="AC2514" s="20"/>
      <c r="AF2514" s="21"/>
    </row>
    <row r="2515" spans="2:32">
      <c r="B2515" s="8"/>
      <c r="AC2515" s="20"/>
      <c r="AF2515" s="21"/>
    </row>
    <row r="2516" spans="2:32">
      <c r="B2516" s="8"/>
      <c r="AC2516" s="20"/>
      <c r="AF2516" s="21"/>
    </row>
    <row r="2517" spans="2:32">
      <c r="B2517" s="8"/>
      <c r="AC2517" s="20"/>
      <c r="AF2517" s="21"/>
    </row>
    <row r="2518" spans="2:32">
      <c r="B2518" s="8"/>
      <c r="AC2518" s="20"/>
      <c r="AF2518" s="21"/>
    </row>
    <row r="2519" spans="2:32">
      <c r="B2519" s="8"/>
      <c r="AC2519" s="20"/>
      <c r="AF2519" s="21"/>
    </row>
    <row r="2520" spans="2:32">
      <c r="B2520" s="8"/>
      <c r="AC2520" s="20"/>
      <c r="AF2520" s="21"/>
    </row>
    <row r="2521" spans="29:32">
      <c r="AC2521" s="20"/>
      <c r="AF2521" s="21"/>
    </row>
    <row r="2522" spans="29:32">
      <c r="AC2522" s="20"/>
      <c r="AF2522" s="21"/>
    </row>
    <row r="2523" spans="29:32">
      <c r="AC2523" s="20"/>
      <c r="AF2523" s="21"/>
    </row>
    <row r="2524" spans="2:32">
      <c r="B2524" s="8"/>
      <c r="AC2524" s="20"/>
      <c r="AF2524" s="21"/>
    </row>
    <row r="2525" spans="2:32">
      <c r="B2525" s="8"/>
      <c r="AC2525" s="20"/>
      <c r="AF2525" s="21"/>
    </row>
    <row r="2526" spans="2:32">
      <c r="B2526" s="8"/>
      <c r="AC2526" s="20"/>
      <c r="AF2526" s="21"/>
    </row>
    <row r="2527" spans="2:32">
      <c r="B2527" s="8"/>
      <c r="AC2527" s="20"/>
      <c r="AF2527" s="21"/>
    </row>
    <row r="2528" spans="2:32">
      <c r="B2528" s="8"/>
      <c r="AC2528" s="20"/>
      <c r="AF2528" s="21"/>
    </row>
    <row r="2529" spans="2:32">
      <c r="B2529" s="8"/>
      <c r="AC2529" s="20"/>
      <c r="AF2529" s="21"/>
    </row>
    <row r="2530" spans="2:32">
      <c r="B2530" s="8"/>
      <c r="AC2530" s="20"/>
      <c r="AF2530" s="21"/>
    </row>
    <row r="2531" spans="2:32">
      <c r="B2531" s="8"/>
      <c r="AC2531" s="20"/>
      <c r="AF2531" s="21"/>
    </row>
    <row r="2532" spans="29:32">
      <c r="AC2532" s="20"/>
      <c r="AF2532" s="21"/>
    </row>
    <row r="2533" spans="29:32">
      <c r="AC2533" s="20"/>
      <c r="AF2533" s="21"/>
    </row>
    <row r="2534" spans="29:32">
      <c r="AC2534" s="20"/>
      <c r="AF2534" s="21"/>
    </row>
    <row r="2535" spans="29:32">
      <c r="AC2535" s="20"/>
      <c r="AF2535" s="21"/>
    </row>
    <row r="2536" spans="29:32">
      <c r="AC2536" s="20"/>
      <c r="AF2536" s="21"/>
    </row>
    <row r="2537" spans="29:32">
      <c r="AC2537" s="20"/>
      <c r="AF2537" s="21"/>
    </row>
    <row r="2538" spans="29:32">
      <c r="AC2538" s="20"/>
      <c r="AF2538" s="21"/>
    </row>
    <row r="2539" spans="29:32">
      <c r="AC2539" s="20"/>
      <c r="AF2539" s="21"/>
    </row>
    <row r="2540" spans="29:32">
      <c r="AC2540" s="20"/>
      <c r="AF2540" s="21"/>
    </row>
    <row r="2541" spans="29:32">
      <c r="AC2541" s="20"/>
      <c r="AF2541" s="21"/>
    </row>
    <row r="2542" spans="29:32">
      <c r="AC2542" s="20"/>
      <c r="AF2542" s="21"/>
    </row>
    <row r="2543" spans="29:32">
      <c r="AC2543" s="20"/>
      <c r="AF2543" s="21"/>
    </row>
    <row r="2544" spans="29:32">
      <c r="AC2544" s="20"/>
      <c r="AF2544" s="21"/>
    </row>
    <row r="2545" spans="29:32">
      <c r="AC2545" s="20"/>
      <c r="AF2545" s="21"/>
    </row>
    <row r="2546" spans="29:32">
      <c r="AC2546" s="20"/>
      <c r="AF2546" s="21"/>
    </row>
    <row r="2547" spans="29:32">
      <c r="AC2547" s="20"/>
      <c r="AF2547" s="21"/>
    </row>
    <row r="2548" spans="29:32">
      <c r="AC2548" s="20"/>
      <c r="AF2548" s="21"/>
    </row>
    <row r="2549" spans="29:32">
      <c r="AC2549" s="20"/>
      <c r="AF2549" s="21"/>
    </row>
    <row r="2550" spans="29:32">
      <c r="AC2550" s="20"/>
      <c r="AF2550" s="21"/>
    </row>
    <row r="2551" spans="29:32">
      <c r="AC2551" s="20"/>
      <c r="AF2551" s="21"/>
    </row>
    <row r="2552" spans="29:32">
      <c r="AC2552" s="20"/>
      <c r="AF2552" s="21"/>
    </row>
    <row r="2553" spans="29:32">
      <c r="AC2553" s="20"/>
      <c r="AF2553" s="21"/>
    </row>
    <row r="2554" spans="29:32">
      <c r="AC2554" s="20"/>
      <c r="AF2554" s="21"/>
    </row>
    <row r="2555" spans="29:32">
      <c r="AC2555" s="20"/>
      <c r="AF2555" s="21"/>
    </row>
    <row r="2556" spans="29:32">
      <c r="AC2556" s="20"/>
      <c r="AF2556" s="21"/>
    </row>
    <row r="2557" spans="29:32">
      <c r="AC2557" s="20"/>
      <c r="AF2557" s="21"/>
    </row>
    <row r="2558" spans="29:32">
      <c r="AC2558" s="20"/>
      <c r="AF2558" s="21"/>
    </row>
    <row r="2559" spans="29:32">
      <c r="AC2559" s="20"/>
      <c r="AF2559" s="21"/>
    </row>
    <row r="2560" spans="29:32">
      <c r="AC2560" s="20"/>
      <c r="AF2560" s="21"/>
    </row>
    <row r="2561" spans="29:32">
      <c r="AC2561" s="20"/>
      <c r="AF2561" s="21"/>
    </row>
    <row r="2562" spans="29:32">
      <c r="AC2562" s="20"/>
      <c r="AF2562" s="21"/>
    </row>
    <row r="2563" spans="29:32">
      <c r="AC2563" s="20"/>
      <c r="AF2563" s="21"/>
    </row>
    <row r="2564" spans="29:32">
      <c r="AC2564" s="20"/>
      <c r="AF2564" s="21"/>
    </row>
    <row r="2565" spans="29:32">
      <c r="AC2565" s="20"/>
      <c r="AF2565" s="21"/>
    </row>
    <row r="2566" spans="29:32">
      <c r="AC2566" s="20"/>
      <c r="AF2566" s="21"/>
    </row>
    <row r="2567" spans="29:32">
      <c r="AC2567" s="20"/>
      <c r="AF2567" s="21"/>
    </row>
    <row r="2568" spans="29:32">
      <c r="AC2568" s="20"/>
      <c r="AF2568" s="21"/>
    </row>
    <row r="2569" spans="29:32">
      <c r="AC2569" s="20"/>
      <c r="AF2569" s="21"/>
    </row>
    <row r="2570" spans="29:32">
      <c r="AC2570" s="20"/>
      <c r="AF2570" s="21"/>
    </row>
    <row r="2571" spans="29:32">
      <c r="AC2571" s="20"/>
      <c r="AF2571" s="21"/>
    </row>
    <row r="2572" spans="29:32">
      <c r="AC2572" s="20"/>
      <c r="AF2572" s="21"/>
    </row>
    <row r="2573" spans="29:32">
      <c r="AC2573" s="20"/>
      <c r="AF2573" s="21"/>
    </row>
    <row r="2574" spans="29:32">
      <c r="AC2574" s="20"/>
      <c r="AF2574" s="21"/>
    </row>
    <row r="2575" spans="29:32">
      <c r="AC2575" s="20"/>
      <c r="AF2575" s="21"/>
    </row>
    <row r="2576" spans="29:32">
      <c r="AC2576" s="20"/>
      <c r="AF2576" s="21"/>
    </row>
    <row r="2577" spans="29:32">
      <c r="AC2577" s="20"/>
      <c r="AF2577" s="21"/>
    </row>
    <row r="2578" spans="29:32">
      <c r="AC2578" s="20"/>
      <c r="AF2578" s="21"/>
    </row>
    <row r="2579" spans="29:32">
      <c r="AC2579" s="20"/>
      <c r="AF2579" s="21"/>
    </row>
    <row r="2580" spans="29:32">
      <c r="AC2580" s="20"/>
      <c r="AF2580" s="21"/>
    </row>
    <row r="2581" spans="29:32">
      <c r="AC2581" s="20"/>
      <c r="AF2581" s="21"/>
    </row>
    <row r="2582" spans="29:32">
      <c r="AC2582" s="20"/>
      <c r="AF2582" s="21"/>
    </row>
    <row r="2583" spans="29:32">
      <c r="AC2583" s="20"/>
      <c r="AF2583" s="21"/>
    </row>
    <row r="2584" spans="29:32">
      <c r="AC2584" s="20"/>
      <c r="AF2584" s="21"/>
    </row>
    <row r="2585" spans="29:32">
      <c r="AC2585" s="20"/>
      <c r="AF2585" s="21"/>
    </row>
    <row r="2586" spans="29:32">
      <c r="AC2586" s="20"/>
      <c r="AF2586" s="21"/>
    </row>
    <row r="2587" spans="2:32">
      <c r="B2587" s="8"/>
      <c r="AC2587" s="20"/>
      <c r="AF2587" s="21"/>
    </row>
    <row r="2588" spans="2:32">
      <c r="B2588" s="8"/>
      <c r="AC2588" s="20"/>
      <c r="AF2588" s="21"/>
    </row>
    <row r="2589" spans="2:32">
      <c r="B2589" s="8"/>
      <c r="AC2589" s="20"/>
      <c r="AF2589" s="21"/>
    </row>
    <row r="2590" spans="2:32">
      <c r="B2590" s="8"/>
      <c r="AC2590" s="20"/>
      <c r="AF2590" s="21"/>
    </row>
    <row r="2591" spans="2:32">
      <c r="B2591" s="8"/>
      <c r="AC2591" s="20"/>
      <c r="AF2591" s="21"/>
    </row>
    <row r="2592" spans="29:32">
      <c r="AC2592" s="20"/>
      <c r="AF2592" s="21"/>
    </row>
    <row r="2593" spans="2:32">
      <c r="B2593" s="8"/>
      <c r="AC2593" s="20"/>
      <c r="AF2593" s="21"/>
    </row>
    <row r="2594" spans="2:32">
      <c r="B2594" s="8"/>
      <c r="AC2594" s="20"/>
      <c r="AF2594" s="21"/>
    </row>
    <row r="2595" spans="2:32">
      <c r="B2595" s="8"/>
      <c r="AC2595" s="20"/>
      <c r="AF2595" s="21"/>
    </row>
    <row r="2596" spans="2:32">
      <c r="B2596" s="8"/>
      <c r="AC2596" s="20"/>
      <c r="AF2596" s="21"/>
    </row>
    <row r="2597" spans="2:32">
      <c r="B2597" s="8"/>
      <c r="AC2597" s="20"/>
      <c r="AF2597" s="21"/>
    </row>
    <row r="2598" spans="2:32">
      <c r="B2598" s="8"/>
      <c r="AC2598" s="20"/>
      <c r="AF2598" s="21"/>
    </row>
    <row r="2599" spans="2:32">
      <c r="B2599" s="8"/>
      <c r="AC2599" s="20"/>
      <c r="AF2599" s="21"/>
    </row>
    <row r="2600" spans="2:32">
      <c r="B2600" s="8"/>
      <c r="AC2600" s="20"/>
      <c r="AF2600" s="21"/>
    </row>
    <row r="2601" spans="29:32">
      <c r="AC2601" s="20"/>
      <c r="AF2601" s="21"/>
    </row>
    <row r="2602" spans="29:32">
      <c r="AC2602" s="20"/>
      <c r="AF2602" s="21"/>
    </row>
    <row r="2603" spans="29:32">
      <c r="AC2603" s="20"/>
      <c r="AF2603" s="21"/>
    </row>
    <row r="2604" spans="29:32">
      <c r="AC2604" s="20"/>
      <c r="AF2604" s="21"/>
    </row>
    <row r="2605" spans="29:32">
      <c r="AC2605" s="20"/>
      <c r="AF2605" s="21"/>
    </row>
    <row r="2606" spans="29:32">
      <c r="AC2606" s="20"/>
      <c r="AF2606" s="21"/>
    </row>
    <row r="2607" spans="29:32">
      <c r="AC2607" s="20"/>
      <c r="AF2607" s="21"/>
    </row>
    <row r="2608" spans="29:32">
      <c r="AC2608" s="20"/>
      <c r="AF2608" s="21"/>
    </row>
    <row r="2609" spans="29:32">
      <c r="AC2609" s="20"/>
      <c r="AF2609" s="21"/>
    </row>
    <row r="2610" spans="29:32">
      <c r="AC2610" s="20"/>
      <c r="AF2610" s="21"/>
    </row>
    <row r="2611" spans="29:32">
      <c r="AC2611" s="20"/>
      <c r="AF2611" s="21"/>
    </row>
    <row r="2612" spans="9:32">
      <c r="I2612" s="2"/>
      <c r="J2612" s="3"/>
      <c r="P2612" s="2"/>
      <c r="Q2612" s="3"/>
      <c r="AC2612" s="20"/>
      <c r="AF2612" s="21"/>
    </row>
    <row r="2613" spans="29:32">
      <c r="AC2613" s="20"/>
      <c r="AF2613" s="21"/>
    </row>
    <row r="2614" spans="29:32">
      <c r="AC2614" s="20"/>
      <c r="AF2614" s="21"/>
    </row>
    <row r="2615" spans="29:32">
      <c r="AC2615" s="20"/>
      <c r="AF2615" s="21"/>
    </row>
    <row r="2616" spans="2:32">
      <c r="B2616" s="8"/>
      <c r="AC2616" s="20"/>
      <c r="AF2616" s="21"/>
    </row>
    <row r="2617" spans="2:32">
      <c r="B2617" s="8"/>
      <c r="AC2617" s="20"/>
      <c r="AF2617" s="21"/>
    </row>
    <row r="2618" spans="2:32">
      <c r="B2618" s="8"/>
      <c r="AC2618" s="20"/>
      <c r="AF2618" s="21"/>
    </row>
    <row r="2619" spans="2:32">
      <c r="B2619" s="8"/>
      <c r="AC2619" s="20"/>
      <c r="AF2619" s="21"/>
    </row>
    <row r="2620" spans="2:32">
      <c r="B2620" s="8"/>
      <c r="AC2620" s="20"/>
      <c r="AF2620" s="21"/>
    </row>
    <row r="2621" spans="2:32">
      <c r="B2621" s="8"/>
      <c r="AC2621" s="20"/>
      <c r="AF2621" s="21"/>
    </row>
    <row r="2622" spans="29:32">
      <c r="AC2622" s="20"/>
      <c r="AF2622" s="21"/>
    </row>
    <row r="2623" spans="29:32">
      <c r="AC2623" s="20"/>
      <c r="AF2623" s="21"/>
    </row>
    <row r="2624" spans="2:32">
      <c r="B2624" s="8"/>
      <c r="AC2624" s="20"/>
      <c r="AF2624" s="21"/>
    </row>
    <row r="2625" spans="2:32">
      <c r="B2625" s="8"/>
      <c r="AC2625" s="20"/>
      <c r="AF2625" s="21"/>
    </row>
    <row r="2626" spans="2:32">
      <c r="B2626" s="8"/>
      <c r="AC2626" s="20"/>
      <c r="AF2626" s="21"/>
    </row>
    <row r="2627" spans="2:32">
      <c r="B2627" s="8"/>
      <c r="AC2627" s="20"/>
      <c r="AF2627" s="21"/>
    </row>
    <row r="2628" spans="2:32">
      <c r="B2628" s="8"/>
      <c r="AC2628" s="20"/>
      <c r="AF2628" s="21"/>
    </row>
    <row r="2629" spans="2:32">
      <c r="B2629" s="8"/>
      <c r="AC2629" s="20"/>
      <c r="AF2629" s="21"/>
    </row>
    <row r="2630" spans="2:32">
      <c r="B2630" s="8"/>
      <c r="AC2630" s="20"/>
      <c r="AF2630" s="21"/>
    </row>
    <row r="2631" spans="29:32">
      <c r="AC2631" s="20"/>
      <c r="AF2631" s="21"/>
    </row>
    <row r="2632" spans="29:32">
      <c r="AC2632" s="20"/>
      <c r="AF2632" s="21"/>
    </row>
    <row r="2633" spans="29:32">
      <c r="AC2633" s="20"/>
      <c r="AF2633" s="21"/>
    </row>
    <row r="2634" spans="29:32">
      <c r="AC2634" s="20"/>
      <c r="AF2634" s="21"/>
    </row>
    <row r="2635" spans="29:32">
      <c r="AC2635" s="20"/>
      <c r="AF2635" s="21"/>
    </row>
    <row r="2636" spans="29:32">
      <c r="AC2636" s="20"/>
      <c r="AF2636" s="21"/>
    </row>
    <row r="2637" spans="29:32">
      <c r="AC2637" s="20"/>
      <c r="AF2637" s="21"/>
    </row>
    <row r="2638" spans="29:32">
      <c r="AC2638" s="20"/>
      <c r="AF2638" s="21"/>
    </row>
    <row r="2639" spans="29:32">
      <c r="AC2639" s="20"/>
      <c r="AF2639" s="21"/>
    </row>
    <row r="2640" spans="29:32">
      <c r="AC2640" s="20"/>
      <c r="AF2640" s="21"/>
    </row>
    <row r="2641" spans="29:32">
      <c r="AC2641" s="20"/>
      <c r="AF2641" s="21"/>
    </row>
    <row r="2642" spans="29:32">
      <c r="AC2642" s="20"/>
      <c r="AF2642" s="21"/>
    </row>
    <row r="2643" spans="29:32">
      <c r="AC2643" s="20"/>
      <c r="AF2643" s="21"/>
    </row>
    <row r="2644" spans="29:32">
      <c r="AC2644" s="20"/>
      <c r="AF2644" s="21"/>
    </row>
    <row r="2645" spans="29:32">
      <c r="AC2645" s="20"/>
      <c r="AD2645" s="44"/>
      <c r="AF2645" s="21"/>
    </row>
    <row r="2646" spans="29:32">
      <c r="AC2646" s="20"/>
      <c r="AD2646" s="44"/>
      <c r="AF2646" s="21"/>
    </row>
    <row r="2647" spans="29:32">
      <c r="AC2647" s="20"/>
      <c r="AD2647" s="44"/>
      <c r="AF2647" s="21"/>
    </row>
    <row r="2648" spans="29:32">
      <c r="AC2648" s="20"/>
      <c r="AD2648" s="44"/>
      <c r="AF2648" s="21"/>
    </row>
    <row r="2649" spans="29:32">
      <c r="AC2649" s="20"/>
      <c r="AD2649" s="44"/>
      <c r="AF2649" s="21"/>
    </row>
    <row r="2650" spans="29:32">
      <c r="AC2650" s="20"/>
      <c r="AD2650" s="44"/>
      <c r="AF2650" s="21"/>
    </row>
    <row r="2651" spans="29:32">
      <c r="AC2651" s="20"/>
      <c r="AD2651" s="44"/>
      <c r="AF2651" s="21"/>
    </row>
    <row r="2652" spans="29:32">
      <c r="AC2652" s="20"/>
      <c r="AD2652" s="44"/>
      <c r="AF2652" s="21"/>
    </row>
    <row r="2653" spans="29:32">
      <c r="AC2653" s="20"/>
      <c r="AD2653" s="44"/>
      <c r="AF2653" s="21"/>
    </row>
    <row r="2654" spans="29:32">
      <c r="AC2654" s="20"/>
      <c r="AD2654" s="44"/>
      <c r="AF2654" s="21"/>
    </row>
    <row r="2655" spans="29:32">
      <c r="AC2655" s="20"/>
      <c r="AD2655" s="44"/>
      <c r="AF2655" s="21"/>
    </row>
    <row r="2656" spans="29:32">
      <c r="AC2656" s="20"/>
      <c r="AD2656" s="44"/>
      <c r="AF2656" s="21"/>
    </row>
    <row r="2657" spans="29:32">
      <c r="AC2657" s="20"/>
      <c r="AD2657" s="44"/>
      <c r="AF2657" s="21"/>
    </row>
    <row r="2658" spans="29:32">
      <c r="AC2658" s="20"/>
      <c r="AD2658" s="44"/>
      <c r="AF2658" s="21"/>
    </row>
    <row r="2659" spans="29:32">
      <c r="AC2659" s="20"/>
      <c r="AD2659" s="44"/>
      <c r="AF2659" s="21"/>
    </row>
    <row r="2660" spans="29:32">
      <c r="AC2660" s="20"/>
      <c r="AD2660" s="44"/>
      <c r="AF2660" s="21"/>
    </row>
    <row r="2661" spans="29:32">
      <c r="AC2661" s="20"/>
      <c r="AD2661" s="44"/>
      <c r="AF2661" s="21"/>
    </row>
    <row r="2662" spans="29:32">
      <c r="AC2662" s="20"/>
      <c r="AD2662" s="44"/>
      <c r="AF2662" s="21"/>
    </row>
    <row r="2663" spans="2:32">
      <c r="B2663" s="8"/>
      <c r="AC2663" s="20"/>
      <c r="AD2663" s="44"/>
      <c r="AF2663" s="21"/>
    </row>
    <row r="2664" spans="29:32">
      <c r="AC2664" s="20"/>
      <c r="AD2664" s="44"/>
      <c r="AF2664" s="21"/>
    </row>
    <row r="2665" spans="29:32">
      <c r="AC2665" s="20"/>
      <c r="AD2665" s="44"/>
      <c r="AF2665" s="21"/>
    </row>
    <row r="2666" spans="29:32">
      <c r="AC2666" s="20"/>
      <c r="AD2666" s="44"/>
      <c r="AF2666" s="21"/>
    </row>
    <row r="2667" spans="29:32">
      <c r="AC2667" s="20"/>
      <c r="AD2667" s="44"/>
      <c r="AF2667" s="21"/>
    </row>
    <row r="2668" spans="29:32">
      <c r="AC2668" s="20"/>
      <c r="AD2668" s="44"/>
      <c r="AF2668" s="21"/>
    </row>
    <row r="2669" spans="29:32">
      <c r="AC2669" s="20"/>
      <c r="AD2669" s="44"/>
      <c r="AF2669" s="21"/>
    </row>
    <row r="2670" spans="29:32">
      <c r="AC2670" s="20"/>
      <c r="AD2670" s="44"/>
      <c r="AF2670" s="21"/>
    </row>
    <row r="2671" spans="29:32">
      <c r="AC2671" s="20"/>
      <c r="AD2671" s="44"/>
      <c r="AF2671" s="21"/>
    </row>
    <row r="2672" spans="29:32">
      <c r="AC2672" s="20"/>
      <c r="AD2672" s="44"/>
      <c r="AF2672" s="21"/>
    </row>
    <row r="2673" spans="29:32">
      <c r="AC2673" s="20"/>
      <c r="AD2673" s="44"/>
      <c r="AF2673" s="21"/>
    </row>
    <row r="2674" spans="29:32">
      <c r="AC2674" s="20"/>
      <c r="AD2674" s="44"/>
      <c r="AF2674" s="21"/>
    </row>
    <row r="2675" spans="9:32">
      <c r="I2675" s="2"/>
      <c r="O2675" s="3"/>
      <c r="P2675" s="2"/>
      <c r="AC2675" s="20"/>
      <c r="AD2675" s="44"/>
      <c r="AF2675" s="21"/>
    </row>
    <row r="2676" spans="29:32">
      <c r="AC2676" s="20"/>
      <c r="AD2676" s="44"/>
      <c r="AF2676" s="21"/>
    </row>
    <row r="2677" spans="29:32">
      <c r="AC2677" s="20"/>
      <c r="AD2677" s="44"/>
      <c r="AF2677" s="21"/>
    </row>
    <row r="2678" spans="29:32">
      <c r="AC2678" s="20"/>
      <c r="AD2678" s="44"/>
      <c r="AF2678" s="21"/>
    </row>
    <row r="2679" spans="29:32">
      <c r="AC2679" s="20"/>
      <c r="AD2679" s="44"/>
      <c r="AF2679" s="21"/>
    </row>
    <row r="2680" spans="29:32">
      <c r="AC2680" s="20"/>
      <c r="AD2680" s="44"/>
      <c r="AF2680" s="21"/>
    </row>
    <row r="2681" spans="29:32">
      <c r="AC2681" s="20"/>
      <c r="AD2681" s="44"/>
      <c r="AF2681" s="21"/>
    </row>
    <row r="2682" spans="29:32">
      <c r="AC2682" s="20"/>
      <c r="AD2682" s="44"/>
      <c r="AF2682" s="21"/>
    </row>
    <row r="2683" spans="29:32">
      <c r="AC2683" s="20"/>
      <c r="AD2683" s="44"/>
      <c r="AF2683" s="21"/>
    </row>
    <row r="2684" spans="29:32">
      <c r="AC2684" s="20"/>
      <c r="AD2684" s="44"/>
      <c r="AF2684" s="21"/>
    </row>
    <row r="2685" spans="29:32">
      <c r="AC2685" s="20"/>
      <c r="AD2685" s="44"/>
      <c r="AF2685" s="21"/>
    </row>
    <row r="2686" spans="29:32">
      <c r="AC2686" s="20"/>
      <c r="AD2686" s="44"/>
      <c r="AF2686" s="21"/>
    </row>
    <row r="2687" spans="29:32">
      <c r="AC2687" s="20"/>
      <c r="AD2687" s="44"/>
      <c r="AF2687" s="21"/>
    </row>
    <row r="2688" spans="29:32">
      <c r="AC2688" s="20"/>
      <c r="AD2688" s="44"/>
      <c r="AF2688" s="21"/>
    </row>
    <row r="2689" spans="29:32">
      <c r="AC2689" s="20"/>
      <c r="AD2689" s="44"/>
      <c r="AF2689" s="21"/>
    </row>
    <row r="2690" spans="29:32">
      <c r="AC2690" s="20"/>
      <c r="AD2690" s="44"/>
      <c r="AF2690" s="21"/>
    </row>
    <row r="2691" spans="29:32">
      <c r="AC2691" s="20"/>
      <c r="AD2691" s="44"/>
      <c r="AF2691" s="21"/>
    </row>
    <row r="2692" spans="29:32">
      <c r="AC2692" s="20"/>
      <c r="AD2692" s="44"/>
      <c r="AF2692" s="21"/>
    </row>
    <row r="2693" spans="29:32">
      <c r="AC2693" s="20"/>
      <c r="AD2693" s="44"/>
      <c r="AF2693" s="21"/>
    </row>
    <row r="2694" spans="29:32">
      <c r="AC2694" s="20"/>
      <c r="AD2694" s="44"/>
      <c r="AF2694" s="21"/>
    </row>
    <row r="2695" spans="29:32">
      <c r="AC2695" s="20"/>
      <c r="AD2695" s="44"/>
      <c r="AF2695" s="21"/>
    </row>
    <row r="2696" spans="29:32">
      <c r="AC2696" s="20"/>
      <c r="AD2696" s="44"/>
      <c r="AF2696" s="21"/>
    </row>
    <row r="2697" spans="29:32">
      <c r="AC2697" s="20"/>
      <c r="AD2697" s="44"/>
      <c r="AF2697" s="21"/>
    </row>
    <row r="2698" spans="2:32">
      <c r="B2698" s="8"/>
      <c r="AC2698" s="20"/>
      <c r="AD2698" s="44"/>
      <c r="AF2698" s="21"/>
    </row>
    <row r="2699" spans="2:32">
      <c r="B2699" s="8"/>
      <c r="AC2699" s="20"/>
      <c r="AD2699" s="44"/>
      <c r="AF2699" s="21"/>
    </row>
    <row r="2700" spans="2:32">
      <c r="B2700" s="8"/>
      <c r="AC2700" s="20"/>
      <c r="AD2700" s="44"/>
      <c r="AF2700" s="21"/>
    </row>
    <row r="2701" spans="2:32">
      <c r="B2701" s="8"/>
      <c r="AC2701" s="20"/>
      <c r="AD2701" s="44"/>
      <c r="AF2701" s="21"/>
    </row>
    <row r="2702" spans="29:32">
      <c r="AC2702" s="20"/>
      <c r="AD2702" s="44"/>
      <c r="AF2702" s="21"/>
    </row>
    <row r="2703" spans="29:32">
      <c r="AC2703" s="20"/>
      <c r="AD2703" s="44"/>
      <c r="AF2703" s="21"/>
    </row>
    <row r="2704" spans="29:32">
      <c r="AC2704" s="20"/>
      <c r="AD2704" s="44"/>
      <c r="AF2704" s="21"/>
    </row>
    <row r="2705" spans="15:32">
      <c r="O2705" s="3"/>
      <c r="P2705" s="2"/>
      <c r="AC2705" s="20"/>
      <c r="AD2705" s="44"/>
      <c r="AF2705" s="21"/>
    </row>
    <row r="2706" spans="29:32">
      <c r="AC2706" s="20"/>
      <c r="AD2706" s="44"/>
      <c r="AF2706" s="21"/>
    </row>
    <row r="2707" spans="29:32">
      <c r="AC2707" s="20"/>
      <c r="AD2707" s="44"/>
      <c r="AF2707" s="21"/>
    </row>
    <row r="2708" spans="29:32">
      <c r="AC2708" s="20"/>
      <c r="AD2708" s="44"/>
      <c r="AF2708" s="21"/>
    </row>
    <row r="2709" spans="29:32">
      <c r="AC2709" s="20"/>
      <c r="AD2709" s="44"/>
      <c r="AF2709" s="21"/>
    </row>
    <row r="2710" spans="29:32">
      <c r="AC2710" s="20"/>
      <c r="AD2710" s="44"/>
      <c r="AF2710" s="21"/>
    </row>
    <row r="2711" spans="29:32">
      <c r="AC2711" s="20"/>
      <c r="AD2711" s="44"/>
      <c r="AF2711" s="21"/>
    </row>
    <row r="2712" spans="29:32">
      <c r="AC2712" s="20"/>
      <c r="AD2712" s="44"/>
      <c r="AF2712" s="21"/>
    </row>
    <row r="2713" spans="29:32">
      <c r="AC2713" s="20"/>
      <c r="AD2713" s="44"/>
      <c r="AF2713" s="21"/>
    </row>
    <row r="2714" spans="29:32">
      <c r="AC2714" s="20"/>
      <c r="AD2714" s="44"/>
      <c r="AF2714" s="21"/>
    </row>
    <row r="2715" spans="29:32">
      <c r="AC2715" s="20"/>
      <c r="AD2715" s="44"/>
      <c r="AF2715" s="21"/>
    </row>
    <row r="2716" spans="29:32">
      <c r="AC2716" s="20"/>
      <c r="AD2716" s="44"/>
      <c r="AF2716" s="21"/>
    </row>
    <row r="2717" spans="29:32">
      <c r="AC2717" s="20"/>
      <c r="AD2717" s="44"/>
      <c r="AF2717" s="21"/>
    </row>
    <row r="2718" spans="29:32">
      <c r="AC2718" s="20"/>
      <c r="AD2718" s="44"/>
      <c r="AF2718" s="21"/>
    </row>
    <row r="2719" spans="29:32">
      <c r="AC2719" s="20"/>
      <c r="AD2719" s="44"/>
      <c r="AF2719" s="21"/>
    </row>
    <row r="2720" spans="29:32">
      <c r="AC2720" s="20"/>
      <c r="AD2720" s="44"/>
      <c r="AF2720" s="21"/>
    </row>
    <row r="2721" spans="29:32">
      <c r="AC2721" s="20"/>
      <c r="AD2721" s="44"/>
      <c r="AF2721" s="21"/>
    </row>
    <row r="2722" spans="29:32">
      <c r="AC2722" s="20"/>
      <c r="AD2722" s="44"/>
      <c r="AF2722" s="21"/>
    </row>
    <row r="2723" spans="29:32">
      <c r="AC2723" s="20"/>
      <c r="AD2723" s="44"/>
      <c r="AF2723" s="21"/>
    </row>
    <row r="2724" spans="29:32">
      <c r="AC2724" s="20"/>
      <c r="AD2724" s="44"/>
      <c r="AF2724" s="21"/>
    </row>
    <row r="2725" spans="29:32">
      <c r="AC2725" s="20"/>
      <c r="AD2725" s="44"/>
      <c r="AF2725" s="21"/>
    </row>
    <row r="2726" spans="29:32">
      <c r="AC2726" s="20"/>
      <c r="AD2726" s="44"/>
      <c r="AF2726" s="21"/>
    </row>
    <row r="2727" spans="29:32">
      <c r="AC2727" s="20"/>
      <c r="AD2727" s="44"/>
      <c r="AF2727" s="21"/>
    </row>
    <row r="2728" spans="29:32">
      <c r="AC2728" s="20"/>
      <c r="AD2728" s="44"/>
      <c r="AF2728" s="21"/>
    </row>
    <row r="2729" spans="29:32">
      <c r="AC2729" s="20"/>
      <c r="AD2729" s="44"/>
      <c r="AF2729" s="21"/>
    </row>
    <row r="2730" spans="29:32">
      <c r="AC2730" s="20"/>
      <c r="AD2730" s="44"/>
      <c r="AF2730" s="21"/>
    </row>
    <row r="2731" spans="29:32">
      <c r="AC2731" s="20"/>
      <c r="AD2731" s="44"/>
      <c r="AF2731" s="21"/>
    </row>
    <row r="2732" spans="29:32">
      <c r="AC2732" s="20"/>
      <c r="AD2732" s="44"/>
      <c r="AF2732" s="21"/>
    </row>
    <row r="2733" spans="29:32">
      <c r="AC2733" s="20"/>
      <c r="AD2733" s="44"/>
      <c r="AF2733" s="21"/>
    </row>
    <row r="2734" spans="29:32">
      <c r="AC2734" s="20"/>
      <c r="AD2734" s="44"/>
      <c r="AF2734" s="21"/>
    </row>
    <row r="2735" spans="29:32">
      <c r="AC2735" s="20"/>
      <c r="AD2735" s="44"/>
      <c r="AF2735" s="21"/>
    </row>
    <row r="2736" spans="29:32">
      <c r="AC2736" s="20"/>
      <c r="AD2736" s="44"/>
      <c r="AF2736" s="21"/>
    </row>
    <row r="2737" spans="29:32">
      <c r="AC2737" s="20"/>
      <c r="AD2737" s="44"/>
      <c r="AF2737" s="21"/>
    </row>
    <row r="2738" spans="29:32">
      <c r="AC2738" s="20"/>
      <c r="AD2738" s="44"/>
      <c r="AF2738" s="21"/>
    </row>
    <row r="2739" spans="29:32">
      <c r="AC2739" s="20"/>
      <c r="AD2739" s="44"/>
      <c r="AF2739" s="21"/>
    </row>
    <row r="2740" spans="29:32">
      <c r="AC2740" s="20"/>
      <c r="AD2740" s="44"/>
      <c r="AF2740" s="21"/>
    </row>
    <row r="2741" spans="29:32">
      <c r="AC2741" s="20"/>
      <c r="AD2741" s="44"/>
      <c r="AF2741" s="21"/>
    </row>
    <row r="2742" spans="29:32">
      <c r="AC2742" s="20"/>
      <c r="AD2742" s="44"/>
      <c r="AF2742" s="21"/>
    </row>
    <row r="2743" spans="29:32">
      <c r="AC2743" s="20"/>
      <c r="AD2743" s="44"/>
      <c r="AF2743" s="21"/>
    </row>
    <row r="2744" spans="29:32">
      <c r="AC2744" s="20"/>
      <c r="AD2744" s="44"/>
      <c r="AF2744" s="21"/>
    </row>
    <row r="2745" spans="29:32">
      <c r="AC2745" s="20"/>
      <c r="AD2745" s="44"/>
      <c r="AF2745" s="21"/>
    </row>
    <row r="2746" spans="29:32">
      <c r="AC2746" s="20"/>
      <c r="AD2746" s="44"/>
      <c r="AF2746" s="21"/>
    </row>
    <row r="2747" spans="29:32">
      <c r="AC2747" s="20"/>
      <c r="AD2747" s="44"/>
      <c r="AF2747" s="21"/>
    </row>
    <row r="2748" spans="29:32">
      <c r="AC2748" s="20"/>
      <c r="AD2748" s="44"/>
      <c r="AF2748" s="21"/>
    </row>
    <row r="2749" spans="29:32">
      <c r="AC2749" s="20"/>
      <c r="AD2749" s="44"/>
      <c r="AF2749" s="21"/>
    </row>
    <row r="2750" spans="29:32">
      <c r="AC2750" s="20"/>
      <c r="AD2750" s="44"/>
      <c r="AF2750" s="21"/>
    </row>
    <row r="2751" spans="29:32">
      <c r="AC2751" s="20"/>
      <c r="AD2751" s="44"/>
      <c r="AF2751" s="21"/>
    </row>
    <row r="2752" spans="29:32">
      <c r="AC2752" s="20"/>
      <c r="AD2752" s="44"/>
      <c r="AF2752" s="21"/>
    </row>
    <row r="2753" spans="29:32">
      <c r="AC2753" s="20"/>
      <c r="AD2753" s="44"/>
      <c r="AF2753" s="21"/>
    </row>
    <row r="2754" spans="29:32">
      <c r="AC2754" s="20"/>
      <c r="AD2754" s="44"/>
      <c r="AF2754" s="21"/>
    </row>
    <row r="2755" spans="29:32">
      <c r="AC2755" s="20"/>
      <c r="AD2755" s="44"/>
      <c r="AF2755" s="21"/>
    </row>
    <row r="2756" spans="29:32">
      <c r="AC2756" s="20"/>
      <c r="AD2756" s="44"/>
      <c r="AF2756" s="21"/>
    </row>
    <row r="2757" spans="29:32">
      <c r="AC2757" s="20"/>
      <c r="AD2757" s="44"/>
      <c r="AF2757" s="21"/>
    </row>
    <row r="2758" spans="29:32">
      <c r="AC2758" s="20"/>
      <c r="AD2758" s="44"/>
      <c r="AF2758" s="21"/>
    </row>
    <row r="2759" spans="29:32">
      <c r="AC2759" s="20"/>
      <c r="AD2759" s="44"/>
      <c r="AF2759" s="21"/>
    </row>
    <row r="2760" spans="29:32">
      <c r="AC2760" s="20"/>
      <c r="AD2760" s="44"/>
      <c r="AF2760" s="21"/>
    </row>
    <row r="2761" spans="29:32">
      <c r="AC2761" s="20"/>
      <c r="AD2761" s="44"/>
      <c r="AF2761" s="21"/>
    </row>
    <row r="2762" spans="29:32">
      <c r="AC2762" s="20"/>
      <c r="AD2762" s="44"/>
      <c r="AF2762" s="21"/>
    </row>
    <row r="2763" spans="29:32">
      <c r="AC2763" s="20"/>
      <c r="AD2763" s="44"/>
      <c r="AF2763" s="21"/>
    </row>
    <row r="2764" spans="29:32">
      <c r="AC2764" s="20"/>
      <c r="AD2764" s="44"/>
      <c r="AF2764" s="21"/>
    </row>
    <row r="2765" spans="29:32">
      <c r="AC2765" s="20"/>
      <c r="AD2765" s="44"/>
      <c r="AF2765" s="21"/>
    </row>
    <row r="2766" spans="29:32">
      <c r="AC2766" s="20"/>
      <c r="AD2766" s="44"/>
      <c r="AF2766" s="21"/>
    </row>
    <row r="2767" spans="29:32">
      <c r="AC2767" s="20"/>
      <c r="AD2767" s="44"/>
      <c r="AF2767" s="21"/>
    </row>
    <row r="2768" spans="29:32">
      <c r="AC2768" s="20"/>
      <c r="AD2768" s="44"/>
      <c r="AF2768" s="21"/>
    </row>
    <row r="2769" spans="29:32">
      <c r="AC2769" s="20"/>
      <c r="AD2769" s="44"/>
      <c r="AF2769" s="21"/>
    </row>
    <row r="2770" spans="29:32">
      <c r="AC2770" s="20"/>
      <c r="AD2770" s="44"/>
      <c r="AF2770" s="21"/>
    </row>
    <row r="2771" spans="29:32">
      <c r="AC2771" s="20"/>
      <c r="AD2771" s="44"/>
      <c r="AF2771" s="21"/>
    </row>
    <row r="2772" spans="29:32">
      <c r="AC2772" s="20"/>
      <c r="AD2772" s="44"/>
      <c r="AF2772" s="21"/>
    </row>
    <row r="2773" spans="29:32">
      <c r="AC2773" s="20"/>
      <c r="AD2773" s="44"/>
      <c r="AF2773" s="21"/>
    </row>
    <row r="2774" spans="29:32">
      <c r="AC2774" s="20"/>
      <c r="AF2774" s="21"/>
    </row>
    <row r="2775" spans="29:32">
      <c r="AC2775" s="20"/>
      <c r="AF2775" s="21"/>
    </row>
    <row r="2776" spans="29:32">
      <c r="AC2776" s="20"/>
      <c r="AF2776" s="21"/>
    </row>
    <row r="2777" spans="29:32">
      <c r="AC2777" s="20"/>
      <c r="AF2777" s="21"/>
    </row>
    <row r="2778" spans="29:32">
      <c r="AC2778" s="20"/>
      <c r="AF2778" s="21"/>
    </row>
    <row r="2779" spans="29:32">
      <c r="AC2779" s="20"/>
      <c r="AF2779" s="21"/>
    </row>
    <row r="2780" spans="29:32">
      <c r="AC2780" s="20"/>
      <c r="AF2780" s="21"/>
    </row>
    <row r="2781" spans="29:32">
      <c r="AC2781" s="20"/>
      <c r="AF2781" s="21"/>
    </row>
    <row r="2782" spans="29:32">
      <c r="AC2782" s="20"/>
      <c r="AF2782" s="21"/>
    </row>
    <row r="2783" spans="29:32">
      <c r="AC2783" s="20"/>
      <c r="AF2783" s="21"/>
    </row>
    <row r="2784" spans="29:32">
      <c r="AC2784" s="20"/>
      <c r="AF2784" s="21"/>
    </row>
    <row r="2785" spans="29:32">
      <c r="AC2785" s="20"/>
      <c r="AF2785" s="21"/>
    </row>
    <row r="2786" spans="29:32">
      <c r="AC2786" s="20"/>
      <c r="AF2786" s="21"/>
    </row>
    <row r="2787" spans="29:32">
      <c r="AC2787" s="20"/>
      <c r="AF2787" s="21"/>
    </row>
    <row r="2788" spans="16:32">
      <c r="P2788" s="2"/>
      <c r="Q2788" s="3"/>
      <c r="AC2788" s="20"/>
      <c r="AF2788" s="21"/>
    </row>
    <row r="2789" spans="29:32">
      <c r="AC2789" s="20"/>
      <c r="AF2789" s="21"/>
    </row>
    <row r="2790" spans="29:32">
      <c r="AC2790" s="20"/>
      <c r="AF2790" s="21"/>
    </row>
    <row r="2791" spans="29:32">
      <c r="AC2791" s="20"/>
      <c r="AF2791" s="21"/>
    </row>
    <row r="2792" spans="29:32">
      <c r="AC2792" s="20"/>
      <c r="AF2792" s="21"/>
    </row>
    <row r="2793" spans="29:32">
      <c r="AC2793" s="20"/>
      <c r="AF2793" s="21"/>
    </row>
    <row r="2794" spans="29:32">
      <c r="AC2794" s="20"/>
      <c r="AF2794" s="21"/>
    </row>
    <row r="2795" spans="29:32">
      <c r="AC2795" s="20"/>
      <c r="AF2795" s="21"/>
    </row>
    <row r="2796" spans="29:32">
      <c r="AC2796" s="20"/>
      <c r="AF2796" s="21"/>
    </row>
    <row r="2797" spans="29:32">
      <c r="AC2797" s="20"/>
      <c r="AF2797" s="21"/>
    </row>
    <row r="2798" spans="29:32">
      <c r="AC2798" s="20"/>
      <c r="AF2798" s="21"/>
    </row>
    <row r="2799" spans="2:32">
      <c r="B2799" s="8"/>
      <c r="AC2799" s="20"/>
      <c r="AF2799" s="21"/>
    </row>
    <row r="2800" spans="29:32">
      <c r="AC2800" s="20"/>
      <c r="AF2800" s="21"/>
    </row>
    <row r="2801" spans="29:32">
      <c r="AC2801" s="20"/>
      <c r="AF2801" s="21"/>
    </row>
    <row r="2802" spans="29:32">
      <c r="AC2802" s="20"/>
      <c r="AF2802" s="21"/>
    </row>
    <row r="2803" spans="2:32">
      <c r="B2803" s="8"/>
      <c r="AC2803" s="20"/>
      <c r="AF2803" s="21"/>
    </row>
    <row r="2804" spans="2:32">
      <c r="B2804" s="8"/>
      <c r="AC2804" s="20"/>
      <c r="AF2804" s="21"/>
    </row>
    <row r="2805" spans="2:32">
      <c r="B2805" s="8"/>
      <c r="AC2805" s="20"/>
      <c r="AF2805" s="21"/>
    </row>
    <row r="2806" spans="2:32">
      <c r="B2806" s="8"/>
      <c r="AC2806" s="20"/>
      <c r="AF2806" s="21"/>
    </row>
    <row r="2807" spans="2:32">
      <c r="B2807" s="8"/>
      <c r="AC2807" s="20"/>
      <c r="AF2807" s="21"/>
    </row>
    <row r="2808" spans="2:32">
      <c r="B2808" s="8"/>
      <c r="AC2808" s="20"/>
      <c r="AF2808" s="21"/>
    </row>
    <row r="2809" spans="2:32">
      <c r="B2809" s="8"/>
      <c r="AC2809" s="20"/>
      <c r="AF2809" s="21"/>
    </row>
    <row r="2810" spans="2:32">
      <c r="B2810" s="8"/>
      <c r="AC2810" s="20"/>
      <c r="AF2810" s="21"/>
    </row>
    <row r="2811" spans="2:32">
      <c r="B2811" s="8"/>
      <c r="AC2811" s="20"/>
      <c r="AF2811" s="21"/>
    </row>
    <row r="2812" spans="2:32">
      <c r="B2812" s="8"/>
      <c r="AC2812" s="20"/>
      <c r="AF2812" s="21"/>
    </row>
    <row r="2813" spans="29:32">
      <c r="AC2813" s="20"/>
      <c r="AF2813" s="21"/>
    </row>
    <row r="2814" spans="29:32">
      <c r="AC2814" s="20"/>
      <c r="AF2814" s="21"/>
    </row>
    <row r="2815" spans="29:32">
      <c r="AC2815" s="20"/>
      <c r="AF2815" s="21"/>
    </row>
    <row r="2816" spans="29:32">
      <c r="AC2816" s="20"/>
      <c r="AF2816" s="21"/>
    </row>
    <row r="2817" spans="29:32">
      <c r="AC2817" s="20"/>
      <c r="AF2817" s="21"/>
    </row>
    <row r="2818" spans="29:32">
      <c r="AC2818" s="20"/>
      <c r="AF2818" s="21"/>
    </row>
    <row r="2819" spans="29:32">
      <c r="AC2819" s="20"/>
      <c r="AF2819" s="21"/>
    </row>
    <row r="2820" spans="29:32">
      <c r="AC2820" s="20"/>
      <c r="AF2820" s="21"/>
    </row>
    <row r="2821" spans="29:32">
      <c r="AC2821" s="20"/>
      <c r="AF2821" s="21"/>
    </row>
    <row r="2822" spans="16:32">
      <c r="P2822" s="2"/>
      <c r="Q2822" s="3"/>
      <c r="AC2822" s="20"/>
      <c r="AF2822" s="21"/>
    </row>
    <row r="2823" spans="29:32">
      <c r="AC2823" s="20"/>
      <c r="AF2823" s="21"/>
    </row>
    <row r="2824" spans="29:32">
      <c r="AC2824" s="20"/>
      <c r="AF2824" s="21"/>
    </row>
    <row r="2825" spans="29:32">
      <c r="AC2825" s="20"/>
      <c r="AF2825" s="21"/>
    </row>
    <row r="2826" spans="29:32">
      <c r="AC2826" s="20"/>
      <c r="AF2826" s="21"/>
    </row>
    <row r="2827" spans="29:32">
      <c r="AC2827" s="20"/>
      <c r="AF2827" s="21"/>
    </row>
    <row r="2828" spans="29:32">
      <c r="AC2828" s="20"/>
      <c r="AF2828" s="21"/>
    </row>
    <row r="2829" spans="2:32">
      <c r="B2829" s="8"/>
      <c r="AC2829" s="20"/>
      <c r="AF2829" s="21"/>
    </row>
    <row r="2830" spans="29:32">
      <c r="AC2830" s="20"/>
      <c r="AF2830" s="21"/>
    </row>
    <row r="2831" spans="29:32">
      <c r="AC2831" s="20"/>
      <c r="AF2831" s="21"/>
    </row>
    <row r="2832" spans="29:32">
      <c r="AC2832" s="20"/>
      <c r="AF2832" s="21"/>
    </row>
    <row r="2833" spans="29:32">
      <c r="AC2833" s="20"/>
      <c r="AF2833" s="21"/>
    </row>
    <row r="2834" spans="29:32">
      <c r="AC2834" s="20"/>
      <c r="AF2834" s="21"/>
    </row>
    <row r="2835" spans="29:32">
      <c r="AC2835" s="20"/>
      <c r="AF2835" s="21"/>
    </row>
    <row r="2836" spans="29:32">
      <c r="AC2836" s="20"/>
      <c r="AF2836" s="21"/>
    </row>
    <row r="2837" spans="29:32">
      <c r="AC2837" s="20"/>
      <c r="AF2837" s="21"/>
    </row>
    <row r="2838" spans="29:32">
      <c r="AC2838" s="20"/>
      <c r="AF2838" s="21"/>
    </row>
    <row r="2839" spans="29:32">
      <c r="AC2839" s="20"/>
      <c r="AF2839" s="21"/>
    </row>
    <row r="2840" spans="29:32">
      <c r="AC2840" s="20"/>
      <c r="AF2840" s="21"/>
    </row>
    <row r="2841" spans="2:32">
      <c r="B2841" s="8"/>
      <c r="AC2841" s="20"/>
      <c r="AF2841" s="21"/>
    </row>
    <row r="2842" spans="2:32">
      <c r="B2842" s="8"/>
      <c r="AC2842" s="20"/>
      <c r="AF2842" s="21"/>
    </row>
    <row r="2843" spans="2:32">
      <c r="B2843" s="8"/>
      <c r="AC2843" s="20"/>
      <c r="AF2843" s="21"/>
    </row>
    <row r="2844" spans="2:32">
      <c r="B2844" s="8"/>
      <c r="AC2844" s="20"/>
      <c r="AF2844" s="21"/>
    </row>
    <row r="2845" spans="2:32">
      <c r="B2845" s="8"/>
      <c r="AC2845" s="20"/>
      <c r="AF2845" s="21"/>
    </row>
    <row r="2846" spans="2:32">
      <c r="B2846" s="8"/>
      <c r="AC2846" s="20"/>
      <c r="AF2846" s="21"/>
    </row>
    <row r="2847" spans="29:32">
      <c r="AC2847" s="20"/>
      <c r="AF2847" s="21"/>
    </row>
    <row r="2848" spans="29:32">
      <c r="AC2848" s="20"/>
      <c r="AF2848" s="21"/>
    </row>
    <row r="2849" spans="29:32">
      <c r="AC2849" s="20"/>
      <c r="AF2849" s="21"/>
    </row>
    <row r="2850" spans="29:32">
      <c r="AC2850" s="20"/>
      <c r="AF2850" s="21"/>
    </row>
    <row r="2851" spans="29:32">
      <c r="AC2851" s="20"/>
      <c r="AF2851" s="21"/>
    </row>
    <row r="2852" spans="29:32">
      <c r="AC2852" s="20"/>
      <c r="AF2852" s="21"/>
    </row>
    <row r="2853" spans="29:32">
      <c r="AC2853" s="20"/>
      <c r="AF2853" s="21"/>
    </row>
    <row r="2854" spans="29:32">
      <c r="AC2854" s="20"/>
      <c r="AF2854" s="21"/>
    </row>
    <row r="2855" spans="2:32">
      <c r="B2855" s="8"/>
      <c r="AC2855" s="20"/>
      <c r="AF2855" s="21"/>
    </row>
    <row r="2856" spans="2:32">
      <c r="B2856" s="8"/>
      <c r="AC2856" s="20"/>
      <c r="AF2856" s="21"/>
    </row>
    <row r="2857" spans="2:32">
      <c r="B2857" s="8"/>
      <c r="AC2857" s="20"/>
      <c r="AF2857" s="21"/>
    </row>
    <row r="2858" spans="2:32">
      <c r="B2858" s="8"/>
      <c r="AC2858" s="20"/>
      <c r="AF2858" s="21"/>
    </row>
    <row r="2859" spans="2:32">
      <c r="B2859" s="8"/>
      <c r="AC2859" s="20"/>
      <c r="AF2859" s="21"/>
    </row>
    <row r="2860" spans="2:32">
      <c r="B2860" s="8"/>
      <c r="AC2860" s="20"/>
      <c r="AF2860" s="21"/>
    </row>
    <row r="2861" spans="2:32">
      <c r="B2861" s="8"/>
      <c r="AC2861" s="20"/>
      <c r="AF2861" s="21"/>
    </row>
    <row r="2862" spans="2:32">
      <c r="B2862" s="8"/>
      <c r="AC2862" s="20"/>
      <c r="AF2862" s="21"/>
    </row>
    <row r="2863" spans="2:32">
      <c r="B2863" s="8"/>
      <c r="AC2863" s="20"/>
      <c r="AF2863" s="21"/>
    </row>
    <row r="2864" spans="29:32">
      <c r="AC2864" s="20"/>
      <c r="AF2864" s="21"/>
    </row>
    <row r="2865" spans="29:32">
      <c r="AC2865" s="20"/>
      <c r="AF2865" s="21"/>
    </row>
    <row r="2866" spans="29:32">
      <c r="AC2866" s="20"/>
      <c r="AF2866" s="21"/>
    </row>
    <row r="2867" spans="29:32">
      <c r="AC2867" s="20"/>
      <c r="AF2867" s="21"/>
    </row>
    <row r="2868" spans="29:32">
      <c r="AC2868" s="20"/>
      <c r="AF2868" s="21"/>
    </row>
    <row r="2869" spans="29:32">
      <c r="AC2869" s="20"/>
      <c r="AF2869" s="21"/>
    </row>
    <row r="2870" spans="29:32">
      <c r="AC2870" s="20"/>
      <c r="AF2870" s="21"/>
    </row>
    <row r="2871" spans="29:32">
      <c r="AC2871" s="20"/>
      <c r="AF2871" s="21"/>
    </row>
    <row r="2872" spans="29:32">
      <c r="AC2872" s="20"/>
      <c r="AF2872" s="21"/>
    </row>
    <row r="2873" spans="29:32">
      <c r="AC2873" s="20"/>
      <c r="AF2873" s="21"/>
    </row>
    <row r="2874" spans="29:32">
      <c r="AC2874" s="20"/>
      <c r="AF2874" s="21"/>
    </row>
    <row r="2875" spans="29:32">
      <c r="AC2875" s="20"/>
      <c r="AF2875" s="21"/>
    </row>
    <row r="2876" spans="29:32">
      <c r="AC2876" s="20"/>
      <c r="AF2876" s="21"/>
    </row>
    <row r="2877" spans="29:32">
      <c r="AC2877" s="20"/>
      <c r="AF2877" s="21"/>
    </row>
    <row r="2878" spans="29:32">
      <c r="AC2878" s="20"/>
      <c r="AF2878" s="21"/>
    </row>
    <row r="2879" spans="29:32">
      <c r="AC2879" s="20"/>
      <c r="AF2879" s="21"/>
    </row>
    <row r="2880" spans="29:32">
      <c r="AC2880" s="20"/>
      <c r="AF2880" s="21"/>
    </row>
    <row r="2881" spans="29:32">
      <c r="AC2881" s="20"/>
      <c r="AF2881" s="21"/>
    </row>
    <row r="2882" spans="29:32">
      <c r="AC2882" s="20"/>
      <c r="AF2882" s="21"/>
    </row>
    <row r="2883" spans="29:32">
      <c r="AC2883" s="20"/>
      <c r="AF2883" s="21"/>
    </row>
    <row r="2884" spans="29:32">
      <c r="AC2884" s="20"/>
      <c r="AF2884" s="21"/>
    </row>
    <row r="2885" spans="29:32">
      <c r="AC2885" s="20"/>
      <c r="AF2885" s="21"/>
    </row>
    <row r="2886" spans="29:32">
      <c r="AC2886" s="20"/>
      <c r="AF2886" s="21"/>
    </row>
    <row r="2887" spans="29:32">
      <c r="AC2887" s="20"/>
      <c r="AF2887" s="21"/>
    </row>
    <row r="2888" spans="29:32">
      <c r="AC2888" s="20"/>
      <c r="AF2888" s="21"/>
    </row>
    <row r="2889" spans="29:32">
      <c r="AC2889" s="20"/>
      <c r="AF2889" s="21"/>
    </row>
    <row r="2890" spans="2:32">
      <c r="B2890" s="8"/>
      <c r="AC2890" s="20"/>
      <c r="AF2890" s="21"/>
    </row>
    <row r="2891" spans="2:32">
      <c r="B2891" s="8"/>
      <c r="AC2891" s="20"/>
      <c r="AF2891" s="21"/>
    </row>
    <row r="2892" spans="2:32">
      <c r="B2892" s="8"/>
      <c r="AC2892" s="20"/>
      <c r="AF2892" s="21"/>
    </row>
    <row r="2893" spans="2:32">
      <c r="B2893" s="8"/>
      <c r="AC2893" s="20"/>
      <c r="AF2893" s="21"/>
    </row>
    <row r="2894" spans="2:32">
      <c r="B2894" s="8"/>
      <c r="AC2894" s="20"/>
      <c r="AF2894" s="21"/>
    </row>
    <row r="2895" spans="2:32">
      <c r="B2895" s="8"/>
      <c r="AC2895" s="20"/>
      <c r="AF2895" s="21"/>
    </row>
    <row r="2896" ht="19" customHeight="1" spans="29:32">
      <c r="AC2896" s="20"/>
      <c r="AF2896" s="21"/>
    </row>
    <row r="2897" spans="29:32">
      <c r="AC2897" s="20"/>
      <c r="AF2897" s="21"/>
    </row>
    <row r="2898" spans="29:32">
      <c r="AC2898" s="20"/>
      <c r="AF2898" s="21"/>
    </row>
    <row r="2899" spans="29:32">
      <c r="AC2899" s="20"/>
      <c r="AF2899" s="21"/>
    </row>
    <row r="2900" spans="29:32">
      <c r="AC2900" s="20"/>
      <c r="AF2900" s="21"/>
    </row>
    <row r="2901" spans="29:32">
      <c r="AC2901" s="20"/>
      <c r="AF2901" s="21"/>
    </row>
    <row r="2902" spans="29:32">
      <c r="AC2902" s="20"/>
      <c r="AF2902" s="21"/>
    </row>
    <row r="2903" spans="2:32">
      <c r="B2903" s="8"/>
      <c r="AC2903" s="20"/>
      <c r="AF2903" s="21"/>
    </row>
    <row r="2904" spans="2:32">
      <c r="B2904" s="8"/>
      <c r="AC2904" s="20"/>
      <c r="AF2904" s="21"/>
    </row>
    <row r="2905" spans="2:32">
      <c r="B2905" s="41"/>
      <c r="AC2905" s="20"/>
      <c r="AF2905" s="21"/>
    </row>
    <row r="2906" spans="2:32">
      <c r="B2906" s="41"/>
      <c r="AC2906" s="20"/>
      <c r="AF2906" s="21"/>
    </row>
    <row r="2907" spans="2:32">
      <c r="B2907" s="41"/>
      <c r="AC2907" s="20"/>
      <c r="AF2907" s="21"/>
    </row>
    <row r="2908" spans="2:32">
      <c r="B2908" s="41"/>
      <c r="AC2908" s="20"/>
      <c r="AF2908" s="21"/>
    </row>
    <row r="2909" spans="29:32">
      <c r="AC2909" s="20"/>
      <c r="AF2909" s="21"/>
    </row>
    <row r="2910" spans="29:32">
      <c r="AC2910" s="20"/>
      <c r="AF2910" s="21"/>
    </row>
    <row r="2911" spans="29:32">
      <c r="AC2911" s="20"/>
      <c r="AF2911" s="21"/>
    </row>
    <row r="2912" spans="29:32">
      <c r="AC2912" s="20"/>
      <c r="AF2912" s="21"/>
    </row>
    <row r="2913" spans="29:32">
      <c r="AC2913" s="20"/>
      <c r="AF2913" s="21"/>
    </row>
    <row r="2914" spans="29:32">
      <c r="AC2914" s="20"/>
      <c r="AF2914" s="21"/>
    </row>
    <row r="2915" spans="29:32">
      <c r="AC2915" s="20"/>
      <c r="AF2915" s="21"/>
    </row>
    <row r="2916" spans="29:32">
      <c r="AC2916" s="20"/>
      <c r="AF2916" s="21"/>
    </row>
    <row r="2917" spans="29:32">
      <c r="AC2917" s="20"/>
      <c r="AF2917" s="21"/>
    </row>
    <row r="2918" spans="29:32">
      <c r="AC2918" s="20"/>
      <c r="AF2918" s="21"/>
    </row>
    <row r="2919" spans="29:32">
      <c r="AC2919" s="20"/>
      <c r="AF2919" s="21"/>
    </row>
    <row r="2920" spans="29:32">
      <c r="AC2920" s="20"/>
      <c r="AF2920" s="21"/>
    </row>
    <row r="2921" spans="29:32">
      <c r="AC2921" s="20"/>
      <c r="AF2921" s="21"/>
    </row>
    <row r="2922" spans="2:32">
      <c r="B2922" s="15"/>
      <c r="AC2922" s="20"/>
      <c r="AF2922" s="21"/>
    </row>
    <row r="2923" spans="29:32">
      <c r="AC2923" s="20"/>
      <c r="AF2923" s="21"/>
    </row>
    <row r="2924" spans="29:32">
      <c r="AC2924" s="20"/>
      <c r="AF2924" s="21"/>
    </row>
    <row r="2925" spans="29:32">
      <c r="AC2925" s="20"/>
      <c r="AF2925" s="21"/>
    </row>
    <row r="2926" spans="29:32">
      <c r="AC2926" s="20"/>
      <c r="AF2926" s="21"/>
    </row>
    <row r="2927" spans="29:32">
      <c r="AC2927" s="20"/>
      <c r="AF2927" s="21"/>
    </row>
    <row r="2928" spans="29:32">
      <c r="AC2928" s="20"/>
      <c r="AF2928" s="21"/>
    </row>
    <row r="2929" spans="29:32">
      <c r="AC2929" s="20"/>
      <c r="AF2929" s="21"/>
    </row>
    <row r="2930" spans="29:32">
      <c r="AC2930" s="20"/>
      <c r="AF2930" s="21"/>
    </row>
    <row r="2931" spans="29:32">
      <c r="AC2931" s="20"/>
      <c r="AF2931" s="21"/>
    </row>
    <row r="2932" spans="29:32">
      <c r="AC2932" s="20"/>
      <c r="AF2932" s="21"/>
    </row>
    <row r="2933" spans="29:32">
      <c r="AC2933" s="20"/>
      <c r="AF2933" s="21"/>
    </row>
    <row r="2934" spans="29:32">
      <c r="AC2934" s="20"/>
      <c r="AF2934" s="21"/>
    </row>
    <row r="2935" spans="29:32">
      <c r="AC2935" s="20"/>
      <c r="AF2935" s="21"/>
    </row>
    <row r="2936" spans="2:32">
      <c r="B2936" s="8"/>
      <c r="AC2936" s="20"/>
      <c r="AF2936" s="21"/>
    </row>
    <row r="2937" spans="2:32">
      <c r="B2937" s="8"/>
      <c r="AC2937" s="20"/>
      <c r="AF2937" s="21"/>
    </row>
    <row r="2938" spans="2:32">
      <c r="B2938" s="8"/>
      <c r="AC2938" s="20"/>
      <c r="AF2938" s="21"/>
    </row>
    <row r="2939" spans="2:32">
      <c r="B2939" s="8"/>
      <c r="AC2939" s="20"/>
      <c r="AF2939" s="21"/>
    </row>
    <row r="2940" spans="2:32">
      <c r="B2940" s="8"/>
      <c r="AC2940" s="20"/>
      <c r="AF2940" s="21"/>
    </row>
    <row r="2941" spans="2:32">
      <c r="B2941" s="8"/>
      <c r="AC2941" s="20"/>
      <c r="AF2941" s="21"/>
    </row>
    <row r="2942" spans="2:32">
      <c r="B2942" s="8"/>
      <c r="AC2942" s="20"/>
      <c r="AF2942" s="21"/>
    </row>
    <row r="2943" spans="2:32">
      <c r="B2943" s="8"/>
      <c r="AC2943" s="20"/>
      <c r="AF2943" s="21"/>
    </row>
    <row r="2944" spans="2:32">
      <c r="B2944" s="8"/>
      <c r="AC2944" s="20"/>
      <c r="AF2944" s="21"/>
    </row>
    <row r="2945" spans="2:32">
      <c r="B2945" s="8"/>
      <c r="AC2945" s="20"/>
      <c r="AF2945" s="21"/>
    </row>
    <row r="2946" spans="2:32">
      <c r="B2946" s="8"/>
      <c r="AC2946" s="20"/>
      <c r="AF2946" s="21"/>
    </row>
    <row r="2947" spans="2:32">
      <c r="B2947" s="8"/>
      <c r="AC2947" s="20"/>
      <c r="AF2947" s="21"/>
    </row>
    <row r="2948" spans="2:32">
      <c r="B2948" s="8"/>
      <c r="AC2948" s="20"/>
      <c r="AF2948" s="21"/>
    </row>
    <row r="2949" spans="29:32">
      <c r="AC2949" s="20"/>
      <c r="AF2949" s="21"/>
    </row>
    <row r="2950" spans="29:32">
      <c r="AC2950" s="20"/>
      <c r="AF2950" s="21"/>
    </row>
    <row r="2951" spans="29:32">
      <c r="AC2951" s="20"/>
      <c r="AF2951" s="21"/>
    </row>
    <row r="2952" spans="2:32">
      <c r="B2952" s="8"/>
      <c r="AC2952" s="20"/>
      <c r="AF2952" s="21"/>
    </row>
    <row r="2953" spans="2:32">
      <c r="B2953" s="8"/>
      <c r="AC2953" s="20"/>
      <c r="AF2953" s="21"/>
    </row>
    <row r="2954" spans="2:32">
      <c r="B2954" s="8"/>
      <c r="AC2954" s="20"/>
      <c r="AF2954" s="21"/>
    </row>
    <row r="2955" spans="2:32">
      <c r="B2955" s="8"/>
      <c r="AC2955" s="20"/>
      <c r="AF2955" s="21"/>
    </row>
    <row r="2956" spans="29:32">
      <c r="AC2956" s="20"/>
      <c r="AF2956" s="21"/>
    </row>
    <row r="2957" spans="29:32">
      <c r="AC2957" s="20"/>
      <c r="AF2957" s="21"/>
    </row>
    <row r="2958" spans="29:32">
      <c r="AC2958" s="20"/>
      <c r="AF2958" s="21"/>
    </row>
    <row r="2959" spans="29:32">
      <c r="AC2959" s="20"/>
      <c r="AF2959" s="21"/>
    </row>
    <row r="2960" spans="29:32">
      <c r="AC2960" s="20"/>
      <c r="AF2960" s="21"/>
    </row>
    <row r="2961" spans="29:32">
      <c r="AC2961" s="20"/>
      <c r="AF2961" s="21"/>
    </row>
    <row r="2962" spans="29:32">
      <c r="AC2962" s="20"/>
      <c r="AF2962" s="21"/>
    </row>
    <row r="2963" spans="29:32">
      <c r="AC2963" s="20"/>
      <c r="AF2963" s="21"/>
    </row>
    <row r="2964" spans="29:32">
      <c r="AC2964" s="20"/>
      <c r="AF2964" s="21"/>
    </row>
    <row r="2965" spans="29:32">
      <c r="AC2965" s="20"/>
      <c r="AF2965" s="21"/>
    </row>
    <row r="2966" spans="29:32">
      <c r="AC2966" s="20"/>
      <c r="AF2966" s="21"/>
    </row>
    <row r="2967" spans="29:32">
      <c r="AC2967" s="20"/>
      <c r="AF2967" s="21"/>
    </row>
    <row r="2968" spans="29:32">
      <c r="AC2968" s="20"/>
      <c r="AF2968" s="21"/>
    </row>
    <row r="2969" spans="29:32">
      <c r="AC2969" s="20"/>
      <c r="AF2969" s="21"/>
    </row>
    <row r="2970" spans="29:32">
      <c r="AC2970" s="20"/>
      <c r="AF2970" s="21"/>
    </row>
    <row r="2971" spans="29:32">
      <c r="AC2971" s="20"/>
      <c r="AF2971" s="21"/>
    </row>
    <row r="2972" spans="29:32">
      <c r="AC2972" s="20"/>
      <c r="AF2972" s="21"/>
    </row>
    <row r="2973" spans="29:32">
      <c r="AC2973" s="20"/>
      <c r="AF2973" s="21"/>
    </row>
    <row r="2974" spans="29:32">
      <c r="AC2974" s="20"/>
      <c r="AF2974" s="21"/>
    </row>
    <row r="2975" spans="29:32">
      <c r="AC2975" s="20"/>
      <c r="AF2975" s="21"/>
    </row>
    <row r="2976" spans="29:32">
      <c r="AC2976" s="20"/>
      <c r="AF2976" s="21"/>
    </row>
    <row r="2977" spans="2:32">
      <c r="B2977" s="8"/>
      <c r="AC2977" s="20"/>
      <c r="AF2977" s="21"/>
    </row>
    <row r="2978" spans="2:32">
      <c r="B2978" s="8"/>
      <c r="AC2978" s="20"/>
      <c r="AF2978" s="21"/>
    </row>
    <row r="2979" spans="2:32">
      <c r="B2979" s="8"/>
      <c r="AC2979" s="20"/>
      <c r="AF2979" s="21"/>
    </row>
    <row r="2980" spans="29:32">
      <c r="AC2980" s="20"/>
      <c r="AF2980" s="21"/>
    </row>
    <row r="2981" spans="29:32">
      <c r="AC2981" s="20"/>
      <c r="AF2981" s="21"/>
    </row>
    <row r="2982" spans="29:32">
      <c r="AC2982" s="20"/>
      <c r="AF2982" s="21"/>
    </row>
    <row r="2983" spans="29:32">
      <c r="AC2983" s="20"/>
      <c r="AF2983" s="21"/>
    </row>
    <row r="2984" spans="29:32">
      <c r="AC2984" s="20"/>
      <c r="AF2984" s="21"/>
    </row>
    <row r="2985" spans="29:32">
      <c r="AC2985" s="20"/>
      <c r="AF2985" s="21"/>
    </row>
    <row r="2986" spans="29:32">
      <c r="AC2986" s="20"/>
      <c r="AF2986" s="21"/>
    </row>
    <row r="2987" spans="29:32">
      <c r="AC2987" s="20"/>
      <c r="AF2987" s="21"/>
    </row>
    <row r="2988" spans="29:32">
      <c r="AC2988" s="20"/>
      <c r="AF2988" s="21"/>
    </row>
    <row r="2989" spans="29:32">
      <c r="AC2989" s="20"/>
      <c r="AF2989" s="21"/>
    </row>
    <row r="2990" spans="29:32">
      <c r="AC2990" s="20"/>
      <c r="AF2990" s="21"/>
    </row>
    <row r="2991" spans="29:32">
      <c r="AC2991" s="20"/>
      <c r="AF2991" s="21"/>
    </row>
    <row r="2992" spans="29:32">
      <c r="AC2992" s="20"/>
      <c r="AF2992" s="21"/>
    </row>
    <row r="2993" spans="29:32">
      <c r="AC2993" s="20"/>
      <c r="AF2993" s="21"/>
    </row>
    <row r="2994" spans="29:32">
      <c r="AC2994" s="20"/>
      <c r="AF2994" s="21"/>
    </row>
    <row r="2995" spans="29:32">
      <c r="AC2995" s="20"/>
      <c r="AF2995" s="21"/>
    </row>
    <row r="2996" spans="29:32">
      <c r="AC2996" s="20"/>
      <c r="AF2996" s="21"/>
    </row>
    <row r="2997" spans="2:32">
      <c r="B2997" s="8"/>
      <c r="AC2997" s="20"/>
      <c r="AF2997" s="21"/>
    </row>
    <row r="2998" spans="2:32">
      <c r="B2998" s="8"/>
      <c r="AC2998" s="20"/>
      <c r="AF2998" s="21"/>
    </row>
    <row r="2999" spans="2:32">
      <c r="B2999" s="8"/>
      <c r="AC2999" s="20"/>
      <c r="AF2999" s="21"/>
    </row>
    <row r="3000" spans="2:32">
      <c r="B3000" s="8"/>
      <c r="AC3000" s="20"/>
      <c r="AF3000" s="21"/>
    </row>
    <row r="3001" spans="2:32">
      <c r="B3001" s="8"/>
      <c r="AC3001" s="20"/>
      <c r="AF3001" s="21"/>
    </row>
    <row r="3002" spans="2:32">
      <c r="B3002" s="8"/>
      <c r="AC3002" s="20"/>
      <c r="AF3002" s="21"/>
    </row>
    <row r="3003" spans="29:32">
      <c r="AC3003" s="20"/>
      <c r="AF3003" s="21"/>
    </row>
    <row r="3004" spans="29:32">
      <c r="AC3004" s="20"/>
      <c r="AF3004" s="21"/>
    </row>
    <row r="3005" spans="29:32">
      <c r="AC3005" s="20"/>
      <c r="AF3005" s="21"/>
    </row>
    <row r="3006" spans="29:32">
      <c r="AC3006" s="20"/>
      <c r="AF3006" s="21"/>
    </row>
    <row r="3007" spans="29:32">
      <c r="AC3007" s="20"/>
      <c r="AF3007" s="21"/>
    </row>
    <row r="3008" spans="29:32">
      <c r="AC3008" s="20"/>
      <c r="AF3008" s="21"/>
    </row>
    <row r="3009" spans="29:32">
      <c r="AC3009" s="20"/>
      <c r="AF3009" s="21"/>
    </row>
    <row r="3010" spans="29:32">
      <c r="AC3010" s="20"/>
      <c r="AF3010" s="21"/>
    </row>
    <row r="3011" spans="29:32">
      <c r="AC3011" s="20"/>
      <c r="AF3011" s="21"/>
    </row>
    <row r="3012" spans="29:32">
      <c r="AC3012" s="20"/>
      <c r="AF3012" s="21"/>
    </row>
    <row r="3013" spans="2:32">
      <c r="B3013" s="8"/>
      <c r="AC3013" s="20"/>
      <c r="AF3013" s="21"/>
    </row>
    <row r="3014" spans="2:32">
      <c r="B3014" s="8"/>
      <c r="AC3014" s="20"/>
      <c r="AF3014" s="21"/>
    </row>
    <row r="3015" spans="29:32">
      <c r="AC3015" s="20"/>
      <c r="AF3015" s="21"/>
    </row>
    <row r="3016" spans="29:32">
      <c r="AC3016" s="20"/>
      <c r="AF3016" s="21"/>
    </row>
    <row r="3017" spans="29:32">
      <c r="AC3017" s="20"/>
      <c r="AF3017" s="21"/>
    </row>
    <row r="3018" spans="29:32">
      <c r="AC3018" s="20"/>
      <c r="AF3018" s="21"/>
    </row>
    <row r="3019" spans="29:32">
      <c r="AC3019" s="20"/>
      <c r="AF3019" s="21"/>
    </row>
    <row r="3020" spans="29:32">
      <c r="AC3020" s="20"/>
      <c r="AF3020" s="21"/>
    </row>
    <row r="3021" spans="29:32">
      <c r="AC3021" s="20"/>
      <c r="AF3021" s="21"/>
    </row>
    <row r="3022" spans="29:32">
      <c r="AC3022" s="20"/>
      <c r="AF3022" s="21"/>
    </row>
    <row r="3023" spans="29:32">
      <c r="AC3023" s="20"/>
      <c r="AF3023" s="21"/>
    </row>
    <row r="3024" spans="29:32">
      <c r="AC3024" s="20"/>
      <c r="AF3024" s="21"/>
    </row>
    <row r="3025" spans="29:32">
      <c r="AC3025" s="20"/>
      <c r="AF3025" s="21"/>
    </row>
    <row r="3026" spans="29:32">
      <c r="AC3026" s="20"/>
      <c r="AF3026" s="21"/>
    </row>
    <row r="3027" spans="29:32">
      <c r="AC3027" s="20"/>
      <c r="AF3027" s="21"/>
    </row>
    <row r="3028" spans="29:32">
      <c r="AC3028" s="20"/>
      <c r="AF3028" s="21"/>
    </row>
    <row r="3029" spans="29:32">
      <c r="AC3029" s="20"/>
      <c r="AF3029" s="21"/>
    </row>
    <row r="3030" spans="29:32">
      <c r="AC3030" s="20"/>
      <c r="AF3030" s="21"/>
    </row>
    <row r="3031" spans="2:32">
      <c r="B3031" s="8"/>
      <c r="AC3031" s="20"/>
      <c r="AF3031" s="21"/>
    </row>
    <row r="3032" spans="2:32">
      <c r="B3032" s="8"/>
      <c r="AC3032" s="20"/>
      <c r="AF3032" s="21"/>
    </row>
    <row r="3033" spans="2:32">
      <c r="B3033" s="8"/>
      <c r="AC3033" s="20"/>
      <c r="AF3033" s="21"/>
    </row>
    <row r="3034" spans="2:32">
      <c r="B3034" s="8"/>
      <c r="AC3034" s="20"/>
      <c r="AF3034" s="21"/>
    </row>
    <row r="3035" spans="2:32">
      <c r="B3035" s="8"/>
      <c r="AC3035" s="20"/>
      <c r="AF3035" s="21"/>
    </row>
    <row r="3036" spans="2:32">
      <c r="B3036" s="8"/>
      <c r="AC3036" s="20"/>
      <c r="AF3036" s="21"/>
    </row>
    <row r="3037" spans="2:32">
      <c r="B3037" s="8"/>
      <c r="AC3037" s="20"/>
      <c r="AF3037" s="21"/>
    </row>
    <row r="3038" spans="2:32">
      <c r="B3038" s="8"/>
      <c r="AC3038" s="20"/>
      <c r="AF3038" s="21"/>
    </row>
    <row r="3039" spans="29:32">
      <c r="AC3039" s="20"/>
      <c r="AF3039" s="21"/>
    </row>
    <row r="3040" spans="29:32">
      <c r="AC3040" s="20"/>
      <c r="AF3040" s="21"/>
    </row>
    <row r="3041" spans="29:32">
      <c r="AC3041" s="20"/>
      <c r="AF3041" s="21"/>
    </row>
    <row r="3042" spans="2:32">
      <c r="B3042" s="37"/>
      <c r="AC3042" s="20"/>
      <c r="AF3042" s="21"/>
    </row>
    <row r="3043" spans="29:32">
      <c r="AC3043" s="20"/>
      <c r="AF3043" s="21"/>
    </row>
    <row r="3044" spans="29:32">
      <c r="AC3044" s="20"/>
      <c r="AF3044" s="21"/>
    </row>
    <row r="3045" spans="29:32">
      <c r="AC3045" s="20"/>
      <c r="AF3045" s="21"/>
    </row>
    <row r="3046" spans="29:32">
      <c r="AC3046" s="20"/>
      <c r="AF3046" s="21"/>
    </row>
    <row r="3047" spans="29:32">
      <c r="AC3047" s="20"/>
      <c r="AF3047" s="21"/>
    </row>
    <row r="3048" spans="29:32">
      <c r="AC3048" s="20"/>
      <c r="AF3048" s="21"/>
    </row>
    <row r="3049" spans="29:32">
      <c r="AC3049" s="20"/>
      <c r="AF3049" s="21"/>
    </row>
    <row r="3050" spans="29:32">
      <c r="AC3050" s="20"/>
      <c r="AF3050" s="21"/>
    </row>
    <row r="3051" spans="29:32">
      <c r="AC3051" s="20"/>
      <c r="AF3051" s="21"/>
    </row>
    <row r="3052" spans="2:32">
      <c r="B3052" s="8"/>
      <c r="AC3052" s="20"/>
      <c r="AF3052" s="21"/>
    </row>
    <row r="3053" spans="2:32">
      <c r="B3053" s="8"/>
      <c r="AC3053" s="20"/>
      <c r="AF3053" s="21"/>
    </row>
    <row r="3054" spans="29:32">
      <c r="AC3054" s="20"/>
      <c r="AF3054" s="21"/>
    </row>
    <row r="3055" spans="29:32">
      <c r="AC3055" s="20"/>
      <c r="AF3055" s="21"/>
    </row>
    <row r="3056" spans="8:32">
      <c r="H3056" s="3"/>
      <c r="I3056" s="2"/>
      <c r="O3056" s="3"/>
      <c r="P3056" s="2"/>
      <c r="AC3056" s="20"/>
      <c r="AF3056" s="21"/>
    </row>
    <row r="3057" spans="29:32">
      <c r="AC3057" s="20"/>
      <c r="AF3057" s="21"/>
    </row>
    <row r="3058" spans="29:32">
      <c r="AC3058" s="20"/>
      <c r="AF3058" s="21"/>
    </row>
    <row r="3059" spans="29:32">
      <c r="AC3059" s="20"/>
      <c r="AF3059" s="21"/>
    </row>
    <row r="3060" spans="29:32">
      <c r="AC3060" s="20"/>
      <c r="AF3060" s="21"/>
    </row>
    <row r="3061" spans="29:32">
      <c r="AC3061" s="20"/>
      <c r="AF3061" s="21"/>
    </row>
    <row r="3062" spans="29:32">
      <c r="AC3062" s="20"/>
      <c r="AF3062" s="21"/>
    </row>
    <row r="3063" spans="29:32">
      <c r="AC3063" s="20"/>
      <c r="AF3063" s="21"/>
    </row>
    <row r="3064" spans="29:32">
      <c r="AC3064" s="20"/>
      <c r="AF3064" s="21"/>
    </row>
    <row r="3065" spans="29:32">
      <c r="AC3065" s="20"/>
      <c r="AF3065" s="21"/>
    </row>
    <row r="3066" spans="2:32">
      <c r="B3066" s="8"/>
      <c r="AC3066" s="20"/>
      <c r="AF3066" s="21"/>
    </row>
    <row r="3067" spans="2:32">
      <c r="B3067" s="8"/>
      <c r="AC3067" s="20"/>
      <c r="AF3067" s="21"/>
    </row>
    <row r="3068" spans="2:32">
      <c r="B3068" s="8"/>
      <c r="AC3068" s="20"/>
      <c r="AF3068" s="21"/>
    </row>
    <row r="3069" spans="29:32">
      <c r="AC3069" s="20"/>
      <c r="AF3069" s="21"/>
    </row>
    <row r="3070" spans="29:32">
      <c r="AC3070" s="20"/>
      <c r="AF3070" s="21"/>
    </row>
    <row r="3071" spans="29:32">
      <c r="AC3071" s="20"/>
      <c r="AF3071" s="21"/>
    </row>
    <row r="3072" spans="29:32">
      <c r="AC3072" s="20"/>
      <c r="AF3072" s="21"/>
    </row>
    <row r="3073" spans="29:32">
      <c r="AC3073" s="20"/>
      <c r="AF3073" s="21"/>
    </row>
    <row r="3074" spans="29:32">
      <c r="AC3074" s="20"/>
      <c r="AF3074" s="21"/>
    </row>
    <row r="3075" spans="9:32">
      <c r="I3075" s="2"/>
      <c r="J3075" s="3"/>
      <c r="P3075" s="2"/>
      <c r="Q3075" s="3"/>
      <c r="AC3075" s="20"/>
      <c r="AF3075" s="21"/>
    </row>
    <row r="3076" spans="29:32">
      <c r="AC3076" s="20"/>
      <c r="AF3076" s="21"/>
    </row>
    <row r="3077" spans="29:32">
      <c r="AC3077" s="20"/>
      <c r="AF3077" s="21"/>
    </row>
    <row r="3078" spans="29:32">
      <c r="AC3078" s="20"/>
      <c r="AF3078" s="21"/>
    </row>
    <row r="3079" spans="29:32">
      <c r="AC3079" s="20"/>
      <c r="AF3079" s="21"/>
    </row>
    <row r="3080" spans="29:32">
      <c r="AC3080" s="20"/>
      <c r="AF3080" s="21"/>
    </row>
    <row r="3081" spans="29:32">
      <c r="AC3081" s="20"/>
      <c r="AF3081" s="21"/>
    </row>
    <row r="3082" spans="29:32">
      <c r="AC3082" s="20"/>
      <c r="AF3082" s="21"/>
    </row>
    <row r="3083" spans="29:32">
      <c r="AC3083" s="20"/>
      <c r="AF3083" s="21"/>
    </row>
    <row r="3084" spans="29:32">
      <c r="AC3084" s="20"/>
      <c r="AF3084" s="21"/>
    </row>
    <row r="3085" spans="2:32">
      <c r="B3085" s="8"/>
      <c r="AC3085" s="20"/>
      <c r="AF3085" s="21"/>
    </row>
    <row r="3086" spans="2:32">
      <c r="B3086" s="8"/>
      <c r="AC3086" s="20"/>
      <c r="AF3086" s="21"/>
    </row>
    <row r="3087" spans="29:32">
      <c r="AC3087" s="20"/>
      <c r="AF3087" s="21"/>
    </row>
    <row r="3088" spans="29:32">
      <c r="AC3088" s="20"/>
      <c r="AF3088" s="21"/>
    </row>
    <row r="3089" spans="2:32">
      <c r="B3089" s="8"/>
      <c r="AC3089" s="20"/>
      <c r="AF3089" s="21"/>
    </row>
    <row r="3090" spans="2:32">
      <c r="B3090" s="8"/>
      <c r="AC3090" s="20"/>
      <c r="AF3090" s="21"/>
    </row>
    <row r="3091" spans="2:32">
      <c r="B3091" s="8"/>
      <c r="AC3091" s="20"/>
      <c r="AF3091" s="21"/>
    </row>
    <row r="3092" spans="29:32">
      <c r="AC3092" s="20"/>
      <c r="AF3092" s="21"/>
    </row>
    <row r="3093" spans="29:32">
      <c r="AC3093" s="20"/>
      <c r="AF3093" s="21"/>
    </row>
    <row r="3094" spans="9:32">
      <c r="I3094" s="2"/>
      <c r="J3094" s="3"/>
      <c r="P3094" s="2"/>
      <c r="Q3094" s="3"/>
      <c r="AC3094" s="20"/>
      <c r="AF3094" s="21"/>
    </row>
    <row r="3095" spans="29:32">
      <c r="AC3095" s="20"/>
      <c r="AF3095" s="21"/>
    </row>
    <row r="3096" spans="29:32">
      <c r="AC3096" s="20"/>
      <c r="AF3096" s="21"/>
    </row>
    <row r="3097" spans="29:32">
      <c r="AC3097" s="20"/>
      <c r="AF3097" s="21"/>
    </row>
    <row r="3098" spans="29:32">
      <c r="AC3098" s="20"/>
      <c r="AF3098" s="21"/>
    </row>
    <row r="3099" spans="29:32">
      <c r="AC3099" s="20"/>
      <c r="AF3099" s="21"/>
    </row>
    <row r="3100" spans="29:32">
      <c r="AC3100" s="20"/>
      <c r="AF3100" s="21"/>
    </row>
    <row r="3101" spans="29:32">
      <c r="AC3101" s="20"/>
      <c r="AF3101" s="21"/>
    </row>
    <row r="3102" spans="29:32">
      <c r="AC3102" s="20"/>
      <c r="AF3102" s="21"/>
    </row>
    <row r="3103" spans="29:32">
      <c r="AC3103" s="20"/>
      <c r="AF3103" s="21"/>
    </row>
    <row r="3104" spans="29:32">
      <c r="AC3104" s="20"/>
      <c r="AF3104" s="21"/>
    </row>
    <row r="3105" spans="29:32">
      <c r="AC3105" s="20"/>
      <c r="AF3105" s="21"/>
    </row>
    <row r="3106" spans="2:32">
      <c r="B3106" s="8"/>
      <c r="AC3106" s="20"/>
      <c r="AF3106" s="21"/>
    </row>
    <row r="3107" spans="2:32">
      <c r="B3107" s="8"/>
      <c r="AC3107" s="20"/>
      <c r="AF3107" s="21"/>
    </row>
    <row r="3108" spans="2:32">
      <c r="B3108" s="8"/>
      <c r="AC3108" s="20"/>
      <c r="AF3108" s="21"/>
    </row>
    <row r="3109" spans="2:32">
      <c r="B3109" s="8"/>
      <c r="AC3109" s="20"/>
      <c r="AF3109" s="21"/>
    </row>
    <row r="3110" spans="2:32">
      <c r="B3110" s="8"/>
      <c r="AC3110" s="20"/>
      <c r="AF3110" s="21"/>
    </row>
    <row r="3111" spans="29:32">
      <c r="AC3111" s="20"/>
      <c r="AF3111" s="21"/>
    </row>
    <row r="3112" spans="2:32">
      <c r="B3112" s="8"/>
      <c r="AC3112" s="20"/>
      <c r="AF3112" s="21"/>
    </row>
    <row r="3113" spans="2:32">
      <c r="B3113" s="8"/>
      <c r="AC3113" s="20"/>
      <c r="AF3113" s="21"/>
    </row>
    <row r="3114" spans="2:32">
      <c r="B3114" s="8"/>
      <c r="AC3114" s="20"/>
      <c r="AF3114" s="21"/>
    </row>
    <row r="3115" spans="2:32">
      <c r="B3115" s="8"/>
      <c r="AC3115" s="20"/>
      <c r="AF3115" s="21"/>
    </row>
    <row r="3116" spans="2:32">
      <c r="B3116" s="8"/>
      <c r="AC3116" s="20"/>
      <c r="AF3116" s="21"/>
    </row>
    <row r="3117" spans="29:32">
      <c r="AC3117" s="20"/>
      <c r="AF3117" s="21"/>
    </row>
    <row r="3118" spans="29:32">
      <c r="AC3118" s="20"/>
      <c r="AF3118" s="21"/>
    </row>
    <row r="3119" spans="29:32">
      <c r="AC3119" s="20"/>
      <c r="AF3119" s="21"/>
    </row>
    <row r="3120" spans="29:32">
      <c r="AC3120" s="20"/>
      <c r="AF3120" s="21"/>
    </row>
    <row r="3121" spans="29:32">
      <c r="AC3121" s="20"/>
      <c r="AF3121" s="21"/>
    </row>
    <row r="3122" spans="29:32">
      <c r="AC3122" s="20"/>
      <c r="AF3122" s="21"/>
    </row>
    <row r="3123" spans="9:32">
      <c r="I3123" s="2"/>
      <c r="J3123" s="3"/>
      <c r="P3123" s="2"/>
      <c r="Q3123" s="3"/>
      <c r="AC3123" s="20"/>
      <c r="AF3123" s="21"/>
    </row>
    <row r="3124" spans="29:32">
      <c r="AC3124" s="20"/>
      <c r="AF3124" s="21"/>
    </row>
    <row r="3125" spans="29:32">
      <c r="AC3125" s="20"/>
      <c r="AF3125" s="21"/>
    </row>
    <row r="3126" spans="29:32">
      <c r="AC3126" s="20"/>
      <c r="AF3126" s="21"/>
    </row>
    <row r="3127" spans="29:32">
      <c r="AC3127" s="20"/>
      <c r="AF3127" s="21"/>
    </row>
    <row r="3128" spans="29:32">
      <c r="AC3128" s="20"/>
      <c r="AF3128" s="21"/>
    </row>
    <row r="3129" spans="29:32">
      <c r="AC3129" s="20"/>
      <c r="AF3129" s="21"/>
    </row>
    <row r="3130" spans="29:32">
      <c r="AC3130" s="20"/>
      <c r="AF3130" s="21"/>
    </row>
    <row r="3131" spans="29:32">
      <c r="AC3131" s="20"/>
      <c r="AF3131" s="21"/>
    </row>
    <row r="3132" spans="29:32">
      <c r="AC3132" s="20"/>
      <c r="AF3132" s="21"/>
    </row>
    <row r="3133" spans="29:32">
      <c r="AC3133" s="20"/>
      <c r="AF3133" s="21"/>
    </row>
    <row r="3134" spans="29:32">
      <c r="AC3134" s="20"/>
      <c r="AF3134" s="21"/>
    </row>
    <row r="3135" spans="29:32">
      <c r="AC3135" s="20"/>
      <c r="AF3135" s="21"/>
    </row>
    <row r="3136" spans="29:32">
      <c r="AC3136" s="20"/>
      <c r="AF3136" s="21"/>
    </row>
    <row r="3137" spans="29:32">
      <c r="AC3137" s="20"/>
      <c r="AF3137" s="21"/>
    </row>
    <row r="3138" spans="29:32">
      <c r="AC3138" s="20"/>
      <c r="AF3138" s="21"/>
    </row>
    <row r="3139" spans="29:32">
      <c r="AC3139" s="20"/>
      <c r="AF3139" s="21"/>
    </row>
    <row r="3140" spans="2:32">
      <c r="B3140" s="8"/>
      <c r="AC3140" s="20"/>
      <c r="AF3140" s="21"/>
    </row>
    <row r="3141" spans="2:32">
      <c r="B3141" s="8"/>
      <c r="AC3141" s="20"/>
      <c r="AF3141" s="21"/>
    </row>
    <row r="3142" spans="2:32">
      <c r="B3142" s="8"/>
      <c r="AC3142" s="20"/>
      <c r="AF3142" s="21"/>
    </row>
    <row r="3143" spans="2:32">
      <c r="B3143" s="8"/>
      <c r="AC3143" s="20"/>
      <c r="AF3143" s="21"/>
    </row>
    <row r="3144" spans="2:32">
      <c r="B3144" s="8"/>
      <c r="AC3144" s="20"/>
      <c r="AF3144" s="21"/>
    </row>
    <row r="3145" spans="29:32">
      <c r="AC3145" s="20"/>
      <c r="AF3145" s="21"/>
    </row>
    <row r="3146" spans="29:32">
      <c r="AC3146" s="20"/>
      <c r="AF3146" s="21"/>
    </row>
    <row r="3147" spans="29:32">
      <c r="AC3147" s="20"/>
      <c r="AF3147" s="21"/>
    </row>
    <row r="3148" spans="2:32">
      <c r="B3148" s="8"/>
      <c r="AC3148" s="20"/>
      <c r="AF3148" s="21"/>
    </row>
    <row r="3149" spans="2:32">
      <c r="B3149" s="8"/>
      <c r="AC3149" s="20"/>
      <c r="AF3149" s="21"/>
    </row>
    <row r="3150" spans="2:32">
      <c r="B3150" s="8"/>
      <c r="AC3150" s="20"/>
      <c r="AF3150" s="21"/>
    </row>
    <row r="3151" spans="2:32">
      <c r="B3151" s="8"/>
      <c r="AC3151" s="20"/>
      <c r="AF3151" s="21"/>
    </row>
    <row r="3152" spans="2:32">
      <c r="B3152" s="40"/>
      <c r="AC3152" s="20"/>
      <c r="AF3152" s="21"/>
    </row>
    <row r="3153" spans="2:32">
      <c r="B3153" s="8"/>
      <c r="AC3153" s="20"/>
      <c r="AF3153" s="21"/>
    </row>
    <row r="3154" spans="2:32">
      <c r="B3154" s="8"/>
      <c r="AC3154" s="20"/>
      <c r="AF3154" s="21"/>
    </row>
    <row r="3155" spans="2:32">
      <c r="B3155" s="8"/>
      <c r="AC3155" s="20"/>
      <c r="AF3155" s="21"/>
    </row>
    <row r="3156" spans="2:32">
      <c r="B3156" s="8"/>
      <c r="AC3156" s="20"/>
      <c r="AF3156" s="21"/>
    </row>
    <row r="3157" spans="2:32">
      <c r="B3157" s="8"/>
      <c r="AC3157" s="20"/>
      <c r="AF3157" s="21"/>
    </row>
    <row r="3158" spans="2:32">
      <c r="B3158" s="8"/>
      <c r="AC3158" s="20"/>
      <c r="AF3158" s="21"/>
    </row>
    <row r="3159" spans="29:32">
      <c r="AC3159" s="20"/>
      <c r="AF3159" s="21"/>
    </row>
    <row r="3160" spans="29:32">
      <c r="AC3160" s="20"/>
      <c r="AF3160" s="21"/>
    </row>
    <row r="3161" spans="29:32">
      <c r="AC3161" s="20"/>
      <c r="AF3161" s="21"/>
    </row>
    <row r="3162" spans="29:32">
      <c r="AC3162" s="20"/>
      <c r="AF3162" s="21"/>
    </row>
    <row r="3163" spans="29:32">
      <c r="AC3163" s="20"/>
      <c r="AF3163" s="21"/>
    </row>
    <row r="3164" spans="29:32">
      <c r="AC3164" s="20"/>
      <c r="AF3164" s="21"/>
    </row>
    <row r="3165" spans="29:32">
      <c r="AC3165" s="20"/>
      <c r="AF3165" s="21"/>
    </row>
    <row r="3166" spans="29:32">
      <c r="AC3166" s="20"/>
      <c r="AF3166" s="21"/>
    </row>
    <row r="3167" spans="29:32">
      <c r="AC3167" s="20"/>
      <c r="AF3167" s="21"/>
    </row>
    <row r="3168" spans="29:32">
      <c r="AC3168" s="20"/>
      <c r="AF3168" s="21"/>
    </row>
    <row r="3169" spans="16:32">
      <c r="P3169" s="2"/>
      <c r="Q3169" s="3"/>
      <c r="AC3169" s="20"/>
      <c r="AF3169" s="21"/>
    </row>
    <row r="3170" spans="29:32">
      <c r="AC3170" s="20"/>
      <c r="AF3170" s="21"/>
    </row>
    <row r="3171" spans="2:32">
      <c r="B3171" s="8"/>
      <c r="AC3171" s="20"/>
      <c r="AF3171" s="21"/>
    </row>
    <row r="3172" spans="2:32">
      <c r="B3172" s="8"/>
      <c r="AC3172" s="20"/>
      <c r="AF3172" s="21"/>
    </row>
    <row r="3173" spans="2:32">
      <c r="B3173" s="8"/>
      <c r="AC3173" s="20"/>
      <c r="AF3173" s="21"/>
    </row>
    <row r="3174" spans="2:32">
      <c r="B3174" s="8"/>
      <c r="AC3174" s="20"/>
      <c r="AF3174" s="21"/>
    </row>
    <row r="3175" spans="2:32">
      <c r="B3175" s="8"/>
      <c r="AC3175" s="20"/>
      <c r="AF3175" s="21"/>
    </row>
    <row r="3176" spans="2:32">
      <c r="B3176" s="8"/>
      <c r="AC3176" s="20"/>
      <c r="AF3176" s="21"/>
    </row>
    <row r="3177" spans="2:32">
      <c r="B3177" s="8"/>
      <c r="AC3177" s="20"/>
      <c r="AF3177" s="21"/>
    </row>
    <row r="3178" spans="2:32">
      <c r="B3178" s="8"/>
      <c r="AC3178" s="20"/>
      <c r="AF3178" s="21"/>
    </row>
    <row r="3179" spans="2:32">
      <c r="B3179" s="40"/>
      <c r="AC3179" s="20"/>
      <c r="AF3179" s="21"/>
    </row>
    <row r="3180" spans="29:32">
      <c r="AC3180" s="20"/>
      <c r="AF3180" s="21"/>
    </row>
    <row r="3181" spans="29:32">
      <c r="AC3181" s="20"/>
      <c r="AF3181" s="21"/>
    </row>
    <row r="3182" spans="2:32">
      <c r="B3182" s="8"/>
      <c r="AC3182" s="20"/>
      <c r="AF3182" s="21"/>
    </row>
    <row r="3183" spans="2:32">
      <c r="B3183" s="8"/>
      <c r="AC3183" s="20"/>
      <c r="AF3183" s="21"/>
    </row>
    <row r="3184" spans="2:32">
      <c r="B3184" s="8"/>
      <c r="AC3184" s="20"/>
      <c r="AF3184" s="21"/>
    </row>
    <row r="3185" spans="2:32">
      <c r="B3185" s="8"/>
      <c r="AC3185" s="20"/>
      <c r="AF3185" s="21"/>
    </row>
    <row r="3186" spans="29:32">
      <c r="AC3186" s="20"/>
      <c r="AF3186" s="21"/>
    </row>
    <row r="3187" spans="29:32">
      <c r="AC3187" s="20"/>
      <c r="AF3187" s="21"/>
    </row>
    <row r="3188" spans="29:32">
      <c r="AC3188" s="20"/>
      <c r="AF3188" s="21"/>
    </row>
    <row r="3189" spans="29:32">
      <c r="AC3189" s="20"/>
      <c r="AF3189" s="21"/>
    </row>
    <row r="3190" spans="29:32">
      <c r="AC3190" s="20"/>
      <c r="AF3190" s="21"/>
    </row>
    <row r="3191" spans="29:32">
      <c r="AC3191" s="20"/>
      <c r="AF3191" s="21"/>
    </row>
    <row r="3192" spans="29:32">
      <c r="AC3192" s="20"/>
      <c r="AF3192" s="21"/>
    </row>
    <row r="3193" spans="29:32">
      <c r="AC3193" s="20"/>
      <c r="AF3193" s="21"/>
    </row>
    <row r="3194" spans="29:32">
      <c r="AC3194" s="20"/>
      <c r="AF3194" s="21"/>
    </row>
    <row r="3195" spans="29:32">
      <c r="AC3195" s="20"/>
      <c r="AF3195" s="21"/>
    </row>
    <row r="3196" spans="29:32">
      <c r="AC3196" s="20"/>
      <c r="AF3196" s="21"/>
    </row>
    <row r="3197" spans="29:32">
      <c r="AC3197" s="20"/>
      <c r="AF3197" s="21"/>
    </row>
    <row r="3198" spans="29:32">
      <c r="AC3198" s="20"/>
      <c r="AF3198" s="21"/>
    </row>
    <row r="3199" spans="29:32">
      <c r="AC3199" s="20"/>
      <c r="AF3199" s="21"/>
    </row>
    <row r="3200" spans="29:32">
      <c r="AC3200" s="20"/>
      <c r="AF3200" s="21"/>
    </row>
    <row r="3201" spans="29:32">
      <c r="AC3201" s="20"/>
      <c r="AF3201" s="21"/>
    </row>
    <row r="3202" spans="29:32">
      <c r="AC3202" s="20"/>
      <c r="AF3202" s="21"/>
    </row>
    <row r="3203" spans="29:32">
      <c r="AC3203" s="20"/>
      <c r="AF3203" s="21"/>
    </row>
    <row r="3204" spans="29:32">
      <c r="AC3204" s="20"/>
      <c r="AF3204" s="21"/>
    </row>
    <row r="3205" spans="29:32">
      <c r="AC3205" s="20"/>
      <c r="AF3205" s="21"/>
    </row>
    <row r="3206" spans="29:32">
      <c r="AC3206" s="20"/>
      <c r="AF3206" s="21"/>
    </row>
    <row r="3207" spans="29:32">
      <c r="AC3207" s="20"/>
      <c r="AF3207" s="21"/>
    </row>
    <row r="3208" spans="2:32">
      <c r="B3208" s="8"/>
      <c r="AC3208" s="20"/>
      <c r="AF3208" s="21"/>
    </row>
    <row r="3209" spans="2:32">
      <c r="B3209" s="8"/>
      <c r="AC3209" s="20"/>
      <c r="AF3209" s="21"/>
    </row>
    <row r="3210" spans="2:32">
      <c r="B3210" s="8"/>
      <c r="AC3210" s="20"/>
      <c r="AF3210" s="21"/>
    </row>
    <row r="3211" spans="2:32">
      <c r="B3211" s="8"/>
      <c r="AC3211" s="20"/>
      <c r="AF3211" s="21"/>
    </row>
    <row r="3212" spans="2:32">
      <c r="B3212" s="8"/>
      <c r="AC3212" s="20"/>
      <c r="AF3212" s="21"/>
    </row>
    <row r="3213" spans="2:32">
      <c r="B3213" s="8"/>
      <c r="AC3213" s="20"/>
      <c r="AF3213" s="21"/>
    </row>
    <row r="3214" spans="2:32">
      <c r="B3214" s="8"/>
      <c r="AC3214" s="20"/>
      <c r="AF3214" s="21"/>
    </row>
    <row r="3215" spans="2:32">
      <c r="B3215" s="8"/>
      <c r="AC3215" s="20"/>
      <c r="AF3215" s="21"/>
    </row>
    <row r="3216" spans="2:32">
      <c r="B3216" s="8"/>
      <c r="AC3216" s="20"/>
      <c r="AF3216" s="21"/>
    </row>
    <row r="3217" spans="29:32">
      <c r="AC3217" s="20"/>
      <c r="AF3217" s="21"/>
    </row>
    <row r="3218" spans="29:32">
      <c r="AC3218" s="20"/>
      <c r="AF3218" s="21"/>
    </row>
    <row r="3219" spans="29:32">
      <c r="AC3219" s="20"/>
      <c r="AF3219" s="21"/>
    </row>
    <row r="3220" spans="29:32">
      <c r="AC3220" s="20"/>
      <c r="AF3220" s="21"/>
    </row>
    <row r="3221" spans="29:32">
      <c r="AC3221" s="20"/>
      <c r="AF3221" s="21"/>
    </row>
    <row r="3222" spans="29:32">
      <c r="AC3222" s="20"/>
      <c r="AF3222" s="21"/>
    </row>
    <row r="3223" spans="29:32">
      <c r="AC3223" s="20"/>
      <c r="AF3223" s="21"/>
    </row>
    <row r="3224" spans="29:32">
      <c r="AC3224" s="20"/>
      <c r="AF3224" s="21"/>
    </row>
    <row r="3225" spans="29:32">
      <c r="AC3225" s="20"/>
      <c r="AF3225" s="21"/>
    </row>
    <row r="3226" spans="29:32">
      <c r="AC3226" s="20"/>
      <c r="AF3226" s="21"/>
    </row>
    <row r="3227" spans="29:32">
      <c r="AC3227" s="20"/>
      <c r="AF3227" s="21"/>
    </row>
    <row r="3228" spans="29:32">
      <c r="AC3228" s="20"/>
      <c r="AF3228" s="21"/>
    </row>
    <row r="3229" spans="29:32">
      <c r="AC3229" s="20"/>
      <c r="AF3229" s="21"/>
    </row>
    <row r="3230" spans="29:32">
      <c r="AC3230" s="20"/>
      <c r="AF3230" s="21"/>
    </row>
    <row r="3231" spans="29:32">
      <c r="AC3231" s="20"/>
      <c r="AF3231" s="21"/>
    </row>
    <row r="3232" spans="29:32">
      <c r="AC3232" s="20"/>
      <c r="AF3232" s="21"/>
    </row>
    <row r="3233" spans="29:32">
      <c r="AC3233" s="20"/>
      <c r="AF3233" s="21"/>
    </row>
    <row r="3234" spans="29:32">
      <c r="AC3234" s="20"/>
      <c r="AF3234" s="21"/>
    </row>
    <row r="3235" spans="29:32">
      <c r="AC3235" s="20"/>
      <c r="AF3235" s="21"/>
    </row>
    <row r="3236" spans="29:32">
      <c r="AC3236" s="20"/>
      <c r="AF3236" s="21"/>
    </row>
    <row r="3237" spans="29:32">
      <c r="AC3237" s="20"/>
      <c r="AF3237" s="21"/>
    </row>
    <row r="3238" spans="29:32">
      <c r="AC3238" s="20"/>
      <c r="AF3238" s="21"/>
    </row>
    <row r="3239" spans="29:32">
      <c r="AC3239" s="20"/>
      <c r="AF3239" s="21"/>
    </row>
    <row r="3240" spans="29:32">
      <c r="AC3240" s="20"/>
      <c r="AF3240" s="21"/>
    </row>
    <row r="3241" spans="29:32">
      <c r="AC3241" s="20"/>
      <c r="AF3241" s="21"/>
    </row>
    <row r="3242" spans="29:32">
      <c r="AC3242" s="20"/>
      <c r="AF3242" s="21"/>
    </row>
    <row r="3243" spans="29:32">
      <c r="AC3243" s="20"/>
      <c r="AF3243" s="21"/>
    </row>
    <row r="3244" spans="2:32">
      <c r="B3244" s="8"/>
      <c r="AC3244" s="20"/>
      <c r="AF3244" s="21"/>
    </row>
    <row r="3245" spans="2:32">
      <c r="B3245" s="8"/>
      <c r="AC3245" s="20"/>
      <c r="AF3245" s="21"/>
    </row>
    <row r="3246" spans="2:32">
      <c r="B3246" s="8"/>
      <c r="AC3246" s="20"/>
      <c r="AF3246" s="21"/>
    </row>
    <row r="3247" spans="2:32">
      <c r="B3247" s="8"/>
      <c r="AC3247" s="20"/>
      <c r="AF3247" s="21"/>
    </row>
    <row r="3248" spans="2:32">
      <c r="B3248" s="8"/>
      <c r="AC3248" s="20"/>
      <c r="AF3248" s="21"/>
    </row>
    <row r="3249" spans="2:32">
      <c r="B3249" s="8"/>
      <c r="AC3249" s="20"/>
      <c r="AF3249" s="21"/>
    </row>
    <row r="3250" spans="29:32">
      <c r="AC3250" s="20"/>
      <c r="AF3250" s="21"/>
    </row>
    <row r="3251" spans="29:32">
      <c r="AC3251" s="20"/>
      <c r="AF3251" s="21"/>
    </row>
    <row r="3252" spans="29:32">
      <c r="AC3252" s="20"/>
      <c r="AF3252" s="21"/>
    </row>
    <row r="3253" spans="29:32">
      <c r="AC3253" s="20"/>
      <c r="AF3253" s="21"/>
    </row>
    <row r="3254" spans="29:32">
      <c r="AC3254" s="20"/>
      <c r="AF3254" s="21"/>
    </row>
    <row r="3255" spans="29:32">
      <c r="AC3255" s="20"/>
      <c r="AF3255" s="21"/>
    </row>
    <row r="3256" spans="29:32">
      <c r="AC3256" s="20"/>
      <c r="AF3256" s="21"/>
    </row>
    <row r="3257" spans="29:32">
      <c r="AC3257" s="20"/>
      <c r="AF3257" s="21"/>
    </row>
    <row r="3258" spans="29:32">
      <c r="AC3258" s="20"/>
      <c r="AF3258" s="21"/>
    </row>
    <row r="3259" ht="18" customHeight="1" spans="29:32">
      <c r="AC3259" s="20"/>
      <c r="AF3259" s="21"/>
    </row>
    <row r="3260" ht="18" customHeight="1" spans="29:32">
      <c r="AC3260" s="20"/>
      <c r="AF3260" s="21"/>
    </row>
    <row r="3261" ht="18" customHeight="1" spans="29:32">
      <c r="AC3261" s="20"/>
      <c r="AF3261" s="21"/>
    </row>
    <row r="3262" ht="18" customHeight="1" spans="29:32">
      <c r="AC3262" s="20"/>
      <c r="AF3262" s="21"/>
    </row>
    <row r="3263" ht="18" customHeight="1" spans="29:32">
      <c r="AC3263" s="20"/>
      <c r="AF3263" s="21"/>
    </row>
    <row r="3264" ht="18" customHeight="1" spans="29:32">
      <c r="AC3264" s="20"/>
      <c r="AF3264" s="21"/>
    </row>
    <row r="3265" ht="18" customHeight="1" spans="29:32">
      <c r="AC3265" s="20"/>
      <c r="AF3265" s="21"/>
    </row>
    <row r="3266" ht="18" customHeight="1" spans="29:32">
      <c r="AC3266" s="20"/>
      <c r="AF3266" s="21"/>
    </row>
    <row r="3267" ht="18" customHeight="1" spans="29:32">
      <c r="AC3267" s="20"/>
      <c r="AF3267" s="21"/>
    </row>
    <row r="3268" ht="18" customHeight="1" spans="29:32">
      <c r="AC3268" s="20"/>
      <c r="AF3268" s="21"/>
    </row>
    <row r="3269" ht="18" customHeight="1" spans="29:32">
      <c r="AC3269" s="20"/>
      <c r="AF3269" s="21"/>
    </row>
    <row r="3270" ht="18" customHeight="1" spans="29:32">
      <c r="AC3270" s="20"/>
      <c r="AF3270" s="21"/>
    </row>
    <row r="3271" ht="18" customHeight="1" spans="29:32">
      <c r="AC3271" s="20"/>
      <c r="AF3271" s="21"/>
    </row>
    <row r="3272" ht="18" customHeight="1" spans="29:32">
      <c r="AC3272" s="20"/>
      <c r="AF3272" s="21"/>
    </row>
    <row r="3273" spans="29:32">
      <c r="AC3273" s="20"/>
      <c r="AF3273" s="21"/>
    </row>
    <row r="3274" spans="29:32">
      <c r="AC3274" s="20"/>
      <c r="AF3274" s="21"/>
    </row>
    <row r="3275" spans="29:32">
      <c r="AC3275" s="20"/>
      <c r="AF3275" s="21"/>
    </row>
    <row r="3276" spans="29:32">
      <c r="AC3276" s="20"/>
      <c r="AF3276" s="21"/>
    </row>
    <row r="3277" spans="29:32">
      <c r="AC3277" s="20"/>
      <c r="AF3277" s="21"/>
    </row>
    <row r="3278" spans="29:32">
      <c r="AC3278" s="20"/>
      <c r="AF3278" s="21"/>
    </row>
    <row r="3279" spans="29:32">
      <c r="AC3279" s="20"/>
      <c r="AF3279" s="21"/>
    </row>
    <row r="3280" spans="29:32">
      <c r="AC3280" s="20"/>
      <c r="AF3280" s="21"/>
    </row>
    <row r="3281" spans="29:32">
      <c r="AC3281" s="20"/>
      <c r="AF3281" s="21"/>
    </row>
    <row r="3282" spans="29:32">
      <c r="AC3282" s="20"/>
      <c r="AF3282" s="21"/>
    </row>
    <row r="3283" spans="29:32">
      <c r="AC3283" s="20"/>
      <c r="AF3283" s="21"/>
    </row>
    <row r="3284" spans="29:32">
      <c r="AC3284" s="20"/>
      <c r="AF3284" s="21"/>
    </row>
    <row r="3285" spans="29:32">
      <c r="AC3285" s="20"/>
      <c r="AF3285" s="21"/>
    </row>
    <row r="3286" spans="29:32">
      <c r="AC3286" s="20"/>
      <c r="AF3286" s="21"/>
    </row>
    <row r="3287" spans="29:32">
      <c r="AC3287" s="20"/>
      <c r="AF3287" s="21"/>
    </row>
    <row r="3288" spans="29:32">
      <c r="AC3288" s="20"/>
      <c r="AF3288" s="21"/>
    </row>
    <row r="3289" spans="29:32">
      <c r="AC3289" s="20"/>
      <c r="AF3289" s="21"/>
    </row>
    <row r="3290" spans="29:32">
      <c r="AC3290" s="20"/>
      <c r="AF3290" s="21"/>
    </row>
    <row r="3291" spans="2:32">
      <c r="B3291" s="8"/>
      <c r="AC3291" s="20"/>
      <c r="AF3291" s="21"/>
    </row>
    <row r="3292" spans="2:32">
      <c r="B3292" s="8"/>
      <c r="AC3292" s="20"/>
      <c r="AF3292" s="21"/>
    </row>
    <row r="3293" spans="2:32">
      <c r="B3293" s="8"/>
      <c r="AC3293" s="20"/>
      <c r="AF3293" s="21"/>
    </row>
    <row r="3294" spans="2:32">
      <c r="B3294" s="8"/>
      <c r="AC3294" s="20"/>
      <c r="AF3294" s="21"/>
    </row>
    <row r="3295" spans="29:32">
      <c r="AC3295" s="20"/>
      <c r="AF3295" s="21"/>
    </row>
    <row r="3296" spans="29:32">
      <c r="AC3296" s="20"/>
      <c r="AF3296" s="21"/>
    </row>
    <row r="3297" spans="29:32">
      <c r="AC3297" s="20"/>
      <c r="AF3297" s="21"/>
    </row>
    <row r="3298" spans="29:32">
      <c r="AC3298" s="20"/>
      <c r="AF3298" s="21"/>
    </row>
    <row r="3299" spans="29:32">
      <c r="AC3299" s="20"/>
      <c r="AF3299" s="21"/>
    </row>
    <row r="3300" spans="29:32">
      <c r="AC3300" s="20"/>
      <c r="AF3300" s="21"/>
    </row>
    <row r="3301" spans="29:32">
      <c r="AC3301" s="20"/>
      <c r="AF3301" s="21"/>
    </row>
    <row r="3302" spans="29:32">
      <c r="AC3302" s="20"/>
      <c r="AF3302" s="21"/>
    </row>
    <row r="3303" spans="29:32">
      <c r="AC3303" s="20"/>
      <c r="AF3303" s="21"/>
    </row>
    <row r="3304" spans="29:32">
      <c r="AC3304" s="20"/>
      <c r="AF3304" s="21"/>
    </row>
    <row r="3305" spans="29:32">
      <c r="AC3305" s="20"/>
      <c r="AF3305" s="21"/>
    </row>
    <row r="3306" spans="29:32">
      <c r="AC3306" s="20"/>
      <c r="AF3306" s="21"/>
    </row>
    <row r="3307" spans="29:32">
      <c r="AC3307" s="20"/>
      <c r="AF3307" s="21"/>
    </row>
    <row r="3308" spans="29:32">
      <c r="AC3308" s="20"/>
      <c r="AF3308" s="21"/>
    </row>
    <row r="3309" spans="29:32">
      <c r="AC3309" s="20"/>
      <c r="AF3309" s="21"/>
    </row>
    <row r="3310" spans="29:32">
      <c r="AC3310" s="20"/>
      <c r="AF3310" s="21"/>
    </row>
    <row r="3311" spans="29:32">
      <c r="AC3311" s="20"/>
      <c r="AF3311" s="21"/>
    </row>
    <row r="3312" spans="29:32">
      <c r="AC3312" s="20"/>
      <c r="AF3312" s="21"/>
    </row>
    <row r="3313" spans="29:32">
      <c r="AC3313" s="20"/>
      <c r="AF3313" s="21"/>
    </row>
    <row r="3314" spans="29:32">
      <c r="AC3314" s="20"/>
      <c r="AF3314" s="21"/>
    </row>
    <row r="3315" spans="29:32">
      <c r="AC3315" s="20"/>
      <c r="AF3315" s="21"/>
    </row>
    <row r="3316" spans="29:32">
      <c r="AC3316" s="20"/>
      <c r="AF3316" s="21"/>
    </row>
    <row r="3317" spans="29:32">
      <c r="AC3317" s="20"/>
      <c r="AF3317" s="21"/>
    </row>
    <row r="3318" spans="29:32">
      <c r="AC3318" s="20"/>
      <c r="AF3318" s="21"/>
    </row>
    <row r="3319" spans="29:32">
      <c r="AC3319" s="20"/>
      <c r="AF3319" s="21"/>
    </row>
    <row r="3320" spans="29:32">
      <c r="AC3320" s="20"/>
      <c r="AF3320" s="21"/>
    </row>
    <row r="3321" spans="29:32">
      <c r="AC3321" s="20"/>
      <c r="AF3321" s="21"/>
    </row>
    <row r="3322" spans="29:32">
      <c r="AC3322" s="20"/>
      <c r="AF3322" s="21"/>
    </row>
    <row r="3323" spans="29:32">
      <c r="AC3323" s="20"/>
      <c r="AF3323" s="21"/>
    </row>
    <row r="3324" spans="29:32">
      <c r="AC3324" s="20"/>
      <c r="AF3324" s="21"/>
    </row>
    <row r="3325" spans="29:32">
      <c r="AC3325" s="20"/>
      <c r="AF3325" s="21"/>
    </row>
    <row r="3326" spans="29:32">
      <c r="AC3326" s="20"/>
      <c r="AF3326" s="21"/>
    </row>
    <row r="3327" spans="29:32">
      <c r="AC3327" s="20"/>
      <c r="AF3327" s="21"/>
    </row>
    <row r="3328" spans="29:32">
      <c r="AC3328" s="20"/>
      <c r="AF3328" s="21"/>
    </row>
    <row r="3329" spans="29:32">
      <c r="AC3329" s="20"/>
      <c r="AF3329" s="21"/>
    </row>
    <row r="3330" spans="29:32">
      <c r="AC3330" s="20"/>
      <c r="AF3330" s="21"/>
    </row>
    <row r="3331" spans="29:32">
      <c r="AC3331" s="20"/>
      <c r="AF3331" s="21"/>
    </row>
    <row r="3332" spans="29:32">
      <c r="AC3332" s="20"/>
      <c r="AF3332" s="21"/>
    </row>
    <row r="3333" spans="29:32">
      <c r="AC3333" s="20"/>
      <c r="AF3333" s="21"/>
    </row>
    <row r="3334" spans="29:32">
      <c r="AC3334" s="20"/>
      <c r="AF3334" s="21"/>
    </row>
    <row r="3335" spans="29:32">
      <c r="AC3335" s="20"/>
      <c r="AF3335" s="21"/>
    </row>
    <row r="3336" spans="29:32">
      <c r="AC3336" s="20"/>
      <c r="AF3336" s="21"/>
    </row>
    <row r="3337" spans="29:32">
      <c r="AC3337" s="20"/>
      <c r="AF3337" s="21"/>
    </row>
    <row r="3338" spans="29:32">
      <c r="AC3338" s="20"/>
      <c r="AF3338" s="21"/>
    </row>
    <row r="3339" spans="29:32">
      <c r="AC3339" s="20"/>
      <c r="AF3339" s="21"/>
    </row>
    <row r="3340" spans="29:32">
      <c r="AC3340" s="20"/>
      <c r="AF3340" s="21"/>
    </row>
    <row r="3341" spans="29:32">
      <c r="AC3341" s="20"/>
      <c r="AF3341" s="21"/>
    </row>
    <row r="3342" spans="29:32">
      <c r="AC3342" s="20"/>
      <c r="AF3342" s="21"/>
    </row>
    <row r="3343" spans="29:32">
      <c r="AC3343" s="20"/>
      <c r="AF3343" s="21"/>
    </row>
    <row r="3344" spans="29:32">
      <c r="AC3344" s="20"/>
      <c r="AF3344" s="21"/>
    </row>
    <row r="3345" spans="29:32">
      <c r="AC3345" s="20"/>
      <c r="AF3345" s="21"/>
    </row>
    <row r="3346" spans="29:32">
      <c r="AC3346" s="20"/>
      <c r="AF3346" s="21"/>
    </row>
    <row r="3347" spans="29:32">
      <c r="AC3347" s="20"/>
      <c r="AF3347" s="21"/>
    </row>
    <row r="3348" spans="29:32">
      <c r="AC3348" s="20"/>
      <c r="AF3348" s="21"/>
    </row>
    <row r="3349" spans="29:32">
      <c r="AC3349" s="20"/>
      <c r="AF3349" s="21"/>
    </row>
    <row r="3350" spans="29:32">
      <c r="AC3350" s="20"/>
      <c r="AF3350" s="21"/>
    </row>
    <row r="3351" spans="29:32">
      <c r="AC3351" s="20"/>
      <c r="AF3351" s="21"/>
    </row>
    <row r="3352" spans="29:32">
      <c r="AC3352" s="20"/>
      <c r="AF3352" s="21"/>
    </row>
    <row r="3353" spans="29:32">
      <c r="AC3353" s="20"/>
      <c r="AF3353" s="21"/>
    </row>
    <row r="3354" spans="29:32">
      <c r="AC3354" s="20"/>
      <c r="AF3354" s="21"/>
    </row>
    <row r="3355" spans="29:32">
      <c r="AC3355" s="20"/>
      <c r="AF3355" s="21"/>
    </row>
    <row r="3356" spans="29:32">
      <c r="AC3356" s="20"/>
      <c r="AF3356" s="21"/>
    </row>
    <row r="3357" spans="29:32">
      <c r="AC3357" s="20"/>
      <c r="AF3357" s="21"/>
    </row>
    <row r="3358" spans="29:32">
      <c r="AC3358" s="20"/>
      <c r="AF3358" s="21"/>
    </row>
    <row r="3359" spans="29:32">
      <c r="AC3359" s="20"/>
      <c r="AF3359" s="21"/>
    </row>
    <row r="3360" spans="29:32">
      <c r="AC3360" s="20"/>
      <c r="AF3360" s="21"/>
    </row>
    <row r="3361" spans="29:32">
      <c r="AC3361" s="20"/>
      <c r="AF3361" s="21"/>
    </row>
    <row r="3362" spans="29:32">
      <c r="AC3362" s="20"/>
      <c r="AF3362" s="21"/>
    </row>
    <row r="3363" spans="29:32">
      <c r="AC3363" s="20"/>
      <c r="AF3363" s="21"/>
    </row>
    <row r="3364" spans="29:32">
      <c r="AC3364" s="20"/>
      <c r="AF3364" s="21"/>
    </row>
    <row r="3365" spans="29:32">
      <c r="AC3365" s="20"/>
      <c r="AF3365" s="21"/>
    </row>
    <row r="3366" spans="29:32">
      <c r="AC3366" s="20"/>
      <c r="AF3366" s="21"/>
    </row>
    <row r="3367" spans="29:32">
      <c r="AC3367" s="20"/>
      <c r="AF3367" s="21"/>
    </row>
    <row r="3368" spans="29:32">
      <c r="AC3368" s="20"/>
      <c r="AF3368" s="21"/>
    </row>
    <row r="3369" spans="29:32">
      <c r="AC3369" s="20"/>
      <c r="AF3369" s="21"/>
    </row>
    <row r="3370" spans="29:32">
      <c r="AC3370" s="20"/>
      <c r="AF3370" s="21"/>
    </row>
    <row r="3371" spans="29:32">
      <c r="AC3371" s="20"/>
      <c r="AF3371" s="21"/>
    </row>
    <row r="3372" spans="29:32">
      <c r="AC3372" s="20"/>
      <c r="AF3372" s="21"/>
    </row>
    <row r="3373" spans="29:32">
      <c r="AC3373" s="20"/>
      <c r="AF3373" s="21"/>
    </row>
    <row r="3374" spans="29:32">
      <c r="AC3374" s="20"/>
      <c r="AF3374" s="21"/>
    </row>
    <row r="3375" spans="29:32">
      <c r="AC3375" s="20"/>
      <c r="AF3375" s="21"/>
    </row>
    <row r="3376" spans="29:32">
      <c r="AC3376" s="20"/>
      <c r="AF3376" s="21"/>
    </row>
    <row r="3377" spans="29:32">
      <c r="AC3377" s="20"/>
      <c r="AF3377" s="21"/>
    </row>
    <row r="3378" spans="29:32">
      <c r="AC3378" s="20"/>
      <c r="AF3378" s="21"/>
    </row>
    <row r="3379" spans="29:32">
      <c r="AC3379" s="20"/>
      <c r="AF3379" s="21"/>
    </row>
    <row r="3380" spans="29:32">
      <c r="AC3380" s="20"/>
      <c r="AF3380" s="21"/>
    </row>
    <row r="3381" spans="29:32">
      <c r="AC3381" s="20"/>
      <c r="AF3381" s="21"/>
    </row>
    <row r="3382" spans="29:32">
      <c r="AC3382" s="20"/>
      <c r="AF3382" s="21"/>
    </row>
    <row r="3383" spans="29:32">
      <c r="AC3383" s="20"/>
      <c r="AF3383" s="21"/>
    </row>
    <row r="3384" spans="29:32">
      <c r="AC3384" s="20"/>
      <c r="AF3384" s="21"/>
    </row>
    <row r="3385" spans="29:32">
      <c r="AC3385" s="20"/>
      <c r="AF3385" s="21"/>
    </row>
    <row r="3386" spans="29:32">
      <c r="AC3386" s="20"/>
      <c r="AF3386" s="21"/>
    </row>
    <row r="3387" spans="29:32">
      <c r="AC3387" s="20"/>
      <c r="AF3387" s="21"/>
    </row>
    <row r="3388" spans="29:32">
      <c r="AC3388" s="20"/>
      <c r="AF3388" s="21"/>
    </row>
    <row r="3389" spans="29:32">
      <c r="AC3389" s="20"/>
      <c r="AF3389" s="21"/>
    </row>
    <row r="3390" spans="29:32">
      <c r="AC3390" s="20"/>
      <c r="AF3390" s="21"/>
    </row>
    <row r="3391" spans="29:32">
      <c r="AC3391" s="20"/>
      <c r="AF3391" s="21"/>
    </row>
    <row r="3392" spans="29:32">
      <c r="AC3392" s="20"/>
      <c r="AF3392" s="21"/>
    </row>
    <row r="3393" spans="29:32">
      <c r="AC3393" s="20"/>
      <c r="AF3393" s="21"/>
    </row>
    <row r="3394" spans="29:32">
      <c r="AC3394" s="20"/>
      <c r="AF3394" s="21"/>
    </row>
    <row r="3395" spans="29:32">
      <c r="AC3395" s="20"/>
      <c r="AF3395" s="21"/>
    </row>
    <row r="3396" spans="29:32">
      <c r="AC3396" s="20"/>
      <c r="AF3396" s="21"/>
    </row>
    <row r="3397" spans="29:32">
      <c r="AC3397" s="20"/>
      <c r="AF3397" s="21"/>
    </row>
    <row r="3398" spans="29:32">
      <c r="AC3398" s="20"/>
      <c r="AF3398" s="21"/>
    </row>
    <row r="3399" spans="29:32">
      <c r="AC3399" s="20"/>
      <c r="AF3399" s="21"/>
    </row>
    <row r="3400" spans="29:32">
      <c r="AC3400" s="20"/>
      <c r="AF3400" s="21"/>
    </row>
    <row r="3401" spans="29:32">
      <c r="AC3401" s="20"/>
      <c r="AF3401" s="21"/>
    </row>
    <row r="3402" spans="29:32">
      <c r="AC3402" s="20"/>
      <c r="AF3402" s="21"/>
    </row>
    <row r="3403" spans="29:32">
      <c r="AC3403" s="20"/>
      <c r="AF3403" s="21"/>
    </row>
    <row r="3404" spans="29:32">
      <c r="AC3404" s="20"/>
      <c r="AF3404" s="21"/>
    </row>
    <row r="3405" spans="29:32">
      <c r="AC3405" s="20"/>
      <c r="AF3405" s="21"/>
    </row>
    <row r="3406" spans="29:32">
      <c r="AC3406" s="20"/>
      <c r="AF3406" s="21"/>
    </row>
    <row r="3407" spans="29:32">
      <c r="AC3407" s="20"/>
      <c r="AF3407" s="21"/>
    </row>
    <row r="3408" spans="29:32">
      <c r="AC3408" s="20"/>
      <c r="AF3408" s="21"/>
    </row>
    <row r="3409" spans="29:32">
      <c r="AC3409" s="20"/>
      <c r="AF3409" s="21"/>
    </row>
    <row r="3410" spans="29:32">
      <c r="AC3410" s="20"/>
      <c r="AF3410" s="21"/>
    </row>
    <row r="3411" spans="29:32">
      <c r="AC3411" s="20"/>
      <c r="AF3411" s="21"/>
    </row>
    <row r="3412" spans="29:32">
      <c r="AC3412" s="20"/>
      <c r="AF3412" s="21"/>
    </row>
    <row r="3413" spans="29:32">
      <c r="AC3413" s="20"/>
      <c r="AF3413" s="21"/>
    </row>
    <row r="3414" spans="2:32">
      <c r="B3414" s="8"/>
      <c r="AC3414" s="20"/>
      <c r="AF3414" s="21"/>
    </row>
    <row r="3415" spans="29:32">
      <c r="AC3415" s="20"/>
      <c r="AF3415" s="21"/>
    </row>
    <row r="3416" spans="29:32">
      <c r="AC3416" s="20"/>
      <c r="AF3416" s="21"/>
    </row>
    <row r="3417" spans="29:32">
      <c r="AC3417" s="20"/>
      <c r="AF3417" s="21"/>
    </row>
    <row r="3418" spans="29:32">
      <c r="AC3418" s="20"/>
      <c r="AF3418" s="21"/>
    </row>
    <row r="3419" spans="29:32">
      <c r="AC3419" s="20"/>
      <c r="AF3419" s="21"/>
    </row>
    <row r="3420" spans="29:32">
      <c r="AC3420" s="20"/>
      <c r="AF3420" s="21"/>
    </row>
    <row r="3421" spans="29:32">
      <c r="AC3421" s="20"/>
      <c r="AF3421" s="21"/>
    </row>
    <row r="3422" spans="29:32">
      <c r="AC3422" s="20"/>
      <c r="AF3422" s="21"/>
    </row>
    <row r="3423" spans="29:32">
      <c r="AC3423" s="20"/>
      <c r="AF3423" s="21"/>
    </row>
    <row r="3424" spans="29:32">
      <c r="AC3424" s="20"/>
      <c r="AF3424" s="21"/>
    </row>
    <row r="3425" spans="29:32">
      <c r="AC3425" s="20"/>
      <c r="AF3425" s="21"/>
    </row>
    <row r="3426" spans="29:32">
      <c r="AC3426" s="20"/>
      <c r="AF3426" s="21"/>
    </row>
    <row r="3427" spans="2:32">
      <c r="B3427" s="8"/>
      <c r="AC3427" s="20"/>
      <c r="AF3427" s="21"/>
    </row>
    <row r="3428" spans="2:32">
      <c r="B3428" s="8"/>
      <c r="AC3428" s="20"/>
      <c r="AF3428" s="21"/>
    </row>
    <row r="3429" spans="2:32">
      <c r="B3429" s="8"/>
      <c r="AC3429" s="20"/>
      <c r="AF3429" s="21"/>
    </row>
    <row r="3430" spans="2:32">
      <c r="B3430" s="8"/>
      <c r="AC3430" s="20"/>
      <c r="AF3430" s="21"/>
    </row>
    <row r="3431" spans="2:32">
      <c r="B3431" s="8"/>
      <c r="AC3431" s="20"/>
      <c r="AF3431" s="21"/>
    </row>
    <row r="3432" spans="2:32">
      <c r="B3432" s="8"/>
      <c r="AC3432" s="20"/>
      <c r="AF3432" s="21"/>
    </row>
    <row r="3433" spans="2:32">
      <c r="B3433" s="8"/>
      <c r="AC3433" s="20"/>
      <c r="AF3433" s="21"/>
    </row>
    <row r="3434" spans="2:32">
      <c r="B3434" s="8"/>
      <c r="AC3434" s="20"/>
      <c r="AF3434" s="21"/>
    </row>
    <row r="3435" spans="2:32">
      <c r="B3435" s="8"/>
      <c r="AC3435" s="20"/>
      <c r="AF3435" s="21"/>
    </row>
    <row r="3436" spans="2:32">
      <c r="B3436" s="8"/>
      <c r="AC3436" s="20"/>
      <c r="AF3436" s="21"/>
    </row>
    <row r="3437" spans="2:32">
      <c r="B3437" s="8"/>
      <c r="AC3437" s="20"/>
      <c r="AF3437" s="21"/>
    </row>
    <row r="3438" spans="2:32">
      <c r="B3438" s="8"/>
      <c r="AC3438" s="20"/>
      <c r="AF3438" s="21"/>
    </row>
    <row r="3439" spans="29:32">
      <c r="AC3439" s="20"/>
      <c r="AF3439" s="21"/>
    </row>
    <row r="3440" spans="29:32">
      <c r="AC3440" s="20"/>
      <c r="AF3440" s="21"/>
    </row>
    <row r="3441" spans="29:32">
      <c r="AC3441" s="20"/>
      <c r="AF3441" s="21"/>
    </row>
    <row r="3442" spans="29:32">
      <c r="AC3442" s="20"/>
      <c r="AF3442" s="21"/>
    </row>
    <row r="3443" spans="29:32">
      <c r="AC3443" s="20"/>
      <c r="AF3443" s="21"/>
    </row>
    <row r="3444" spans="29:32">
      <c r="AC3444" s="20"/>
      <c r="AF3444" s="21"/>
    </row>
    <row r="3445" spans="29:32">
      <c r="AC3445" s="20"/>
      <c r="AF3445" s="21"/>
    </row>
    <row r="3446" spans="29:32">
      <c r="AC3446" s="20"/>
      <c r="AF3446" s="21"/>
    </row>
    <row r="3447" spans="29:32">
      <c r="AC3447" s="20"/>
      <c r="AF3447" s="21"/>
    </row>
    <row r="3448" spans="2:32">
      <c r="B3448" s="8"/>
      <c r="AC3448" s="20"/>
      <c r="AF3448" s="21"/>
    </row>
    <row r="3449" spans="2:32">
      <c r="B3449" s="8"/>
      <c r="AC3449" s="20"/>
      <c r="AF3449" s="21"/>
    </row>
    <row r="3450" spans="2:32">
      <c r="B3450" s="8"/>
      <c r="AC3450" s="20"/>
      <c r="AF3450" s="21"/>
    </row>
    <row r="3451" spans="2:32">
      <c r="B3451" s="8"/>
      <c r="AC3451" s="20"/>
      <c r="AF3451" s="21"/>
    </row>
    <row r="3452" spans="2:32">
      <c r="B3452" s="8"/>
      <c r="AC3452" s="20"/>
      <c r="AF3452" s="21"/>
    </row>
    <row r="3453" spans="2:32">
      <c r="B3453" s="8"/>
      <c r="AC3453" s="20"/>
      <c r="AF3453" s="21"/>
    </row>
    <row r="3454" spans="2:32">
      <c r="B3454" s="8"/>
      <c r="AC3454" s="20"/>
      <c r="AF3454" s="21"/>
    </row>
    <row r="3455" spans="2:32">
      <c r="B3455" s="8"/>
      <c r="I3455" s="2"/>
      <c r="J3455" s="3"/>
      <c r="P3455" s="2"/>
      <c r="R3455" s="3"/>
      <c r="AC3455" s="20"/>
      <c r="AF3455" s="21"/>
    </row>
    <row r="3456" spans="2:32">
      <c r="B3456" s="8"/>
      <c r="AC3456" s="20"/>
      <c r="AF3456" s="21"/>
    </row>
    <row r="3457" spans="2:32">
      <c r="B3457" s="8"/>
      <c r="AC3457" s="20"/>
      <c r="AF3457" s="21"/>
    </row>
    <row r="3458" spans="2:32">
      <c r="B3458" s="8"/>
      <c r="AC3458" s="20"/>
      <c r="AF3458" s="21"/>
    </row>
    <row r="3459" spans="2:32">
      <c r="B3459" s="8"/>
      <c r="AC3459" s="20"/>
      <c r="AF3459" s="21"/>
    </row>
    <row r="3460" spans="2:32">
      <c r="B3460" s="8"/>
      <c r="AC3460" s="20"/>
      <c r="AF3460" s="21"/>
    </row>
    <row r="3461" spans="29:32">
      <c r="AC3461" s="20"/>
      <c r="AF3461" s="21"/>
    </row>
    <row r="3462" spans="29:32">
      <c r="AC3462" s="20"/>
      <c r="AF3462" s="21"/>
    </row>
    <row r="3463" spans="29:32">
      <c r="AC3463" s="20"/>
      <c r="AF3463" s="21"/>
    </row>
    <row r="3464" spans="29:32">
      <c r="AC3464" s="20"/>
      <c r="AF3464" s="21"/>
    </row>
    <row r="3465" spans="29:32">
      <c r="AC3465" s="20"/>
      <c r="AF3465" s="21"/>
    </row>
    <row r="3466" spans="29:32">
      <c r="AC3466" s="20"/>
      <c r="AF3466" s="21"/>
    </row>
    <row r="3467" spans="29:32">
      <c r="AC3467" s="20"/>
      <c r="AF3467" s="21"/>
    </row>
    <row r="3468" spans="29:32">
      <c r="AC3468" s="20"/>
      <c r="AF3468" s="21"/>
    </row>
    <row r="3469" spans="29:32">
      <c r="AC3469" s="20"/>
      <c r="AF3469" s="21"/>
    </row>
    <row r="3470" spans="29:32">
      <c r="AC3470" s="20"/>
      <c r="AF3470" s="21"/>
    </row>
    <row r="3471" spans="29:32">
      <c r="AC3471" s="20"/>
      <c r="AF3471" s="21"/>
    </row>
    <row r="3472" spans="29:32">
      <c r="AC3472" s="20"/>
      <c r="AF3472" s="21"/>
    </row>
    <row r="3473" spans="29:32">
      <c r="AC3473" s="20"/>
      <c r="AF3473" s="21"/>
    </row>
    <row r="3474" spans="29:32">
      <c r="AC3474" s="20"/>
      <c r="AF3474" s="21"/>
    </row>
    <row r="3475" spans="29:32">
      <c r="AC3475" s="20"/>
      <c r="AF3475" s="21"/>
    </row>
    <row r="3476" spans="29:32">
      <c r="AC3476" s="20"/>
      <c r="AF3476" s="21"/>
    </row>
    <row r="3477" spans="29:32">
      <c r="AC3477" s="20"/>
      <c r="AF3477" s="21"/>
    </row>
    <row r="3478" spans="29:32">
      <c r="AC3478" s="20"/>
      <c r="AF3478" s="21"/>
    </row>
    <row r="3479" spans="29:32">
      <c r="AC3479" s="20"/>
      <c r="AF3479" s="21"/>
    </row>
    <row r="3480" spans="29:32">
      <c r="AC3480" s="20"/>
      <c r="AF3480" s="21"/>
    </row>
    <row r="3481" spans="29:32">
      <c r="AC3481" s="20"/>
      <c r="AF3481" s="21"/>
    </row>
    <row r="3482" spans="29:32">
      <c r="AC3482" s="20"/>
      <c r="AF3482" s="21"/>
    </row>
    <row r="3483" spans="29:32">
      <c r="AC3483" s="20"/>
      <c r="AF3483" s="21"/>
    </row>
    <row r="3484" spans="29:32">
      <c r="AC3484" s="20"/>
      <c r="AF3484" s="21"/>
    </row>
    <row r="3485" spans="29:32">
      <c r="AC3485" s="20"/>
      <c r="AF3485" s="21"/>
    </row>
    <row r="3486" spans="29:32">
      <c r="AC3486" s="20"/>
      <c r="AF3486" s="21"/>
    </row>
    <row r="3487" spans="29:32">
      <c r="AC3487" s="20"/>
      <c r="AF3487" s="21"/>
    </row>
    <row r="3488" spans="29:32">
      <c r="AC3488" s="20"/>
      <c r="AF3488" s="21"/>
    </row>
    <row r="3489" spans="29:32">
      <c r="AC3489" s="20"/>
      <c r="AF3489" s="21"/>
    </row>
    <row r="3490" spans="29:32">
      <c r="AC3490" s="20"/>
      <c r="AF3490" s="21"/>
    </row>
    <row r="3491" spans="29:32">
      <c r="AC3491" s="20"/>
      <c r="AF3491" s="21"/>
    </row>
    <row r="3492" spans="29:32">
      <c r="AC3492" s="20"/>
      <c r="AF3492" s="21"/>
    </row>
    <row r="3493" spans="29:32">
      <c r="AC3493" s="20"/>
      <c r="AF3493" s="21"/>
    </row>
    <row r="3494" spans="29:32">
      <c r="AC3494" s="20"/>
      <c r="AF3494" s="21"/>
    </row>
    <row r="3495" spans="29:32">
      <c r="AC3495" s="20"/>
      <c r="AF3495" s="21"/>
    </row>
    <row r="3496" spans="29:32">
      <c r="AC3496" s="20"/>
      <c r="AF3496" s="21"/>
    </row>
    <row r="3497" spans="29:32">
      <c r="AC3497" s="20"/>
      <c r="AF3497" s="21"/>
    </row>
    <row r="3498" spans="29:32">
      <c r="AC3498" s="20"/>
      <c r="AF3498" s="21"/>
    </row>
    <row r="3499" spans="29:32">
      <c r="AC3499" s="20"/>
      <c r="AF3499" s="21"/>
    </row>
    <row r="3500" spans="29:32">
      <c r="AC3500" s="20"/>
      <c r="AF3500" s="21"/>
    </row>
    <row r="3501" spans="2:32">
      <c r="B3501" s="8"/>
      <c r="AC3501" s="20"/>
      <c r="AF3501" s="21"/>
    </row>
    <row r="3502" spans="2:32">
      <c r="B3502" s="8"/>
      <c r="AC3502" s="20"/>
      <c r="AF3502" s="21"/>
    </row>
    <row r="3503" spans="2:32">
      <c r="B3503" s="8"/>
      <c r="AC3503" s="20"/>
      <c r="AF3503" s="21"/>
    </row>
    <row r="3504" spans="2:32">
      <c r="B3504" s="8"/>
      <c r="AC3504" s="20"/>
      <c r="AF3504" s="21"/>
    </row>
    <row r="3505" spans="2:32">
      <c r="B3505" s="8"/>
      <c r="AC3505" s="20"/>
      <c r="AF3505" s="21"/>
    </row>
    <row r="3506" spans="2:32">
      <c r="B3506" s="8"/>
      <c r="AC3506" s="20"/>
      <c r="AF3506" s="21"/>
    </row>
    <row r="3507" spans="2:32">
      <c r="B3507" s="8"/>
      <c r="AC3507" s="20"/>
      <c r="AF3507" s="21"/>
    </row>
    <row r="3508" spans="29:32">
      <c r="AC3508" s="20"/>
      <c r="AF3508" s="21"/>
    </row>
    <row r="3509" spans="29:32">
      <c r="AC3509" s="20"/>
      <c r="AF3509" s="21"/>
    </row>
    <row r="3510" spans="29:32">
      <c r="AC3510" s="20"/>
      <c r="AF3510" s="21"/>
    </row>
    <row r="3511" spans="29:32">
      <c r="AC3511" s="20"/>
      <c r="AF3511" s="21"/>
    </row>
    <row r="3512" spans="29:32">
      <c r="AC3512" s="20"/>
      <c r="AF3512" s="21"/>
    </row>
    <row r="3513" spans="29:32">
      <c r="AC3513" s="20"/>
      <c r="AF3513" s="21"/>
    </row>
    <row r="3514" spans="29:32">
      <c r="AC3514" s="20"/>
      <c r="AF3514" s="21"/>
    </row>
    <row r="3515" spans="29:32">
      <c r="AC3515" s="20"/>
      <c r="AF3515" s="21"/>
    </row>
    <row r="3516" spans="29:32">
      <c r="AC3516" s="20"/>
      <c r="AF3516" s="21"/>
    </row>
    <row r="3517" spans="29:32">
      <c r="AC3517" s="20"/>
      <c r="AF3517" s="21"/>
    </row>
    <row r="3518" spans="29:32">
      <c r="AC3518" s="20"/>
      <c r="AF3518" s="21"/>
    </row>
    <row r="3519" spans="29:32">
      <c r="AC3519" s="20"/>
      <c r="AF3519" s="21"/>
    </row>
    <row r="3520" spans="29:32">
      <c r="AC3520" s="20"/>
      <c r="AF3520" s="21"/>
    </row>
    <row r="3521" spans="29:32">
      <c r="AC3521" s="20"/>
      <c r="AF3521" s="21"/>
    </row>
    <row r="3522" spans="29:32">
      <c r="AC3522" s="20"/>
      <c r="AF3522" s="21"/>
    </row>
    <row r="3523" spans="29:32">
      <c r="AC3523" s="20"/>
      <c r="AF3523" s="21"/>
    </row>
    <row r="3524" spans="29:32">
      <c r="AC3524" s="20"/>
      <c r="AF3524" s="21"/>
    </row>
    <row r="3525" spans="29:32">
      <c r="AC3525" s="20"/>
      <c r="AF3525" s="21"/>
    </row>
    <row r="3526" spans="29:32">
      <c r="AC3526" s="20"/>
      <c r="AF3526" s="21"/>
    </row>
    <row r="3527" spans="29:32">
      <c r="AC3527" s="20"/>
      <c r="AF3527" s="21"/>
    </row>
    <row r="3528" spans="29:32">
      <c r="AC3528" s="20"/>
      <c r="AF3528" s="21"/>
    </row>
    <row r="3529" spans="29:32">
      <c r="AC3529" s="20"/>
      <c r="AF3529" s="21"/>
    </row>
    <row r="3530" spans="29:32">
      <c r="AC3530" s="20"/>
      <c r="AF3530" s="21"/>
    </row>
    <row r="3531" spans="29:32">
      <c r="AC3531" s="20"/>
      <c r="AF3531" s="21"/>
    </row>
    <row r="3532" spans="29:32">
      <c r="AC3532" s="20"/>
      <c r="AF3532" s="21"/>
    </row>
    <row r="3533" spans="29:32">
      <c r="AC3533" s="20"/>
      <c r="AF3533" s="21"/>
    </row>
    <row r="3534" spans="29:32">
      <c r="AC3534" s="20"/>
      <c r="AF3534" s="21"/>
    </row>
    <row r="3535" spans="29:32">
      <c r="AC3535" s="20"/>
      <c r="AF3535" s="21"/>
    </row>
    <row r="3536" spans="29:32">
      <c r="AC3536" s="20"/>
      <c r="AF3536" s="21"/>
    </row>
    <row r="3537" spans="29:32">
      <c r="AC3537" s="20"/>
      <c r="AF3537" s="21"/>
    </row>
    <row r="3538" spans="29:32">
      <c r="AC3538" s="20"/>
      <c r="AF3538" s="21"/>
    </row>
    <row r="3539" spans="29:32">
      <c r="AC3539" s="20"/>
      <c r="AF3539" s="21"/>
    </row>
    <row r="3540" spans="29:32">
      <c r="AC3540" s="20"/>
      <c r="AF3540" s="21"/>
    </row>
    <row r="3541" spans="29:32">
      <c r="AC3541" s="20"/>
      <c r="AF3541" s="21"/>
    </row>
    <row r="3542" spans="29:32">
      <c r="AC3542" s="20"/>
      <c r="AF3542" s="21"/>
    </row>
    <row r="3543" spans="29:32">
      <c r="AC3543" s="20"/>
      <c r="AF3543" s="21"/>
    </row>
    <row r="3544" spans="29:32">
      <c r="AC3544" s="20"/>
      <c r="AF3544" s="21"/>
    </row>
    <row r="3545" spans="29:32">
      <c r="AC3545" s="20"/>
      <c r="AF3545" s="21"/>
    </row>
    <row r="3546" spans="29:32">
      <c r="AC3546" s="20"/>
      <c r="AF3546" s="21"/>
    </row>
    <row r="3547" spans="29:32">
      <c r="AC3547" s="20"/>
      <c r="AF3547" s="21"/>
    </row>
    <row r="3548" spans="2:32">
      <c r="B3548" s="22"/>
      <c r="AC3548" s="20"/>
      <c r="AF3548" s="21"/>
    </row>
    <row r="3549" spans="29:32">
      <c r="AC3549" s="20"/>
      <c r="AF3549" s="21"/>
    </row>
    <row r="3550" spans="29:32">
      <c r="AC3550" s="20"/>
      <c r="AF3550" s="21"/>
    </row>
    <row r="3551" spans="29:32">
      <c r="AC3551" s="20"/>
      <c r="AF3551" s="21"/>
    </row>
    <row r="3552" spans="29:32">
      <c r="AC3552" s="20"/>
      <c r="AF3552" s="21"/>
    </row>
    <row r="3553" spans="29:32">
      <c r="AC3553" s="20"/>
      <c r="AF3553" s="21"/>
    </row>
    <row r="3554" spans="29:32">
      <c r="AC3554" s="20"/>
      <c r="AF3554" s="21"/>
    </row>
    <row r="3555" spans="2:32">
      <c r="B3555" s="45"/>
      <c r="AC3555" s="20"/>
      <c r="AF3555" s="21"/>
    </row>
    <row r="3556" spans="2:32">
      <c r="B3556" s="8"/>
      <c r="AC3556" s="20"/>
      <c r="AF3556" s="21"/>
    </row>
    <row r="3557" spans="2:32">
      <c r="B3557" s="45"/>
      <c r="AC3557" s="20"/>
      <c r="AF3557" s="21"/>
    </row>
    <row r="3558" spans="2:32">
      <c r="B3558" s="8"/>
      <c r="AC3558" s="20"/>
      <c r="AF3558" s="21"/>
    </row>
    <row r="3559" spans="2:32">
      <c r="B3559" s="45"/>
      <c r="AC3559" s="20"/>
      <c r="AF3559" s="21"/>
    </row>
    <row r="3560" spans="2:32">
      <c r="B3560" s="8"/>
      <c r="AC3560" s="20"/>
      <c r="AF3560" s="21"/>
    </row>
    <row r="3561" spans="2:32">
      <c r="B3561" s="22"/>
      <c r="AC3561" s="20"/>
      <c r="AF3561" s="21"/>
    </row>
    <row r="3562" spans="2:32">
      <c r="B3562" s="22"/>
      <c r="AC3562" s="20"/>
      <c r="AF3562" s="21"/>
    </row>
    <row r="3563" spans="2:32">
      <c r="B3563" s="22"/>
      <c r="AC3563" s="20"/>
      <c r="AF3563" s="21"/>
    </row>
    <row r="3564" spans="2:32">
      <c r="B3564" s="22"/>
      <c r="AC3564" s="20"/>
      <c r="AF3564" s="21"/>
    </row>
    <row r="3565" spans="2:32">
      <c r="B3565" s="22"/>
      <c r="AC3565" s="20"/>
      <c r="AF3565" s="21"/>
    </row>
    <row r="3566" spans="2:32">
      <c r="B3566" s="22"/>
      <c r="AC3566" s="20"/>
      <c r="AF3566" s="21"/>
    </row>
    <row r="3567" spans="2:32">
      <c r="B3567" s="22"/>
      <c r="AC3567" s="20"/>
      <c r="AF3567" s="21"/>
    </row>
    <row r="3568" spans="29:32">
      <c r="AC3568" s="20"/>
      <c r="AF3568" s="21"/>
    </row>
    <row r="3569" spans="29:32">
      <c r="AC3569" s="20"/>
      <c r="AF3569" s="21"/>
    </row>
    <row r="3570" spans="29:32">
      <c r="AC3570" s="20"/>
      <c r="AF3570" s="21"/>
    </row>
    <row r="3571" spans="29:32">
      <c r="AC3571" s="20"/>
      <c r="AF3571" s="21"/>
    </row>
    <row r="3572" spans="2:32">
      <c r="B3572" s="22"/>
      <c r="AC3572" s="20"/>
      <c r="AF3572" s="21"/>
    </row>
    <row r="3573" spans="2:32">
      <c r="B3573" s="22"/>
      <c r="AC3573" s="20"/>
      <c r="AF3573" s="21"/>
    </row>
    <row r="3574" spans="2:32">
      <c r="B3574" s="22"/>
      <c r="AC3574" s="20"/>
      <c r="AF3574" s="21"/>
    </row>
    <row r="3575" spans="2:32">
      <c r="B3575" s="22"/>
      <c r="AC3575" s="20"/>
      <c r="AF3575" s="21"/>
    </row>
    <row r="3576" spans="2:32">
      <c r="B3576" s="22"/>
      <c r="AC3576" s="20"/>
      <c r="AF3576" s="21"/>
    </row>
    <row r="3577" spans="29:32">
      <c r="AC3577" s="20"/>
      <c r="AF3577" s="21"/>
    </row>
    <row r="3578" spans="29:32">
      <c r="AC3578" s="20"/>
      <c r="AF3578" s="21"/>
    </row>
    <row r="3579" spans="29:32">
      <c r="AC3579" s="20"/>
      <c r="AF3579" s="21"/>
    </row>
    <row r="3580" spans="29:32">
      <c r="AC3580" s="20"/>
      <c r="AF3580" s="21"/>
    </row>
    <row r="3581" spans="29:32">
      <c r="AC3581" s="20"/>
      <c r="AF3581" s="21"/>
    </row>
    <row r="3582" spans="29:32">
      <c r="AC3582" s="20"/>
      <c r="AF3582" s="21"/>
    </row>
    <row r="3583" spans="29:32">
      <c r="AC3583" s="20"/>
      <c r="AF3583" s="21"/>
    </row>
    <row r="3584" spans="29:32">
      <c r="AC3584" s="20"/>
      <c r="AF3584" s="21"/>
    </row>
    <row r="3585" spans="29:32">
      <c r="AC3585" s="20"/>
      <c r="AF3585" s="21"/>
    </row>
    <row r="3586" spans="29:32">
      <c r="AC3586" s="20"/>
      <c r="AF3586" s="21"/>
    </row>
    <row r="3587" spans="29:32">
      <c r="AC3587" s="20"/>
      <c r="AF3587" s="21"/>
    </row>
    <row r="3588" spans="29:32">
      <c r="AC3588" s="20"/>
      <c r="AF3588" s="21"/>
    </row>
    <row r="3589" spans="29:32">
      <c r="AC3589" s="20"/>
      <c r="AF3589" s="21"/>
    </row>
    <row r="3590" spans="29:32">
      <c r="AC3590" s="20"/>
      <c r="AF3590" s="21"/>
    </row>
    <row r="3591" spans="29:32">
      <c r="AC3591" s="20"/>
      <c r="AF3591" s="21"/>
    </row>
    <row r="3592" spans="29:32">
      <c r="AC3592" s="20"/>
      <c r="AF3592" s="21"/>
    </row>
    <row r="3593" spans="29:32">
      <c r="AC3593" s="20"/>
      <c r="AF3593" s="21"/>
    </row>
    <row r="3594" spans="29:32">
      <c r="AC3594" s="20"/>
      <c r="AF3594" s="21"/>
    </row>
    <row r="3595" spans="29:32">
      <c r="AC3595" s="20"/>
      <c r="AF3595" s="21"/>
    </row>
    <row r="3596" spans="29:32">
      <c r="AC3596" s="20"/>
      <c r="AF3596" s="21"/>
    </row>
    <row r="3597" spans="29:32">
      <c r="AC3597" s="20"/>
      <c r="AF3597" s="21"/>
    </row>
    <row r="3598" spans="29:32">
      <c r="AC3598" s="20"/>
      <c r="AF3598" s="21"/>
    </row>
    <row r="3599" spans="29:32">
      <c r="AC3599" s="20"/>
      <c r="AF3599" s="21"/>
    </row>
    <row r="3600" spans="29:32">
      <c r="AC3600" s="20"/>
      <c r="AF3600" s="21"/>
    </row>
    <row r="3601" spans="2:32">
      <c r="B3601" s="8"/>
      <c r="AC3601" s="20"/>
      <c r="AF3601" s="21"/>
    </row>
    <row r="3602" spans="2:32">
      <c r="B3602" s="8"/>
      <c r="AC3602" s="20"/>
      <c r="AF3602" s="21"/>
    </row>
    <row r="3603" spans="2:32">
      <c r="B3603" s="8"/>
      <c r="AC3603" s="20"/>
      <c r="AF3603" s="21"/>
    </row>
    <row r="3604" spans="2:32">
      <c r="B3604" s="8"/>
      <c r="AC3604" s="20"/>
      <c r="AF3604" s="21"/>
    </row>
    <row r="3605" spans="2:32">
      <c r="B3605" s="8"/>
      <c r="AC3605" s="20"/>
      <c r="AF3605" s="21"/>
    </row>
    <row r="3606" spans="2:32">
      <c r="B3606" s="8"/>
      <c r="AC3606" s="20"/>
      <c r="AF3606" s="21"/>
    </row>
    <row r="3607" spans="2:32">
      <c r="B3607" s="8"/>
      <c r="AC3607" s="20"/>
      <c r="AF3607" s="21"/>
    </row>
    <row r="3608" spans="2:32">
      <c r="B3608" s="8"/>
      <c r="AC3608" s="20"/>
      <c r="AF3608" s="21"/>
    </row>
    <row r="3609" spans="29:32">
      <c r="AC3609" s="20"/>
      <c r="AF3609" s="21"/>
    </row>
    <row r="3610" spans="29:32">
      <c r="AC3610" s="20"/>
      <c r="AF3610" s="21"/>
    </row>
    <row r="3611" spans="29:32">
      <c r="AC3611" s="20"/>
      <c r="AF3611" s="21"/>
    </row>
    <row r="3612" spans="29:32">
      <c r="AC3612" s="20"/>
      <c r="AF3612" s="21"/>
    </row>
    <row r="3613" spans="29:32">
      <c r="AC3613" s="20"/>
      <c r="AF3613" s="21"/>
    </row>
    <row r="3614" spans="29:32">
      <c r="AC3614" s="20"/>
      <c r="AF3614" s="21"/>
    </row>
    <row r="3615" spans="2:32">
      <c r="B3615" s="8"/>
      <c r="AC3615" s="20"/>
      <c r="AF3615" s="21"/>
    </row>
    <row r="3616" spans="2:32">
      <c r="B3616" s="8"/>
      <c r="AC3616" s="20"/>
      <c r="AF3616" s="21"/>
    </row>
    <row r="3617" spans="2:32">
      <c r="B3617" s="8"/>
      <c r="AC3617" s="20"/>
      <c r="AF3617" s="21"/>
    </row>
    <row r="3618" spans="2:32">
      <c r="B3618" s="8"/>
      <c r="AC3618" s="20"/>
      <c r="AF3618" s="21"/>
    </row>
    <row r="3619" spans="2:32">
      <c r="B3619" s="8"/>
      <c r="AC3619" s="20"/>
      <c r="AF3619" s="21"/>
    </row>
    <row r="3620" spans="2:32">
      <c r="B3620" s="8"/>
      <c r="AC3620" s="20"/>
      <c r="AF3620" s="21"/>
    </row>
    <row r="3621" spans="29:32">
      <c r="AC3621" s="20"/>
      <c r="AF3621" s="21"/>
    </row>
    <row r="3622" spans="29:32">
      <c r="AC3622" s="20"/>
      <c r="AF3622" s="21"/>
    </row>
    <row r="3623" spans="29:32">
      <c r="AC3623" s="20"/>
      <c r="AF3623" s="21"/>
    </row>
    <row r="3624" spans="29:32">
      <c r="AC3624" s="20"/>
      <c r="AF3624" s="21"/>
    </row>
    <row r="3625" spans="29:32">
      <c r="AC3625" s="20"/>
      <c r="AF3625" s="21"/>
    </row>
    <row r="3626" spans="29:32">
      <c r="AC3626" s="20"/>
      <c r="AF3626" s="21"/>
    </row>
    <row r="3627" spans="2:32">
      <c r="B3627" s="46"/>
      <c r="AC3627" s="20"/>
      <c r="AF3627" s="21"/>
    </row>
    <row r="3628" spans="29:32">
      <c r="AC3628" s="20"/>
      <c r="AF3628" s="21"/>
    </row>
    <row r="3629" spans="29:32">
      <c r="AC3629" s="20"/>
      <c r="AF3629" s="21"/>
    </row>
    <row r="3630" spans="29:32">
      <c r="AC3630" s="20"/>
      <c r="AF3630" s="21"/>
    </row>
    <row r="3631" spans="29:32">
      <c r="AC3631" s="20"/>
      <c r="AF3631" s="21"/>
    </row>
    <row r="3632" spans="29:32">
      <c r="AC3632" s="20"/>
      <c r="AF3632" s="21"/>
    </row>
    <row r="3633" spans="29:32">
      <c r="AC3633" s="20"/>
      <c r="AF3633" s="21"/>
    </row>
    <row r="3634" spans="29:32">
      <c r="AC3634" s="20"/>
      <c r="AF3634" s="21"/>
    </row>
    <row r="3635" spans="29:32">
      <c r="AC3635" s="20"/>
      <c r="AF3635" s="21"/>
    </row>
    <row r="3636" spans="29:32">
      <c r="AC3636" s="20"/>
      <c r="AF3636" s="21"/>
    </row>
    <row r="3637" spans="29:32">
      <c r="AC3637" s="20"/>
      <c r="AF3637" s="21"/>
    </row>
    <row r="3638" spans="29:32">
      <c r="AC3638" s="20"/>
      <c r="AF3638" s="21"/>
    </row>
    <row r="3639" spans="29:32">
      <c r="AC3639" s="20"/>
      <c r="AF3639" s="21"/>
    </row>
    <row r="3640" spans="29:32">
      <c r="AC3640" s="20"/>
      <c r="AF3640" s="21"/>
    </row>
    <row r="3641" spans="29:32">
      <c r="AC3641" s="20"/>
      <c r="AF3641" s="21"/>
    </row>
    <row r="3642" spans="29:32">
      <c r="AC3642" s="20"/>
      <c r="AF3642" s="21"/>
    </row>
    <row r="3643" spans="29:32">
      <c r="AC3643" s="20"/>
      <c r="AF3643" s="21"/>
    </row>
    <row r="3644" spans="29:32">
      <c r="AC3644" s="20"/>
      <c r="AF3644" s="21"/>
    </row>
    <row r="3645" spans="29:32">
      <c r="AC3645" s="20"/>
      <c r="AF3645" s="21"/>
    </row>
    <row r="3646" spans="29:32">
      <c r="AC3646" s="20"/>
      <c r="AF3646" s="21"/>
    </row>
    <row r="3647" spans="29:32">
      <c r="AC3647" s="20"/>
      <c r="AF3647" s="21"/>
    </row>
    <row r="3648" spans="29:32">
      <c r="AC3648" s="20"/>
      <c r="AF3648" s="21"/>
    </row>
    <row r="3649" spans="2:32">
      <c r="B3649" s="8"/>
      <c r="AC3649" s="20"/>
      <c r="AF3649" s="21"/>
    </row>
    <row r="3650" spans="2:32">
      <c r="B3650" s="8"/>
      <c r="AC3650" s="20"/>
      <c r="AF3650" s="21"/>
    </row>
    <row r="3651" spans="2:32">
      <c r="B3651" s="8"/>
      <c r="AC3651" s="20"/>
      <c r="AF3651" s="21"/>
    </row>
    <row r="3652" ht="30" customHeight="1" spans="29:32">
      <c r="AC3652" s="20"/>
      <c r="AF3652" s="21"/>
    </row>
    <row r="3653" spans="2:32">
      <c r="B3653" s="22"/>
      <c r="AC3653" s="20"/>
      <c r="AF3653" s="21"/>
    </row>
    <row r="3654" spans="2:32">
      <c r="B3654" s="22"/>
      <c r="AC3654" s="20"/>
      <c r="AF3654" s="21"/>
    </row>
    <row r="3655" spans="29:32">
      <c r="AC3655" s="20"/>
      <c r="AF3655" s="21"/>
    </row>
    <row r="3656" spans="29:32">
      <c r="AC3656" s="20"/>
      <c r="AF3656" s="21"/>
    </row>
    <row r="3657" spans="29:32">
      <c r="AC3657" s="20"/>
      <c r="AF3657" s="21"/>
    </row>
    <row r="3658" spans="29:32">
      <c r="AC3658" s="20"/>
      <c r="AF3658" s="21"/>
    </row>
    <row r="3659" spans="29:32">
      <c r="AC3659" s="20"/>
      <c r="AF3659" s="21"/>
    </row>
    <row r="3660" spans="29:32">
      <c r="AC3660" s="20"/>
      <c r="AF3660" s="21"/>
    </row>
    <row r="3661" spans="29:32">
      <c r="AC3661" s="20"/>
      <c r="AF3661" s="21"/>
    </row>
    <row r="3662" spans="2:32">
      <c r="B3662" s="8"/>
      <c r="AC3662" s="20"/>
      <c r="AF3662" s="21"/>
    </row>
    <row r="3663" spans="2:32">
      <c r="B3663" s="8"/>
      <c r="AC3663" s="20"/>
      <c r="AF3663" s="21"/>
    </row>
    <row r="3664" spans="2:32">
      <c r="B3664" s="8"/>
      <c r="AC3664" s="20"/>
      <c r="AF3664" s="21"/>
    </row>
    <row r="3665" spans="2:32">
      <c r="B3665" s="8"/>
      <c r="AC3665" s="20"/>
      <c r="AF3665" s="21"/>
    </row>
    <row r="3666" spans="2:32">
      <c r="B3666" s="8"/>
      <c r="AC3666" s="20"/>
      <c r="AF3666" s="21"/>
    </row>
    <row r="3667" spans="2:32">
      <c r="B3667" s="8"/>
      <c r="AC3667" s="20"/>
      <c r="AF3667" s="21"/>
    </row>
    <row r="3668" spans="2:32">
      <c r="B3668" s="22"/>
      <c r="AC3668" s="20"/>
      <c r="AF3668" s="21"/>
    </row>
    <row r="3669" spans="2:32">
      <c r="B3669" s="8"/>
      <c r="AC3669" s="20"/>
      <c r="AF3669" s="21"/>
    </row>
    <row r="3670" spans="29:32">
      <c r="AC3670" s="20"/>
      <c r="AF3670" s="21"/>
    </row>
    <row r="3671" spans="29:32">
      <c r="AC3671" s="20"/>
      <c r="AF3671" s="21"/>
    </row>
    <row r="3672" spans="29:32">
      <c r="AC3672" s="20"/>
      <c r="AF3672" s="21"/>
    </row>
    <row r="3673" spans="29:32">
      <c r="AC3673" s="20"/>
      <c r="AF3673" s="21"/>
    </row>
    <row r="3674" spans="29:32">
      <c r="AC3674" s="20"/>
      <c r="AF3674" s="21"/>
    </row>
    <row r="3675" spans="29:32">
      <c r="AC3675" s="20"/>
      <c r="AF3675" s="21"/>
    </row>
    <row r="3676" spans="9:32">
      <c r="I3676" s="2"/>
      <c r="O3676" s="3"/>
      <c r="P3676" s="2"/>
      <c r="AC3676" s="20"/>
      <c r="AF3676" s="21"/>
    </row>
    <row r="3677" spans="29:32">
      <c r="AC3677" s="20"/>
      <c r="AF3677" s="21"/>
    </row>
    <row r="3678" spans="29:32">
      <c r="AC3678" s="20"/>
      <c r="AF3678" s="21"/>
    </row>
    <row r="3679" spans="29:32">
      <c r="AC3679" s="20"/>
      <c r="AF3679" s="21"/>
    </row>
    <row r="3680" spans="29:32">
      <c r="AC3680" s="20"/>
      <c r="AF3680" s="21"/>
    </row>
    <row r="3681" spans="2:32">
      <c r="B3681" s="8"/>
      <c r="AC3681" s="20"/>
      <c r="AF3681" s="21"/>
    </row>
    <row r="3682" spans="2:32">
      <c r="B3682" s="8"/>
      <c r="AC3682" s="20"/>
      <c r="AF3682" s="21"/>
    </row>
    <row r="3683" spans="2:32">
      <c r="B3683" s="8"/>
      <c r="AC3683" s="20"/>
      <c r="AF3683" s="21"/>
    </row>
    <row r="3684" spans="2:32">
      <c r="B3684" s="8"/>
      <c r="AC3684" s="20"/>
      <c r="AF3684" s="21"/>
    </row>
    <row r="3685" spans="29:32">
      <c r="AC3685" s="20"/>
      <c r="AF3685" s="21"/>
    </row>
    <row r="3686" spans="29:32">
      <c r="AC3686" s="20"/>
      <c r="AF3686" s="21"/>
    </row>
    <row r="3687" spans="16:32">
      <c r="P3687" s="2"/>
      <c r="AC3687" s="20"/>
      <c r="AF3687" s="21"/>
    </row>
    <row r="3688" spans="29:32">
      <c r="AC3688" s="20"/>
      <c r="AF3688" s="21"/>
    </row>
    <row r="3689" spans="29:32">
      <c r="AC3689" s="20"/>
      <c r="AF3689" s="21"/>
    </row>
    <row r="3690" spans="29:32">
      <c r="AC3690" s="20"/>
      <c r="AF3690" s="21"/>
    </row>
    <row r="3691" spans="29:32">
      <c r="AC3691" s="20"/>
      <c r="AF3691" s="21"/>
    </row>
    <row r="3692" spans="29:32">
      <c r="AC3692" s="20"/>
      <c r="AF3692" s="21"/>
    </row>
    <row r="3693" spans="29:32">
      <c r="AC3693" s="20"/>
      <c r="AF3693" s="21"/>
    </row>
    <row r="3694" spans="29:32">
      <c r="AC3694" s="20"/>
      <c r="AF3694" s="21"/>
    </row>
    <row r="3695" spans="29:32">
      <c r="AC3695" s="20"/>
      <c r="AF3695" s="21"/>
    </row>
    <row r="3696" spans="29:32">
      <c r="AC3696" s="20"/>
      <c r="AF3696" s="21"/>
    </row>
    <row r="3697" spans="29:32">
      <c r="AC3697" s="20"/>
      <c r="AF3697" s="21"/>
    </row>
    <row r="3698" spans="29:32">
      <c r="AC3698" s="20"/>
      <c r="AF3698" s="21"/>
    </row>
    <row r="3699" spans="29:32">
      <c r="AC3699" s="20"/>
      <c r="AF3699" s="21"/>
    </row>
    <row r="3700" spans="29:32">
      <c r="AC3700" s="20"/>
      <c r="AF3700" s="21"/>
    </row>
    <row r="3701" spans="29:32">
      <c r="AC3701" s="20"/>
      <c r="AF3701" s="21"/>
    </row>
    <row r="3702" spans="2:32">
      <c r="B3702" s="47"/>
      <c r="AC3702" s="20"/>
      <c r="AF3702" s="21"/>
    </row>
    <row r="3703" spans="29:32">
      <c r="AC3703" s="20"/>
      <c r="AF3703" s="21"/>
    </row>
    <row r="3704" spans="29:32">
      <c r="AC3704" s="20"/>
      <c r="AF3704" s="21"/>
    </row>
    <row r="3705" spans="29:32">
      <c r="AC3705" s="20"/>
      <c r="AF3705" s="21"/>
    </row>
    <row r="3706" spans="29:32">
      <c r="AC3706" s="20"/>
      <c r="AF3706" s="21"/>
    </row>
    <row r="3707" spans="29:32">
      <c r="AC3707" s="20"/>
      <c r="AF3707" s="21"/>
    </row>
    <row r="3708" spans="2:32">
      <c r="B3708" s="8"/>
      <c r="AC3708" s="20"/>
      <c r="AF3708" s="21"/>
    </row>
    <row r="3709" spans="2:32">
      <c r="B3709" s="8"/>
      <c r="AC3709" s="20"/>
      <c r="AF3709" s="21"/>
    </row>
    <row r="3710" spans="2:32">
      <c r="B3710" s="8"/>
      <c r="AC3710" s="20"/>
      <c r="AF3710" s="21"/>
    </row>
    <row r="3711" spans="2:32">
      <c r="B3711" s="8"/>
      <c r="AC3711" s="20"/>
      <c r="AF3711" s="21"/>
    </row>
    <row r="3712" spans="2:32">
      <c r="B3712" s="8"/>
      <c r="AC3712" s="20"/>
      <c r="AF3712" s="21"/>
    </row>
    <row r="3713" spans="2:32">
      <c r="B3713" s="8"/>
      <c r="AC3713" s="20"/>
      <c r="AF3713" s="21"/>
    </row>
    <row r="3714" spans="2:32">
      <c r="B3714" s="8"/>
      <c r="AC3714" s="20"/>
      <c r="AF3714" s="21"/>
    </row>
    <row r="3715" spans="2:32">
      <c r="B3715" s="8"/>
      <c r="AC3715" s="20"/>
      <c r="AF3715" s="21"/>
    </row>
    <row r="3716" spans="29:32">
      <c r="AC3716" s="20"/>
      <c r="AF3716" s="21"/>
    </row>
    <row r="3717" spans="29:32">
      <c r="AC3717" s="20"/>
      <c r="AF3717" s="21"/>
    </row>
    <row r="3718" spans="29:32">
      <c r="AC3718" s="20"/>
      <c r="AF3718" s="21"/>
    </row>
    <row r="3719" spans="29:32">
      <c r="AC3719" s="20"/>
      <c r="AF3719" s="21"/>
    </row>
    <row r="3720" spans="29:32">
      <c r="AC3720" s="20"/>
      <c r="AF3720" s="21"/>
    </row>
    <row r="3721" spans="29:32">
      <c r="AC3721" s="20"/>
      <c r="AF3721" s="21"/>
    </row>
    <row r="3722" spans="29:32">
      <c r="AC3722" s="20"/>
      <c r="AF3722" s="21"/>
    </row>
    <row r="3723" spans="29:32">
      <c r="AC3723" s="20"/>
      <c r="AF3723" s="21"/>
    </row>
    <row r="3724" spans="29:32">
      <c r="AC3724" s="20"/>
      <c r="AF3724" s="21"/>
    </row>
    <row r="3725" spans="29:32">
      <c r="AC3725" s="20"/>
      <c r="AF3725" s="21"/>
    </row>
    <row r="3726" spans="29:32">
      <c r="AC3726" s="20"/>
      <c r="AF3726" s="21"/>
    </row>
    <row r="3727" spans="29:32">
      <c r="AC3727" s="20"/>
      <c r="AF3727" s="21"/>
    </row>
    <row r="3728" spans="29:32">
      <c r="AC3728" s="20"/>
      <c r="AF3728" s="21"/>
    </row>
    <row r="3729" spans="2:32">
      <c r="B3729" s="22"/>
      <c r="AC3729" s="20"/>
      <c r="AF3729" s="21"/>
    </row>
    <row r="3730" spans="29:32">
      <c r="AC3730" s="20"/>
      <c r="AF3730" s="21"/>
    </row>
    <row r="3731" spans="29:32">
      <c r="AC3731" s="20"/>
      <c r="AF3731" s="21"/>
    </row>
    <row r="3732" spans="29:32">
      <c r="AC3732" s="20"/>
      <c r="AF3732" s="21"/>
    </row>
    <row r="3733" spans="29:32">
      <c r="AC3733" s="20"/>
      <c r="AF3733" s="21"/>
    </row>
    <row r="3734" spans="2:32">
      <c r="B3734" s="8"/>
      <c r="AC3734" s="20"/>
      <c r="AF3734" s="21"/>
    </row>
    <row r="3735" spans="29:32">
      <c r="AC3735" s="20"/>
      <c r="AF3735" s="21"/>
    </row>
    <row r="3736" spans="29:32">
      <c r="AC3736" s="20"/>
      <c r="AF3736" s="21"/>
    </row>
    <row r="3737" spans="29:32">
      <c r="AC3737" s="20"/>
      <c r="AF3737" s="21"/>
    </row>
    <row r="3738" spans="29:32">
      <c r="AC3738" s="20"/>
      <c r="AF3738" s="21"/>
    </row>
    <row r="3739" spans="29:32">
      <c r="AC3739" s="20"/>
      <c r="AF3739" s="21"/>
    </row>
    <row r="3740" spans="29:32">
      <c r="AC3740" s="20"/>
      <c r="AF3740" s="21"/>
    </row>
    <row r="3741" spans="29:32">
      <c r="AC3741" s="20"/>
      <c r="AF3741" s="21"/>
    </row>
    <row r="3742" spans="29:32">
      <c r="AC3742" s="20"/>
      <c r="AF3742" s="21"/>
    </row>
    <row r="3743" spans="29:32">
      <c r="AC3743" s="20"/>
      <c r="AF3743" s="21"/>
    </row>
    <row r="3744" spans="29:32">
      <c r="AC3744" s="20"/>
      <c r="AF3744" s="21"/>
    </row>
    <row r="3745" spans="2:32">
      <c r="B3745" s="8"/>
      <c r="AC3745" s="20"/>
      <c r="AF3745" s="21"/>
    </row>
    <row r="3746" spans="2:32">
      <c r="B3746" s="8"/>
      <c r="AC3746" s="20"/>
      <c r="AF3746" s="21"/>
    </row>
    <row r="3747" spans="29:32">
      <c r="AC3747" s="20"/>
      <c r="AF3747" s="21"/>
    </row>
    <row r="3748" spans="29:32">
      <c r="AC3748" s="20"/>
      <c r="AF3748" s="21"/>
    </row>
    <row r="3749" spans="29:32">
      <c r="AC3749" s="20"/>
      <c r="AF3749" s="21"/>
    </row>
    <row r="3750" spans="29:32">
      <c r="AC3750" s="20"/>
      <c r="AF3750" s="21"/>
    </row>
    <row r="3751" spans="29:32">
      <c r="AC3751" s="20"/>
      <c r="AF3751" s="21"/>
    </row>
    <row r="3752" spans="29:32">
      <c r="AC3752" s="20"/>
      <c r="AF3752" s="21"/>
    </row>
    <row r="3753" spans="29:32">
      <c r="AC3753" s="20"/>
      <c r="AF3753" s="21"/>
    </row>
    <row r="3754" spans="29:32">
      <c r="AC3754" s="20"/>
      <c r="AF3754" s="21"/>
    </row>
    <row r="3755" spans="29:32">
      <c r="AC3755" s="20"/>
      <c r="AF3755" s="21"/>
    </row>
    <row r="3756" spans="2:32">
      <c r="B3756" s="37"/>
      <c r="AC3756" s="20"/>
      <c r="AF3756" s="21"/>
    </row>
    <row r="3757" spans="2:32">
      <c r="B3757" s="37"/>
      <c r="AC3757" s="20"/>
      <c r="AF3757" s="21"/>
    </row>
    <row r="3758" spans="2:32">
      <c r="B3758" s="37"/>
      <c r="AC3758" s="20"/>
      <c r="AF3758" s="21"/>
    </row>
    <row r="3759" spans="2:32">
      <c r="B3759" s="37"/>
      <c r="AC3759" s="20"/>
      <c r="AF3759" s="21"/>
    </row>
    <row r="3760" spans="2:32">
      <c r="B3760" s="37"/>
      <c r="AC3760" s="20"/>
      <c r="AF3760" s="21"/>
    </row>
    <row r="3761" spans="2:32">
      <c r="B3761" s="22"/>
      <c r="AC3761" s="20"/>
      <c r="AF3761" s="21"/>
    </row>
    <row r="3762" spans="29:32">
      <c r="AC3762" s="20"/>
      <c r="AF3762" s="21"/>
    </row>
    <row r="3763" spans="29:32">
      <c r="AC3763" s="20"/>
      <c r="AF3763" s="21"/>
    </row>
    <row r="3764" spans="29:32">
      <c r="AC3764" s="20"/>
      <c r="AF3764" s="21"/>
    </row>
    <row r="3765" spans="29:32">
      <c r="AC3765" s="20"/>
      <c r="AF3765" s="21"/>
    </row>
    <row r="3766" spans="29:32">
      <c r="AC3766" s="20"/>
      <c r="AF3766" s="21"/>
    </row>
    <row r="3767" spans="29:32">
      <c r="AC3767" s="20"/>
      <c r="AF3767" s="21"/>
    </row>
    <row r="3768" spans="29:32">
      <c r="AC3768" s="20"/>
      <c r="AF3768" s="21"/>
    </row>
    <row r="3769" spans="29:32">
      <c r="AC3769" s="20"/>
      <c r="AF3769" s="21"/>
    </row>
    <row r="3770" spans="29:32">
      <c r="AC3770" s="20"/>
      <c r="AF3770" s="21"/>
    </row>
    <row r="3771" spans="29:32">
      <c r="AC3771" s="20"/>
      <c r="AF3771" s="21"/>
    </row>
    <row r="3772" spans="29:32">
      <c r="AC3772" s="20"/>
      <c r="AF3772" s="21"/>
    </row>
    <row r="3773" spans="29:32">
      <c r="AC3773" s="20"/>
      <c r="AF3773" s="21"/>
    </row>
    <row r="3774" spans="29:32">
      <c r="AC3774" s="20"/>
      <c r="AF3774" s="21"/>
    </row>
    <row r="3775" spans="29:32">
      <c r="AC3775" s="20"/>
      <c r="AF3775" s="21"/>
    </row>
    <row r="3776" spans="29:32">
      <c r="AC3776" s="20"/>
      <c r="AF3776" s="21"/>
    </row>
    <row r="3777" spans="29:32">
      <c r="AC3777" s="20"/>
      <c r="AF3777" s="21"/>
    </row>
    <row r="3778" spans="29:32">
      <c r="AC3778" s="20"/>
      <c r="AF3778" s="21"/>
    </row>
    <row r="3779" spans="29:32">
      <c r="AC3779" s="20"/>
      <c r="AF3779" s="21"/>
    </row>
    <row r="3780" spans="29:32">
      <c r="AC3780" s="20"/>
      <c r="AF3780" s="21"/>
    </row>
    <row r="3781" spans="29:32">
      <c r="AC3781" s="20"/>
      <c r="AF3781" s="21"/>
    </row>
    <row r="3782" spans="29:32">
      <c r="AC3782" s="20"/>
      <c r="AF3782" s="21"/>
    </row>
    <row r="3783" spans="29:32">
      <c r="AC3783" s="20"/>
      <c r="AF3783" s="21"/>
    </row>
    <row r="3784" spans="29:32">
      <c r="AC3784" s="20"/>
      <c r="AF3784" s="21"/>
    </row>
    <row r="3785" spans="29:32">
      <c r="AC3785" s="20"/>
      <c r="AF3785" s="21"/>
    </row>
    <row r="3786" spans="29:32">
      <c r="AC3786" s="20"/>
      <c r="AF3786" s="21"/>
    </row>
    <row r="3787" spans="29:32">
      <c r="AC3787" s="20"/>
      <c r="AF3787" s="21"/>
    </row>
    <row r="3788" spans="29:32">
      <c r="AC3788" s="20"/>
      <c r="AF3788" s="21"/>
    </row>
    <row r="3789" spans="29:32">
      <c r="AC3789" s="20"/>
      <c r="AF3789" s="21"/>
    </row>
    <row r="3790" spans="29:32">
      <c r="AC3790" s="20"/>
      <c r="AF3790" s="21"/>
    </row>
    <row r="3791" spans="29:32">
      <c r="AC3791" s="20"/>
      <c r="AF3791" s="21"/>
    </row>
    <row r="3792" spans="29:32">
      <c r="AC3792" s="20"/>
      <c r="AF3792" s="21"/>
    </row>
    <row r="3793" spans="29:32">
      <c r="AC3793" s="20"/>
      <c r="AF3793" s="21"/>
    </row>
    <row r="3794" spans="29:32">
      <c r="AC3794" s="20"/>
      <c r="AF3794" s="21"/>
    </row>
    <row r="3795" spans="29:32">
      <c r="AC3795" s="20"/>
      <c r="AF3795" s="21"/>
    </row>
    <row r="3796" spans="29:32">
      <c r="AC3796" s="20"/>
      <c r="AF3796" s="21"/>
    </row>
    <row r="3797" spans="29:32">
      <c r="AC3797" s="20"/>
      <c r="AF3797" s="21"/>
    </row>
    <row r="3798" spans="29:32">
      <c r="AC3798" s="20"/>
      <c r="AF3798" s="21"/>
    </row>
    <row r="3799" spans="29:32">
      <c r="AC3799" s="20"/>
      <c r="AF3799" s="21"/>
    </row>
    <row r="3800" spans="29:32">
      <c r="AC3800" s="20"/>
      <c r="AF3800" s="21"/>
    </row>
    <row r="3801" spans="29:32">
      <c r="AC3801" s="20"/>
      <c r="AF3801" s="21"/>
    </row>
    <row r="3802" spans="29:32">
      <c r="AC3802" s="20"/>
      <c r="AF3802" s="21"/>
    </row>
    <row r="3803" spans="29:32">
      <c r="AC3803" s="20"/>
      <c r="AF3803" s="21"/>
    </row>
    <row r="3804" spans="29:32">
      <c r="AC3804" s="20"/>
      <c r="AF3804" s="21"/>
    </row>
    <row r="3805" spans="29:32">
      <c r="AC3805" s="20"/>
      <c r="AF3805" s="21"/>
    </row>
    <row r="3806" spans="29:32">
      <c r="AC3806" s="20"/>
      <c r="AF3806" s="21"/>
    </row>
    <row r="3807" spans="29:32">
      <c r="AC3807" s="20"/>
      <c r="AF3807" s="21"/>
    </row>
    <row r="3808" spans="2:32">
      <c r="B3808" s="8"/>
      <c r="AC3808" s="20"/>
      <c r="AF3808" s="21"/>
    </row>
    <row r="3809" spans="2:32">
      <c r="B3809" s="8"/>
      <c r="AC3809" s="20"/>
      <c r="AF3809" s="21"/>
    </row>
    <row r="3810" spans="2:32">
      <c r="B3810" s="8"/>
      <c r="AC3810" s="20"/>
      <c r="AF3810" s="21"/>
    </row>
    <row r="3811" spans="2:32">
      <c r="B3811" s="8"/>
      <c r="AC3811" s="20"/>
      <c r="AF3811" s="21"/>
    </row>
    <row r="3812" spans="29:32">
      <c r="AC3812" s="20"/>
      <c r="AF3812" s="21"/>
    </row>
    <row r="3813" spans="29:32">
      <c r="AC3813" s="20"/>
      <c r="AF3813" s="21"/>
    </row>
    <row r="3814" spans="29:32">
      <c r="AC3814" s="20"/>
      <c r="AF3814" s="21"/>
    </row>
    <row r="3815" spans="29:32">
      <c r="AC3815" s="20"/>
      <c r="AF3815" s="21"/>
    </row>
    <row r="3816" spans="29:32">
      <c r="AC3816" s="20"/>
      <c r="AF3816" s="21"/>
    </row>
    <row r="3817" spans="29:32">
      <c r="AC3817" s="20"/>
      <c r="AF3817" s="21"/>
    </row>
    <row r="3818" spans="29:32">
      <c r="AC3818" s="20"/>
      <c r="AF3818" s="21"/>
    </row>
    <row r="3819" spans="29:32">
      <c r="AC3819" s="20"/>
      <c r="AF3819" s="21"/>
    </row>
    <row r="3820" spans="29:32">
      <c r="AC3820" s="20"/>
      <c r="AF3820" s="21"/>
    </row>
    <row r="3821" spans="2:32">
      <c r="B3821" s="46"/>
      <c r="AC3821" s="20"/>
      <c r="AF3821" s="21"/>
    </row>
    <row r="3822" spans="29:32">
      <c r="AC3822" s="20"/>
      <c r="AF3822" s="21"/>
    </row>
    <row r="3823" spans="29:32">
      <c r="AC3823" s="20"/>
      <c r="AF3823" s="21"/>
    </row>
    <row r="3824" spans="2:32">
      <c r="B3824" s="8"/>
      <c r="AC3824" s="20"/>
      <c r="AF3824" s="21"/>
    </row>
    <row r="3825" spans="2:32">
      <c r="B3825" s="8"/>
      <c r="AC3825" s="20"/>
      <c r="AF3825" s="21"/>
    </row>
    <row r="3826" spans="2:32">
      <c r="B3826" s="8"/>
      <c r="AC3826" s="20"/>
      <c r="AF3826" s="21"/>
    </row>
    <row r="3827" spans="2:32">
      <c r="B3827" s="37"/>
      <c r="AC3827" s="20"/>
      <c r="AF3827" s="21"/>
    </row>
    <row r="3828" spans="29:32">
      <c r="AC3828" s="20"/>
      <c r="AF3828" s="21"/>
    </row>
    <row r="3829" spans="29:32">
      <c r="AC3829" s="20"/>
      <c r="AF3829" s="21"/>
    </row>
    <row r="3830" spans="29:32">
      <c r="AC3830" s="20"/>
      <c r="AF3830" s="21"/>
    </row>
    <row r="3831" spans="29:32">
      <c r="AC3831" s="20"/>
      <c r="AF3831" s="21"/>
    </row>
    <row r="3832" spans="29:32">
      <c r="AC3832" s="20"/>
      <c r="AF3832" s="21"/>
    </row>
    <row r="3833" spans="29:32">
      <c r="AC3833" s="20"/>
      <c r="AF3833" s="21"/>
    </row>
    <row r="3834" spans="29:32">
      <c r="AC3834" s="20"/>
      <c r="AF3834" s="21"/>
    </row>
    <row r="3835" spans="29:32">
      <c r="AC3835" s="20"/>
      <c r="AF3835" s="21"/>
    </row>
    <row r="3836" spans="29:32">
      <c r="AC3836" s="20"/>
      <c r="AF3836" s="21"/>
    </row>
    <row r="3837" spans="2:32">
      <c r="B3837" s="8"/>
      <c r="AC3837" s="20"/>
      <c r="AF3837" s="21"/>
    </row>
    <row r="3838" spans="2:32">
      <c r="B3838" s="8"/>
      <c r="AC3838" s="20"/>
      <c r="AF3838" s="21"/>
    </row>
    <row r="3839" spans="2:32">
      <c r="B3839" s="8"/>
      <c r="AC3839" s="20"/>
      <c r="AF3839" s="21"/>
    </row>
    <row r="3840" spans="29:32">
      <c r="AC3840" s="20"/>
      <c r="AF3840" s="21"/>
    </row>
    <row r="3841" spans="29:32">
      <c r="AC3841" s="20"/>
      <c r="AF3841" s="21"/>
    </row>
    <row r="3842" spans="29:32">
      <c r="AC3842" s="20"/>
      <c r="AF3842" s="21"/>
    </row>
    <row r="3843" spans="29:32">
      <c r="AC3843" s="20"/>
      <c r="AF3843" s="21"/>
    </row>
    <row r="3844" spans="29:32">
      <c r="AC3844" s="20"/>
      <c r="AF3844" s="21"/>
    </row>
    <row r="3845" spans="29:32">
      <c r="AC3845" s="20"/>
      <c r="AF3845" s="21"/>
    </row>
    <row r="3846" spans="29:32">
      <c r="AC3846" s="20"/>
      <c r="AF3846" s="21"/>
    </row>
    <row r="3847" spans="29:32">
      <c r="AC3847" s="20"/>
      <c r="AF3847" s="21"/>
    </row>
    <row r="3848" spans="29:32">
      <c r="AC3848" s="20"/>
      <c r="AF3848" s="21"/>
    </row>
    <row r="3849" spans="29:32">
      <c r="AC3849" s="20"/>
      <c r="AF3849" s="21"/>
    </row>
    <row r="3850" spans="29:32">
      <c r="AC3850" s="20"/>
      <c r="AF3850" s="21"/>
    </row>
    <row r="3851" spans="29:32">
      <c r="AC3851" s="20"/>
      <c r="AF3851" s="21"/>
    </row>
    <row r="3852" spans="29:32">
      <c r="AC3852" s="20"/>
      <c r="AF3852" s="21"/>
    </row>
    <row r="3853" spans="29:32">
      <c r="AC3853" s="20"/>
      <c r="AF3853" s="21"/>
    </row>
    <row r="3854" spans="2:32">
      <c r="B3854" s="8"/>
      <c r="AC3854" s="20"/>
      <c r="AF3854" s="21"/>
    </row>
    <row r="3855" spans="2:32">
      <c r="B3855" s="8"/>
      <c r="AC3855" s="20"/>
      <c r="AF3855" s="21"/>
    </row>
    <row r="3856" spans="2:32">
      <c r="B3856" s="8"/>
      <c r="AC3856" s="20"/>
      <c r="AF3856" s="21"/>
    </row>
    <row r="3857" spans="2:32">
      <c r="B3857" s="8"/>
      <c r="AC3857" s="20"/>
      <c r="AF3857" s="21"/>
    </row>
    <row r="3858" spans="29:32">
      <c r="AC3858" s="20"/>
      <c r="AF3858" s="21"/>
    </row>
    <row r="3859" spans="29:32">
      <c r="AC3859" s="20"/>
      <c r="AF3859" s="21"/>
    </row>
    <row r="3860" spans="29:32">
      <c r="AC3860" s="20"/>
      <c r="AF3860" s="21"/>
    </row>
    <row r="3861" spans="29:32">
      <c r="AC3861" s="20"/>
      <c r="AF3861" s="21"/>
    </row>
    <row r="3862" spans="2:32">
      <c r="B3862" s="46"/>
      <c r="AC3862" s="20"/>
      <c r="AF3862" s="21"/>
    </row>
    <row r="3863" spans="29:32">
      <c r="AC3863" s="20"/>
      <c r="AF3863" s="21"/>
    </row>
    <row r="3864" spans="2:32">
      <c r="B3864" s="8"/>
      <c r="AC3864" s="20"/>
      <c r="AF3864" s="21"/>
    </row>
    <row r="3865" spans="2:32">
      <c r="B3865" s="8"/>
      <c r="AC3865" s="20"/>
      <c r="AF3865" s="21"/>
    </row>
    <row r="3866" spans="2:32">
      <c r="B3866" s="8"/>
      <c r="AC3866" s="20"/>
      <c r="AF3866" s="21"/>
    </row>
    <row r="3867" spans="29:32">
      <c r="AC3867" s="20"/>
      <c r="AF3867" s="21"/>
    </row>
    <row r="3868" spans="29:32">
      <c r="AC3868" s="20"/>
      <c r="AF3868" s="21"/>
    </row>
    <row r="3869" spans="29:32">
      <c r="AC3869" s="20"/>
      <c r="AF3869" s="21"/>
    </row>
    <row r="3870" spans="29:32">
      <c r="AC3870" s="20"/>
      <c r="AF3870" s="21"/>
    </row>
    <row r="3871" spans="29:32">
      <c r="AC3871" s="20"/>
      <c r="AF3871" s="21"/>
    </row>
    <row r="3872" spans="29:32">
      <c r="AC3872" s="20"/>
      <c r="AF3872" s="21"/>
    </row>
    <row r="3873" spans="29:32">
      <c r="AC3873" s="20"/>
      <c r="AF3873" s="21"/>
    </row>
    <row r="3874" spans="29:32">
      <c r="AC3874" s="20"/>
      <c r="AF3874" s="21"/>
    </row>
    <row r="3875" spans="29:32">
      <c r="AC3875" s="20"/>
      <c r="AF3875" s="21"/>
    </row>
    <row r="3876" spans="29:32">
      <c r="AC3876" s="20"/>
      <c r="AF3876" s="21"/>
    </row>
    <row r="3877" spans="29:32">
      <c r="AC3877" s="20"/>
      <c r="AF3877" s="21"/>
    </row>
    <row r="3878" spans="29:32">
      <c r="AC3878" s="20"/>
      <c r="AF3878" s="21"/>
    </row>
    <row r="3879" spans="29:32">
      <c r="AC3879" s="20"/>
      <c r="AF3879" s="21"/>
    </row>
    <row r="3880" spans="29:32">
      <c r="AC3880" s="20"/>
      <c r="AF3880" s="21"/>
    </row>
    <row r="3881" spans="29:32">
      <c r="AC3881" s="20"/>
      <c r="AF3881" s="21"/>
    </row>
    <row r="3882" spans="29:32">
      <c r="AC3882" s="20"/>
      <c r="AF3882" s="21"/>
    </row>
    <row r="3883" spans="29:32">
      <c r="AC3883" s="20"/>
      <c r="AF3883" s="21"/>
    </row>
    <row r="3884" spans="29:32">
      <c r="AC3884" s="20"/>
      <c r="AF3884" s="21"/>
    </row>
    <row r="3885" spans="29:32">
      <c r="AC3885" s="20"/>
      <c r="AF3885" s="21"/>
    </row>
    <row r="3886" spans="29:32">
      <c r="AC3886" s="20"/>
      <c r="AF3886" s="21"/>
    </row>
    <row r="3887" spans="29:32">
      <c r="AC3887" s="20"/>
      <c r="AF3887" s="21"/>
    </row>
    <row r="3888" spans="29:32">
      <c r="AC3888" s="20"/>
      <c r="AF3888" s="21"/>
    </row>
    <row r="3889" spans="29:32">
      <c r="AC3889" s="20"/>
      <c r="AF3889" s="21"/>
    </row>
    <row r="3890" spans="29:32">
      <c r="AC3890" s="20"/>
      <c r="AF3890" s="21"/>
    </row>
    <row r="3891" spans="29:32">
      <c r="AC3891" s="20"/>
      <c r="AF3891" s="21"/>
    </row>
    <row r="3892" spans="29:32">
      <c r="AC3892" s="20"/>
      <c r="AF3892" s="21"/>
    </row>
    <row r="3893" spans="29:32">
      <c r="AC3893" s="20"/>
      <c r="AF3893" s="21"/>
    </row>
    <row r="3894" spans="29:32">
      <c r="AC3894" s="20"/>
      <c r="AF3894" s="21"/>
    </row>
    <row r="3895" spans="29:32">
      <c r="AC3895" s="20"/>
      <c r="AF3895" s="21"/>
    </row>
    <row r="3896" spans="29:32">
      <c r="AC3896" s="20"/>
      <c r="AF3896" s="21"/>
    </row>
    <row r="3897" spans="29:32">
      <c r="AC3897" s="20"/>
      <c r="AF3897" s="21"/>
    </row>
    <row r="3898" spans="2:32">
      <c r="B3898" s="8"/>
      <c r="AC3898" s="20"/>
      <c r="AF3898" s="21"/>
    </row>
    <row r="3899" spans="2:32">
      <c r="B3899" s="8"/>
      <c r="AC3899" s="20"/>
      <c r="AF3899" s="21"/>
    </row>
    <row r="3900" spans="2:32">
      <c r="B3900" s="8"/>
      <c r="AC3900" s="20"/>
      <c r="AF3900" s="21"/>
    </row>
    <row r="3901" spans="2:32">
      <c r="B3901" s="8"/>
      <c r="AC3901" s="20"/>
      <c r="AF3901" s="21"/>
    </row>
    <row r="3902" spans="2:32">
      <c r="B3902" s="8"/>
      <c r="AC3902" s="20"/>
      <c r="AF3902" s="21"/>
    </row>
    <row r="3903" spans="2:32">
      <c r="B3903" s="8"/>
      <c r="AC3903" s="20"/>
      <c r="AF3903" s="21"/>
    </row>
    <row r="3904" spans="2:32">
      <c r="B3904" s="8"/>
      <c r="AC3904" s="20"/>
      <c r="AF3904" s="21"/>
    </row>
    <row r="3905" spans="2:32">
      <c r="B3905" s="8"/>
      <c r="AC3905" s="20"/>
      <c r="AF3905" s="21"/>
    </row>
    <row r="3906" spans="2:32">
      <c r="B3906" s="8"/>
      <c r="AC3906" s="20"/>
      <c r="AF3906" s="21"/>
    </row>
    <row r="3907" spans="29:32">
      <c r="AC3907" s="20"/>
      <c r="AF3907" s="21"/>
    </row>
    <row r="3908" spans="29:32">
      <c r="AC3908" s="20"/>
      <c r="AF3908" s="21"/>
    </row>
    <row r="3909" spans="29:32">
      <c r="AC3909" s="20"/>
      <c r="AF3909" s="21"/>
    </row>
    <row r="3910" spans="29:32">
      <c r="AC3910" s="20"/>
      <c r="AF3910" s="21"/>
    </row>
    <row r="3911" spans="29:32">
      <c r="AC3911" s="20"/>
      <c r="AF3911" s="21"/>
    </row>
    <row r="3912" spans="29:32">
      <c r="AC3912" s="20"/>
      <c r="AF3912" s="21"/>
    </row>
    <row r="3913" spans="29:32">
      <c r="AC3913" s="20"/>
      <c r="AF3913" s="21"/>
    </row>
    <row r="3914" spans="29:32">
      <c r="AC3914" s="20"/>
      <c r="AF3914" s="21"/>
    </row>
    <row r="3915" spans="29:32">
      <c r="AC3915" s="20"/>
      <c r="AF3915" s="21"/>
    </row>
    <row r="3916" spans="29:32">
      <c r="AC3916" s="20"/>
      <c r="AF3916" s="21"/>
    </row>
    <row r="3917" spans="29:32">
      <c r="AC3917" s="20"/>
      <c r="AF3917" s="21"/>
    </row>
    <row r="3918" spans="29:32">
      <c r="AC3918" s="20"/>
      <c r="AF3918" s="21"/>
    </row>
    <row r="3919" spans="29:32">
      <c r="AC3919" s="20"/>
      <c r="AF3919" s="21"/>
    </row>
    <row r="3920" spans="29:32">
      <c r="AC3920" s="20"/>
      <c r="AF3920" s="21"/>
    </row>
    <row r="3921" spans="29:32">
      <c r="AC3921" s="20"/>
      <c r="AF3921" s="21"/>
    </row>
    <row r="3922" spans="29:32">
      <c r="AC3922" s="20"/>
      <c r="AF3922" s="21"/>
    </row>
    <row r="3923" spans="29:32">
      <c r="AC3923" s="20"/>
      <c r="AF3923" s="21"/>
    </row>
    <row r="3924" spans="29:32">
      <c r="AC3924" s="20"/>
      <c r="AF3924" s="21"/>
    </row>
    <row r="3925" spans="29:32">
      <c r="AC3925" s="20"/>
      <c r="AF3925" s="21"/>
    </row>
    <row r="3926" spans="2:32">
      <c r="B3926" s="8"/>
      <c r="AC3926" s="20"/>
      <c r="AF3926" s="21"/>
    </row>
    <row r="3927" spans="2:32">
      <c r="B3927" s="8"/>
      <c r="AC3927" s="20"/>
      <c r="AF3927" s="21"/>
    </row>
    <row r="3928" spans="2:32">
      <c r="B3928" s="8"/>
      <c r="AC3928" s="20"/>
      <c r="AF3928" s="21"/>
    </row>
    <row r="3929" spans="2:32">
      <c r="B3929" s="8"/>
      <c r="AC3929" s="20"/>
      <c r="AF3929" s="21"/>
    </row>
    <row r="3930" spans="2:32">
      <c r="B3930" s="8"/>
      <c r="AC3930" s="20"/>
      <c r="AF3930" s="21"/>
    </row>
    <row r="3931" spans="2:32">
      <c r="B3931" s="8"/>
      <c r="AC3931" s="20"/>
      <c r="AF3931" s="21"/>
    </row>
    <row r="3932" spans="2:32">
      <c r="B3932" s="8"/>
      <c r="AC3932" s="20"/>
      <c r="AF3932" s="21"/>
    </row>
    <row r="3933" spans="2:32">
      <c r="B3933" s="8"/>
      <c r="AC3933" s="20"/>
      <c r="AF3933" s="21"/>
    </row>
    <row r="3934" spans="2:32">
      <c r="B3934" s="8"/>
      <c r="AC3934" s="20"/>
      <c r="AF3934" s="21"/>
    </row>
    <row r="3935" spans="2:32">
      <c r="B3935" s="8"/>
      <c r="AC3935" s="20"/>
      <c r="AF3935" s="21"/>
    </row>
    <row r="3936" spans="2:32">
      <c r="B3936" s="8"/>
      <c r="AC3936" s="20"/>
      <c r="AF3936" s="21"/>
    </row>
    <row r="3937" spans="29:32">
      <c r="AC3937" s="20"/>
      <c r="AF3937" s="21"/>
    </row>
    <row r="3938" spans="29:32">
      <c r="AC3938" s="20"/>
      <c r="AF3938" s="21"/>
    </row>
    <row r="3939" spans="29:32">
      <c r="AC3939" s="20"/>
      <c r="AF3939" s="21"/>
    </row>
    <row r="3940" spans="29:32">
      <c r="AC3940" s="20"/>
      <c r="AF3940" s="21"/>
    </row>
    <row r="3941" spans="29:32">
      <c r="AC3941" s="20"/>
      <c r="AF3941" s="21"/>
    </row>
    <row r="3942" spans="29:32">
      <c r="AC3942" s="20"/>
      <c r="AF3942" s="21"/>
    </row>
    <row r="3943" spans="29:32">
      <c r="AC3943" s="20"/>
      <c r="AF3943" s="21"/>
    </row>
    <row r="3944" spans="29:32">
      <c r="AC3944" s="20"/>
      <c r="AF3944" s="21"/>
    </row>
    <row r="3945" spans="2:32">
      <c r="B3945" s="8"/>
      <c r="AC3945" s="20"/>
      <c r="AF3945" s="21"/>
    </row>
    <row r="3946" spans="2:32">
      <c r="B3946" s="8"/>
      <c r="AC3946" s="20"/>
      <c r="AF3946" s="21"/>
    </row>
    <row r="3947" spans="2:32">
      <c r="B3947" s="8"/>
      <c r="AC3947" s="20"/>
      <c r="AF3947" s="21"/>
    </row>
    <row r="3948" spans="2:32">
      <c r="B3948" s="8"/>
      <c r="AC3948" s="20"/>
      <c r="AF3948" s="21"/>
    </row>
    <row r="3949" spans="2:32">
      <c r="B3949" s="8"/>
      <c r="AC3949" s="20"/>
      <c r="AF3949" s="21"/>
    </row>
    <row r="3950" spans="2:32">
      <c r="B3950" s="8"/>
      <c r="AC3950" s="20"/>
      <c r="AF3950" s="21"/>
    </row>
    <row r="3951" spans="2:32">
      <c r="B3951" s="8"/>
      <c r="AC3951" s="20"/>
      <c r="AF3951" s="21"/>
    </row>
    <row r="3952" spans="2:32">
      <c r="B3952" s="8"/>
      <c r="AC3952" s="20"/>
      <c r="AF3952" s="21"/>
    </row>
    <row r="3953" spans="29:32">
      <c r="AC3953" s="20"/>
      <c r="AF3953" s="21"/>
    </row>
    <row r="3954" spans="9:32">
      <c r="I3954" s="2"/>
      <c r="J3954" s="3"/>
      <c r="P3954" s="2"/>
      <c r="Q3954" s="3"/>
      <c r="AC3954" s="20"/>
      <c r="AF3954" s="21"/>
    </row>
    <row r="3955" spans="29:32">
      <c r="AC3955" s="20"/>
      <c r="AF3955" s="21"/>
    </row>
    <row r="3956" spans="29:32">
      <c r="AC3956" s="20"/>
      <c r="AF3956" s="21"/>
    </row>
    <row r="3957" spans="29:32">
      <c r="AC3957" s="20"/>
      <c r="AF3957" s="21"/>
    </row>
    <row r="3958" spans="29:32">
      <c r="AC3958" s="20"/>
      <c r="AF3958" s="21"/>
    </row>
    <row r="3959" spans="29:32">
      <c r="AC3959" s="20"/>
      <c r="AF3959" s="21"/>
    </row>
    <row r="3960" spans="29:32">
      <c r="AC3960" s="20"/>
      <c r="AF3960" s="21"/>
    </row>
    <row r="3961" spans="29:32">
      <c r="AC3961" s="20"/>
      <c r="AF3961" s="21"/>
    </row>
    <row r="3962" spans="29:32">
      <c r="AC3962" s="20"/>
      <c r="AF3962" s="21"/>
    </row>
    <row r="3963" spans="29:32">
      <c r="AC3963" s="20"/>
      <c r="AF3963" s="21"/>
    </row>
    <row r="3964" spans="29:32">
      <c r="AC3964" s="20"/>
      <c r="AF3964" s="21"/>
    </row>
    <row r="3965" spans="29:32">
      <c r="AC3965" s="20"/>
      <c r="AF3965" s="21"/>
    </row>
    <row r="3966" spans="29:32">
      <c r="AC3966" s="20"/>
      <c r="AF3966" s="21"/>
    </row>
    <row r="3967" spans="29:32">
      <c r="AC3967" s="20"/>
      <c r="AF3967" s="21"/>
    </row>
    <row r="3968" spans="29:32">
      <c r="AC3968" s="20"/>
      <c r="AF3968" s="21"/>
    </row>
    <row r="3969" spans="29:32">
      <c r="AC3969" s="20"/>
      <c r="AF3969" s="21"/>
    </row>
    <row r="3970" spans="29:32">
      <c r="AC3970" s="20"/>
      <c r="AF3970" s="21"/>
    </row>
    <row r="3971" spans="29:32">
      <c r="AC3971" s="20"/>
      <c r="AF3971" s="21"/>
    </row>
    <row r="3972" spans="29:32">
      <c r="AC3972" s="20"/>
      <c r="AF3972" s="21"/>
    </row>
    <row r="3973" spans="29:32">
      <c r="AC3973" s="20"/>
      <c r="AF3973" s="21"/>
    </row>
    <row r="3974" spans="29:32">
      <c r="AC3974" s="20"/>
      <c r="AF3974" s="21"/>
    </row>
    <row r="3975" spans="29:32">
      <c r="AC3975" s="20"/>
      <c r="AF3975" s="21"/>
    </row>
    <row r="3976" spans="29:32">
      <c r="AC3976" s="20"/>
      <c r="AF3976" s="21"/>
    </row>
    <row r="3977" spans="29:32">
      <c r="AC3977" s="20"/>
      <c r="AF3977" s="21"/>
    </row>
    <row r="3978" spans="29:32">
      <c r="AC3978" s="20"/>
      <c r="AF3978" s="21"/>
    </row>
    <row r="3979" spans="29:32">
      <c r="AC3979" s="20"/>
      <c r="AF3979" s="21"/>
    </row>
    <row r="3980" spans="29:32">
      <c r="AC3980" s="20"/>
      <c r="AF3980" s="21"/>
    </row>
    <row r="3981" spans="2:32">
      <c r="B3981" s="8"/>
      <c r="AC3981" s="20"/>
      <c r="AF3981" s="21"/>
    </row>
    <row r="3982" spans="2:32">
      <c r="B3982" s="8"/>
      <c r="AC3982" s="20"/>
      <c r="AF3982" s="21"/>
    </row>
    <row r="3983" spans="2:32">
      <c r="B3983" s="8"/>
      <c r="AC3983" s="20"/>
      <c r="AF3983" s="21"/>
    </row>
    <row r="3984" spans="29:32">
      <c r="AC3984" s="20"/>
      <c r="AF3984" s="21"/>
    </row>
    <row r="3985" spans="29:32">
      <c r="AC3985" s="20"/>
      <c r="AF3985" s="21"/>
    </row>
    <row r="3986" spans="29:32">
      <c r="AC3986" s="20"/>
      <c r="AF3986" s="21"/>
    </row>
    <row r="3987" spans="29:32">
      <c r="AC3987" s="20"/>
      <c r="AF3987" s="21"/>
    </row>
    <row r="3988" spans="29:32">
      <c r="AC3988" s="20"/>
      <c r="AF3988" s="21"/>
    </row>
    <row r="3989" spans="29:32">
      <c r="AC3989" s="20"/>
      <c r="AF3989" s="21"/>
    </row>
    <row r="3990" spans="29:32">
      <c r="AC3990" s="20"/>
      <c r="AF3990" s="21"/>
    </row>
    <row r="3991" spans="29:32">
      <c r="AC3991" s="20"/>
      <c r="AF3991" s="21"/>
    </row>
    <row r="3992" spans="2:32">
      <c r="B3992" s="8"/>
      <c r="AC3992" s="20"/>
      <c r="AF3992" s="21"/>
    </row>
    <row r="3993" spans="2:32">
      <c r="B3993" s="48"/>
      <c r="O3993" s="3"/>
      <c r="P3993" s="2"/>
      <c r="AC3993" s="20"/>
      <c r="AD3993" s="41"/>
      <c r="AF3993" s="21"/>
    </row>
    <row r="3994" spans="2:32">
      <c r="B3994" s="48"/>
      <c r="AC3994" s="20"/>
      <c r="AD3994" s="41"/>
      <c r="AF3994" s="21"/>
    </row>
    <row r="3995" spans="2:32">
      <c r="B3995" s="48"/>
      <c r="AC3995" s="20"/>
      <c r="AD3995" s="41"/>
      <c r="AF3995" s="21"/>
    </row>
    <row r="3996" spans="2:32">
      <c r="B3996" s="48"/>
      <c r="AC3996" s="20"/>
      <c r="AD3996" s="41"/>
      <c r="AF3996" s="21"/>
    </row>
    <row r="3997" spans="2:32">
      <c r="B3997" s="48"/>
      <c r="AC3997" s="20"/>
      <c r="AD3997" s="41"/>
      <c r="AF3997" s="21"/>
    </row>
    <row r="3998" spans="2:32">
      <c r="B3998" s="48"/>
      <c r="AC3998" s="20"/>
      <c r="AD3998" s="41"/>
      <c r="AF3998" s="21"/>
    </row>
    <row r="3999" spans="2:32">
      <c r="B3999" s="41"/>
      <c r="AC3999" s="20"/>
      <c r="AD3999" s="41"/>
      <c r="AF3999" s="21"/>
    </row>
    <row r="4000" spans="2:32">
      <c r="B4000" s="48"/>
      <c r="AC4000" s="20"/>
      <c r="AD4000" s="41"/>
      <c r="AF4000" s="21"/>
    </row>
    <row r="4001" spans="29:32">
      <c r="AC4001" s="20"/>
      <c r="AF4001" s="21"/>
    </row>
    <row r="4002" spans="29:32">
      <c r="AC4002" s="20"/>
      <c r="AF4002" s="21"/>
    </row>
    <row r="4003" spans="29:32">
      <c r="AC4003" s="20"/>
      <c r="AF4003" s="21"/>
    </row>
    <row r="4004" spans="29:32">
      <c r="AC4004" s="20"/>
      <c r="AF4004" s="21"/>
    </row>
    <row r="4005" spans="29:32">
      <c r="AC4005" s="20"/>
      <c r="AF4005" s="21"/>
    </row>
    <row r="4006" spans="2:32">
      <c r="B4006" s="8"/>
      <c r="AC4006" s="20"/>
      <c r="AF4006" s="21"/>
    </row>
    <row r="4007" spans="2:32">
      <c r="B4007" s="8"/>
      <c r="AC4007" s="20"/>
      <c r="AF4007" s="21"/>
    </row>
    <row r="4008" spans="2:32">
      <c r="B4008" s="8"/>
      <c r="AC4008" s="20"/>
      <c r="AF4008" s="21"/>
    </row>
    <row r="4009" spans="2:32">
      <c r="B4009" s="8"/>
      <c r="AC4009" s="20"/>
      <c r="AF4009" s="21"/>
    </row>
    <row r="4010" spans="2:32">
      <c r="B4010" s="8"/>
      <c r="AC4010" s="20"/>
      <c r="AF4010" s="21"/>
    </row>
    <row r="4011" spans="2:32">
      <c r="B4011" s="8"/>
      <c r="AC4011" s="20"/>
      <c r="AF4011" s="21"/>
    </row>
    <row r="4012" spans="2:32">
      <c r="B4012" s="8"/>
      <c r="AC4012" s="20"/>
      <c r="AF4012" s="21"/>
    </row>
    <row r="4013" spans="2:32">
      <c r="B4013" s="8"/>
      <c r="AC4013" s="20"/>
      <c r="AF4013" s="21"/>
    </row>
    <row r="4014" spans="2:32">
      <c r="B4014" s="8"/>
      <c r="AC4014" s="20"/>
      <c r="AF4014" s="21"/>
    </row>
    <row r="4015" spans="2:32">
      <c r="B4015" s="8"/>
      <c r="AC4015" s="20"/>
      <c r="AF4015" s="21"/>
    </row>
    <row r="4016" spans="2:32">
      <c r="B4016" s="8"/>
      <c r="AC4016" s="20"/>
      <c r="AF4016" s="21"/>
    </row>
    <row r="4017" spans="2:32">
      <c r="B4017" s="8"/>
      <c r="AC4017" s="20"/>
      <c r="AF4017" s="21"/>
    </row>
    <row r="4018" spans="2:32">
      <c r="B4018" s="8"/>
      <c r="AC4018" s="20"/>
      <c r="AF4018" s="21"/>
    </row>
    <row r="4019" spans="2:32">
      <c r="B4019" s="8"/>
      <c r="AC4019" s="20"/>
      <c r="AF4019" s="21"/>
    </row>
    <row r="4020" spans="2:32">
      <c r="B4020" s="8"/>
      <c r="AC4020" s="20"/>
      <c r="AF4020" s="21"/>
    </row>
    <row r="4021" spans="2:32">
      <c r="B4021" s="8"/>
      <c r="AC4021" s="20"/>
      <c r="AF4021" s="21"/>
    </row>
    <row r="4022" spans="2:32">
      <c r="B4022" s="22"/>
      <c r="AC4022" s="20"/>
      <c r="AF4022" s="21"/>
    </row>
    <row r="4023" spans="2:32">
      <c r="B4023" s="22"/>
      <c r="AC4023" s="20"/>
      <c r="AF4023" s="21"/>
    </row>
    <row r="4024" spans="2:32">
      <c r="B4024" s="22"/>
      <c r="AC4024" s="20"/>
      <c r="AF4024" s="21"/>
    </row>
    <row r="4025" spans="29:32">
      <c r="AC4025" s="20"/>
      <c r="AF4025" s="21"/>
    </row>
    <row r="4026" spans="29:32">
      <c r="AC4026" s="20"/>
      <c r="AF4026" s="21"/>
    </row>
    <row r="4027" spans="2:32">
      <c r="B4027" s="8"/>
      <c r="AC4027" s="20"/>
      <c r="AF4027" s="21"/>
    </row>
    <row r="4028" spans="2:32">
      <c r="B4028" s="8"/>
      <c r="AC4028" s="20"/>
      <c r="AF4028" s="21"/>
    </row>
    <row r="4029" spans="2:32">
      <c r="B4029" s="8"/>
      <c r="AC4029" s="20"/>
      <c r="AF4029" s="21"/>
    </row>
    <row r="4030" spans="2:32">
      <c r="B4030" s="8"/>
      <c r="AC4030" s="20"/>
      <c r="AF4030" s="21"/>
    </row>
    <row r="4031" spans="2:32">
      <c r="B4031" s="8"/>
      <c r="AC4031" s="20"/>
      <c r="AF4031" s="21"/>
    </row>
    <row r="4032" spans="2:32">
      <c r="B4032" s="8"/>
      <c r="AC4032" s="20"/>
      <c r="AF4032" s="21"/>
    </row>
    <row r="4033" spans="2:32">
      <c r="B4033" s="22"/>
      <c r="AC4033" s="20"/>
      <c r="AF4033" s="21"/>
    </row>
    <row r="4034" spans="29:32">
      <c r="AC4034" s="20"/>
      <c r="AF4034" s="21"/>
    </row>
    <row r="4035" spans="2:32">
      <c r="B4035" s="22"/>
      <c r="AC4035" s="20"/>
      <c r="AF4035" s="21"/>
    </row>
    <row r="4036" spans="29:32">
      <c r="AC4036" s="20"/>
      <c r="AF4036" s="21"/>
    </row>
    <row r="4037" spans="29:32">
      <c r="AC4037" s="20"/>
      <c r="AF4037" s="21"/>
    </row>
    <row r="4038" spans="29:32">
      <c r="AC4038" s="20"/>
      <c r="AF4038" s="21"/>
    </row>
    <row r="4039" spans="2:32">
      <c r="B4039" s="8"/>
      <c r="AC4039" s="20"/>
      <c r="AF4039" s="21"/>
    </row>
    <row r="4040" spans="2:32">
      <c r="B4040" s="8"/>
      <c r="AC4040" s="20"/>
      <c r="AF4040" s="21"/>
    </row>
    <row r="4041" spans="29:32">
      <c r="AC4041" s="20"/>
      <c r="AF4041" s="21"/>
    </row>
    <row r="4042" ht="15.75" spans="2:32">
      <c r="B4042" s="22"/>
      <c r="AC4042" s="20"/>
      <c r="AD4042" s="32"/>
      <c r="AF4042" s="21"/>
    </row>
    <row r="4043" ht="15.75" spans="2:32">
      <c r="B4043" s="22"/>
      <c r="K4043" s="47"/>
      <c r="L4043" s="47"/>
      <c r="M4043" s="47"/>
      <c r="N4043" s="47"/>
      <c r="O4043" s="47"/>
      <c r="P4043" s="47"/>
      <c r="Q4043" s="41"/>
      <c r="R4043" s="47"/>
      <c r="S4043" s="47"/>
      <c r="T4043" s="47"/>
      <c r="U4043" s="47"/>
      <c r="V4043" s="47"/>
      <c r="W4043" s="47"/>
      <c r="X4043" s="47"/>
      <c r="Y4043" s="47"/>
      <c r="Z4043" s="47"/>
      <c r="AC4043" s="20"/>
      <c r="AD4043" s="32"/>
      <c r="AF4043" s="21"/>
    </row>
    <row r="4044" ht="15.75" spans="2:32">
      <c r="B4044" s="22"/>
      <c r="AC4044" s="20"/>
      <c r="AD4044" s="32"/>
      <c r="AF4044" s="21"/>
    </row>
    <row r="4045" ht="15.75" spans="2:32">
      <c r="B4045" s="22"/>
      <c r="AC4045" s="20"/>
      <c r="AD4045" s="32"/>
      <c r="AF4045" s="21"/>
    </row>
    <row r="4046" ht="15.75" spans="2:32">
      <c r="B4046" s="22"/>
      <c r="AC4046" s="20"/>
      <c r="AD4046" s="32"/>
      <c r="AF4046" s="21"/>
    </row>
    <row r="4047" ht="15.75" spans="29:32">
      <c r="AC4047" s="20"/>
      <c r="AD4047" s="32"/>
      <c r="AF4047" s="21"/>
    </row>
    <row r="4048" ht="15.75" spans="29:32">
      <c r="AC4048" s="20"/>
      <c r="AD4048" s="32"/>
      <c r="AF4048" s="21"/>
    </row>
    <row r="4049" ht="15.75" spans="29:32">
      <c r="AC4049" s="20"/>
      <c r="AD4049" s="32"/>
      <c r="AF4049" s="21"/>
    </row>
    <row r="4050" ht="15.75" spans="29:32">
      <c r="AC4050" s="20"/>
      <c r="AD4050" s="32"/>
      <c r="AF4050" s="21"/>
    </row>
    <row r="4051" ht="15.75" spans="29:32">
      <c r="AC4051" s="20"/>
      <c r="AD4051" s="32"/>
      <c r="AF4051" s="21"/>
    </row>
    <row r="4052" ht="15.75" spans="29:32">
      <c r="AC4052" s="20"/>
      <c r="AD4052" s="32"/>
      <c r="AF4052" s="21"/>
    </row>
    <row r="4053" ht="13" customHeight="1" spans="29:32">
      <c r="AC4053" s="20"/>
      <c r="AD4053" s="32"/>
      <c r="AF4053" s="21"/>
    </row>
    <row r="4054" ht="15.75" spans="29:32">
      <c r="AC4054" s="20"/>
      <c r="AD4054" s="32"/>
      <c r="AF4054" s="21"/>
    </row>
    <row r="4055" ht="15.75" spans="2:32">
      <c r="B4055" s="22"/>
      <c r="AC4055" s="20"/>
      <c r="AD4055" s="32"/>
      <c r="AF4055" s="21"/>
    </row>
    <row r="4056" ht="15.75" spans="2:32">
      <c r="B4056" s="22"/>
      <c r="AC4056" s="20"/>
      <c r="AD4056" s="32"/>
      <c r="AF4056" s="21"/>
    </row>
    <row r="4057" ht="15.75" spans="2:32">
      <c r="B4057" s="22"/>
      <c r="AC4057" s="20"/>
      <c r="AD4057" s="32"/>
      <c r="AF4057" s="21"/>
    </row>
    <row r="4058" ht="15.75" spans="2:32">
      <c r="B4058" s="22"/>
      <c r="AC4058" s="20"/>
      <c r="AD4058" s="32"/>
      <c r="AF4058" s="21"/>
    </row>
    <row r="4059" ht="15.75" spans="2:32">
      <c r="B4059" s="22"/>
      <c r="AC4059" s="20"/>
      <c r="AD4059" s="32"/>
      <c r="AF4059" s="21"/>
    </row>
    <row r="4060" ht="15.75" spans="2:32">
      <c r="B4060" s="22"/>
      <c r="AC4060" s="20"/>
      <c r="AD4060" s="32"/>
      <c r="AF4060" s="21"/>
    </row>
    <row r="4061" ht="15.75" spans="2:32">
      <c r="B4061" s="22"/>
      <c r="AC4061" s="20"/>
      <c r="AD4061" s="32"/>
      <c r="AF4061" s="21"/>
    </row>
    <row r="4062" spans="29:32">
      <c r="AC4062" s="20"/>
      <c r="AF4062" s="21"/>
    </row>
    <row r="4063" spans="29:32">
      <c r="AC4063" s="20"/>
      <c r="AF4063" s="21"/>
    </row>
    <row r="4064" spans="29:32">
      <c r="AC4064" s="20"/>
      <c r="AF4064" s="21"/>
    </row>
    <row r="4065" spans="29:32">
      <c r="AC4065" s="20"/>
      <c r="AF4065" s="21"/>
    </row>
    <row r="4066" spans="29:32">
      <c r="AC4066" s="20"/>
      <c r="AF4066" s="21"/>
    </row>
    <row r="4067" spans="29:32">
      <c r="AC4067" s="20"/>
      <c r="AF4067" s="21"/>
    </row>
    <row r="4068" spans="29:32">
      <c r="AC4068" s="20"/>
      <c r="AF4068" s="21"/>
    </row>
    <row r="4069" spans="29:32">
      <c r="AC4069" s="20"/>
      <c r="AF4069" s="21"/>
    </row>
    <row r="4070" spans="29:32">
      <c r="AC4070" s="20"/>
      <c r="AF4070" s="21"/>
    </row>
    <row r="4071" spans="29:32">
      <c r="AC4071" s="20"/>
      <c r="AF4071" s="21"/>
    </row>
    <row r="4072" spans="29:32">
      <c r="AC4072" s="20"/>
      <c r="AF4072" s="21"/>
    </row>
    <row r="4073" spans="29:32">
      <c r="AC4073" s="20"/>
      <c r="AF4073" s="21"/>
    </row>
    <row r="4074" spans="29:32">
      <c r="AC4074" s="20"/>
      <c r="AF4074" s="21"/>
    </row>
    <row r="4075" spans="29:32">
      <c r="AC4075" s="20"/>
      <c r="AF4075" s="21"/>
    </row>
    <row r="4076" spans="29:32">
      <c r="AC4076" s="20"/>
      <c r="AF4076" s="21"/>
    </row>
    <row r="4077" spans="29:32">
      <c r="AC4077" s="20"/>
      <c r="AF4077" s="21"/>
    </row>
    <row r="4078" spans="29:32">
      <c r="AC4078" s="20"/>
      <c r="AF4078" s="21"/>
    </row>
    <row r="4079" spans="2:32">
      <c r="B4079" s="8"/>
      <c r="AC4079" s="20"/>
      <c r="AF4079" s="21"/>
    </row>
    <row r="4080" spans="2:32">
      <c r="B4080" s="8"/>
      <c r="AC4080" s="20"/>
      <c r="AF4080" s="21"/>
    </row>
    <row r="4081" spans="2:32">
      <c r="B4081" s="8"/>
      <c r="AC4081" s="20"/>
      <c r="AF4081" s="21"/>
    </row>
    <row r="4082" spans="29:32">
      <c r="AC4082" s="20"/>
      <c r="AF4082" s="21"/>
    </row>
    <row r="4083" spans="29:32">
      <c r="AC4083" s="20"/>
      <c r="AF4083" s="21"/>
    </row>
    <row r="4084" spans="29:32">
      <c r="AC4084" s="20"/>
      <c r="AF4084" s="21"/>
    </row>
    <row r="4085" spans="29:32">
      <c r="AC4085" s="20"/>
      <c r="AF4085" s="21"/>
    </row>
    <row r="4086" spans="29:32">
      <c r="AC4086" s="20"/>
      <c r="AF4086" s="21"/>
    </row>
    <row r="4087" spans="29:32">
      <c r="AC4087" s="20"/>
      <c r="AF4087" s="21"/>
    </row>
    <row r="4088" spans="29:32">
      <c r="AC4088" s="20"/>
      <c r="AF4088" s="21"/>
    </row>
    <row r="4089" spans="29:32">
      <c r="AC4089" s="20"/>
      <c r="AF4089" s="21"/>
    </row>
    <row r="4090" spans="29:32">
      <c r="AC4090" s="20"/>
      <c r="AF4090" s="21"/>
    </row>
    <row r="4091" spans="29:32">
      <c r="AC4091" s="20"/>
      <c r="AF4091" s="21"/>
    </row>
    <row r="4092" spans="29:32">
      <c r="AC4092" s="20"/>
      <c r="AF4092" s="21"/>
    </row>
    <row r="4093" spans="29:32">
      <c r="AC4093" s="20"/>
      <c r="AF4093" s="21"/>
    </row>
    <row r="4094" spans="29:32">
      <c r="AC4094" s="20"/>
      <c r="AF4094" s="21"/>
    </row>
    <row r="4095" spans="29:32">
      <c r="AC4095" s="20"/>
      <c r="AF4095" s="21"/>
    </row>
    <row r="4096" spans="29:32">
      <c r="AC4096" s="20"/>
      <c r="AF4096" s="21"/>
    </row>
    <row r="4097" spans="29:32">
      <c r="AC4097" s="20"/>
      <c r="AF4097" s="21"/>
    </row>
    <row r="4098" spans="29:32">
      <c r="AC4098" s="20"/>
      <c r="AF4098" s="21"/>
    </row>
    <row r="4099" spans="29:32">
      <c r="AC4099" s="20"/>
      <c r="AF4099" s="21"/>
    </row>
    <row r="4100" spans="29:32">
      <c r="AC4100" s="20"/>
      <c r="AF4100" s="21"/>
    </row>
    <row r="4101" spans="29:32">
      <c r="AC4101" s="20"/>
      <c r="AF4101" s="21"/>
    </row>
    <row r="4102" spans="29:32">
      <c r="AC4102" s="20"/>
      <c r="AF4102" s="21"/>
    </row>
    <row r="4103" spans="29:32">
      <c r="AC4103" s="20"/>
      <c r="AF4103" s="21"/>
    </row>
    <row r="4104" spans="29:32">
      <c r="AC4104" s="20"/>
      <c r="AF4104" s="21"/>
    </row>
    <row r="4105" spans="29:32">
      <c r="AC4105" s="20"/>
      <c r="AF4105" s="21"/>
    </row>
    <row r="4106" spans="29:32">
      <c r="AC4106" s="20"/>
      <c r="AF4106" s="21"/>
    </row>
    <row r="4107" spans="29:32">
      <c r="AC4107" s="20"/>
      <c r="AF4107" s="21"/>
    </row>
    <row r="4108" spans="29:32">
      <c r="AC4108" s="20"/>
      <c r="AF4108" s="21"/>
    </row>
    <row r="4109" spans="29:32">
      <c r="AC4109" s="20"/>
      <c r="AF4109" s="21"/>
    </row>
    <row r="4110" spans="29:32">
      <c r="AC4110" s="20"/>
      <c r="AF4110" s="21"/>
    </row>
    <row r="4111" spans="29:32">
      <c r="AC4111" s="20"/>
      <c r="AF4111" s="21"/>
    </row>
    <row r="4112" spans="29:32">
      <c r="AC4112" s="20"/>
      <c r="AF4112" s="21"/>
    </row>
    <row r="4113" spans="29:32">
      <c r="AC4113" s="20"/>
      <c r="AF4113" s="21"/>
    </row>
    <row r="4114" spans="29:32">
      <c r="AC4114" s="20"/>
      <c r="AF4114" s="21"/>
    </row>
    <row r="4115" spans="29:32">
      <c r="AC4115" s="20"/>
      <c r="AF4115" s="21"/>
    </row>
    <row r="4116" spans="29:32">
      <c r="AC4116" s="20"/>
      <c r="AF4116" s="21"/>
    </row>
    <row r="4117" spans="29:32">
      <c r="AC4117" s="20"/>
      <c r="AF4117" s="21"/>
    </row>
    <row r="4118" spans="29:32">
      <c r="AC4118" s="20"/>
      <c r="AF4118" s="21"/>
    </row>
    <row r="4119" spans="29:32">
      <c r="AC4119" s="20"/>
      <c r="AF4119" s="21"/>
    </row>
    <row r="4120" spans="29:32">
      <c r="AC4120" s="20"/>
      <c r="AF4120" s="21"/>
    </row>
    <row r="4121" spans="29:32">
      <c r="AC4121" s="20"/>
      <c r="AF4121" s="21"/>
    </row>
    <row r="4122" spans="29:32">
      <c r="AC4122" s="20"/>
      <c r="AF4122" s="21"/>
    </row>
    <row r="4123" spans="29:32">
      <c r="AC4123" s="20"/>
      <c r="AF4123" s="21"/>
    </row>
    <row r="4124" spans="29:32">
      <c r="AC4124" s="20"/>
      <c r="AF4124" s="21"/>
    </row>
    <row r="4125" spans="29:32">
      <c r="AC4125" s="20"/>
      <c r="AF4125" s="21"/>
    </row>
    <row r="4126" spans="29:32">
      <c r="AC4126" s="20"/>
      <c r="AF4126" s="21"/>
    </row>
    <row r="4127" spans="29:32">
      <c r="AC4127" s="20"/>
      <c r="AF4127" s="21"/>
    </row>
    <row r="4128" spans="29:32">
      <c r="AC4128" s="20"/>
      <c r="AF4128" s="21"/>
    </row>
    <row r="4129" spans="29:32">
      <c r="AC4129" s="20"/>
      <c r="AF4129" s="21"/>
    </row>
    <row r="4130" spans="29:32">
      <c r="AC4130" s="20"/>
      <c r="AF4130" s="21"/>
    </row>
    <row r="4131" spans="29:32">
      <c r="AC4131" s="20"/>
      <c r="AF4131" s="21"/>
    </row>
    <row r="4132" spans="29:32">
      <c r="AC4132" s="20"/>
      <c r="AF4132" s="21"/>
    </row>
    <row r="4133" spans="29:32">
      <c r="AC4133" s="20"/>
      <c r="AF4133" s="21"/>
    </row>
    <row r="4134" spans="29:32">
      <c r="AC4134" s="20"/>
      <c r="AF4134" s="21"/>
    </row>
    <row r="4135" spans="29:32">
      <c r="AC4135" s="20"/>
      <c r="AF4135" s="21"/>
    </row>
    <row r="4136" spans="29:32">
      <c r="AC4136" s="20"/>
      <c r="AF4136" s="21"/>
    </row>
    <row r="4137" spans="29:32">
      <c r="AC4137" s="20"/>
      <c r="AF4137" s="21"/>
    </row>
    <row r="4138" spans="29:32">
      <c r="AC4138" s="20"/>
      <c r="AF4138" s="21"/>
    </row>
    <row r="4139" spans="2:32">
      <c r="B4139" s="8"/>
      <c r="AC4139" s="20"/>
      <c r="AF4139" s="21"/>
    </row>
    <row r="4140" spans="2:32">
      <c r="B4140" s="8"/>
      <c r="AC4140" s="20"/>
      <c r="AF4140" s="21"/>
    </row>
    <row r="4141" spans="2:32">
      <c r="B4141" s="22"/>
      <c r="AC4141" s="20"/>
      <c r="AF4141" s="21"/>
    </row>
    <row r="4142" spans="2:32">
      <c r="B4142" s="22"/>
      <c r="AC4142" s="20"/>
      <c r="AF4142" s="21"/>
    </row>
    <row r="4143" spans="29:32">
      <c r="AC4143" s="20"/>
      <c r="AF4143" s="21"/>
    </row>
    <row r="4144" spans="29:32">
      <c r="AC4144" s="20"/>
      <c r="AF4144" s="21"/>
    </row>
    <row r="4145" spans="29:32">
      <c r="AC4145" s="20"/>
      <c r="AF4145" s="21"/>
    </row>
    <row r="4146" spans="29:32">
      <c r="AC4146" s="20"/>
      <c r="AF4146" s="21"/>
    </row>
    <row r="4147" spans="29:32">
      <c r="AC4147" s="20"/>
      <c r="AF4147" s="21"/>
    </row>
    <row r="4148" spans="29:32">
      <c r="AC4148" s="20"/>
      <c r="AF4148" s="21"/>
    </row>
    <row r="4149" spans="29:32">
      <c r="AC4149" s="20"/>
      <c r="AF4149" s="21"/>
    </row>
    <row r="4150" spans="29:32">
      <c r="AC4150" s="20"/>
      <c r="AF4150" s="21"/>
    </row>
    <row r="4151" spans="29:32">
      <c r="AC4151" s="20"/>
      <c r="AF4151" s="21"/>
    </row>
    <row r="4152" spans="29:32">
      <c r="AC4152" s="20"/>
      <c r="AF4152" s="21"/>
    </row>
    <row r="4153" spans="29:32">
      <c r="AC4153" s="20"/>
      <c r="AF4153" s="21"/>
    </row>
    <row r="4154" spans="29:32">
      <c r="AC4154" s="20"/>
      <c r="AF4154" s="21"/>
    </row>
    <row r="4155" spans="29:32">
      <c r="AC4155" s="20"/>
      <c r="AF4155" s="21"/>
    </row>
    <row r="4156" spans="29:32">
      <c r="AC4156" s="20"/>
      <c r="AF4156" s="21"/>
    </row>
    <row r="4157" spans="29:32">
      <c r="AC4157" s="20"/>
      <c r="AF4157" s="21"/>
    </row>
    <row r="4158" spans="29:32">
      <c r="AC4158" s="20"/>
      <c r="AF4158" s="21"/>
    </row>
    <row r="4159" spans="10:32">
      <c r="J4159" s="3"/>
      <c r="AC4159" s="20"/>
      <c r="AF4159" s="21"/>
    </row>
    <row r="4160" spans="29:32">
      <c r="AC4160" s="20"/>
      <c r="AF4160" s="21"/>
    </row>
    <row r="4161" spans="29:32">
      <c r="AC4161" s="20"/>
      <c r="AF4161" s="21"/>
    </row>
    <row r="4162" spans="29:32">
      <c r="AC4162" s="20"/>
      <c r="AF4162" s="21"/>
    </row>
    <row r="4163" spans="29:32">
      <c r="AC4163" s="20"/>
      <c r="AF4163" s="21"/>
    </row>
    <row r="4164" spans="29:32">
      <c r="AC4164" s="20"/>
      <c r="AF4164" s="21"/>
    </row>
    <row r="4165" spans="29:32">
      <c r="AC4165" s="20"/>
      <c r="AF4165" s="21"/>
    </row>
    <row r="4166" spans="29:32">
      <c r="AC4166" s="20"/>
      <c r="AF4166" s="21"/>
    </row>
    <row r="4167" spans="29:32">
      <c r="AC4167" s="20"/>
      <c r="AF4167" s="21"/>
    </row>
    <row r="4168" spans="29:32">
      <c r="AC4168" s="20"/>
      <c r="AF4168" s="21"/>
    </row>
    <row r="4169" spans="2:32">
      <c r="B4169" s="8"/>
      <c r="AC4169" s="20"/>
      <c r="AF4169" s="21"/>
    </row>
    <row r="4170" spans="2:32">
      <c r="B4170" s="8"/>
      <c r="AC4170" s="20"/>
      <c r="AF4170" s="21"/>
    </row>
    <row r="4171" spans="2:32">
      <c r="B4171" s="8"/>
      <c r="AC4171" s="20"/>
      <c r="AF4171" s="21"/>
    </row>
    <row r="4172" spans="29:32">
      <c r="AC4172" s="20"/>
      <c r="AF4172" s="21"/>
    </row>
    <row r="4173" spans="29:32">
      <c r="AC4173" s="20"/>
      <c r="AF4173" s="21"/>
    </row>
    <row r="4174" spans="2:32">
      <c r="B4174" s="8"/>
      <c r="AC4174" s="20"/>
      <c r="AF4174" s="21"/>
    </row>
    <row r="4175" spans="2:32">
      <c r="B4175" s="8"/>
      <c r="AC4175" s="20"/>
      <c r="AF4175" s="21"/>
    </row>
    <row r="4176" spans="2:32">
      <c r="B4176" s="8"/>
      <c r="AC4176" s="20"/>
      <c r="AF4176" s="21"/>
    </row>
    <row r="4177" spans="2:32">
      <c r="B4177" s="8"/>
      <c r="AC4177" s="20"/>
      <c r="AF4177" s="21"/>
    </row>
    <row r="4178" spans="29:32">
      <c r="AC4178" s="20"/>
      <c r="AF4178" s="21"/>
    </row>
    <row r="4179" spans="29:32">
      <c r="AC4179" s="20"/>
      <c r="AF4179" s="21"/>
    </row>
    <row r="4180" spans="29:32">
      <c r="AC4180" s="20"/>
      <c r="AF4180" s="21"/>
    </row>
    <row r="4181" spans="29:32">
      <c r="AC4181" s="20"/>
      <c r="AF4181" s="21"/>
    </row>
    <row r="4182" spans="29:32">
      <c r="AC4182" s="20"/>
      <c r="AF4182" s="21"/>
    </row>
    <row r="4183" spans="29:32">
      <c r="AC4183" s="20"/>
      <c r="AF4183" s="21"/>
    </row>
    <row r="4184" spans="29:32">
      <c r="AC4184" s="20"/>
      <c r="AF4184" s="21"/>
    </row>
    <row r="4185" spans="2:32">
      <c r="B4185" s="8"/>
      <c r="AC4185" s="20"/>
      <c r="AF4185" s="21"/>
    </row>
    <row r="4186" spans="2:32">
      <c r="B4186" s="8"/>
      <c r="AC4186" s="20"/>
      <c r="AF4186" s="21"/>
    </row>
    <row r="4187" spans="2:32">
      <c r="B4187" s="8"/>
      <c r="AC4187" s="20"/>
      <c r="AF4187" s="21"/>
    </row>
    <row r="4188" spans="2:32">
      <c r="B4188" s="8"/>
      <c r="AC4188" s="20"/>
      <c r="AF4188" s="21"/>
    </row>
    <row r="4189" spans="2:32">
      <c r="B4189" s="8"/>
      <c r="AC4189" s="20"/>
      <c r="AF4189" s="21"/>
    </row>
    <row r="4190" spans="29:32">
      <c r="AC4190" s="20"/>
      <c r="AF4190" s="21"/>
    </row>
    <row r="4191" spans="29:32">
      <c r="AC4191" s="20"/>
      <c r="AF4191" s="21"/>
    </row>
    <row r="4192" spans="29:32">
      <c r="AC4192" s="20"/>
      <c r="AF4192" s="21"/>
    </row>
    <row r="4193" spans="29:32">
      <c r="AC4193" s="20"/>
      <c r="AF4193" s="21"/>
    </row>
    <row r="4194" spans="29:32">
      <c r="AC4194" s="20"/>
      <c r="AF4194" s="21"/>
    </row>
    <row r="4195" spans="29:32">
      <c r="AC4195" s="20"/>
      <c r="AF4195" s="21"/>
    </row>
    <row r="4196" spans="29:32">
      <c r="AC4196" s="20"/>
      <c r="AF4196" s="21"/>
    </row>
    <row r="4197" spans="29:32">
      <c r="AC4197" s="20"/>
      <c r="AF4197" s="21"/>
    </row>
    <row r="4198" spans="29:32">
      <c r="AC4198" s="20"/>
      <c r="AF4198" s="21"/>
    </row>
    <row r="4199" spans="29:32">
      <c r="AC4199" s="20"/>
      <c r="AF4199" s="21"/>
    </row>
    <row r="4200" spans="29:32">
      <c r="AC4200" s="20"/>
      <c r="AF4200" s="21"/>
    </row>
    <row r="4201" spans="29:32">
      <c r="AC4201" s="20"/>
      <c r="AF4201" s="21"/>
    </row>
    <row r="4202" spans="29:32">
      <c r="AC4202" s="20"/>
      <c r="AF4202" s="21"/>
    </row>
    <row r="4203" spans="29:32">
      <c r="AC4203" s="20"/>
      <c r="AF4203" s="21"/>
    </row>
    <row r="4204" spans="29:32">
      <c r="AC4204" s="20"/>
      <c r="AF4204" s="21"/>
    </row>
    <row r="4205" spans="29:32">
      <c r="AC4205" s="20"/>
      <c r="AF4205" s="21"/>
    </row>
    <row r="4206" spans="29:32">
      <c r="AC4206" s="20"/>
      <c r="AF4206" s="21"/>
    </row>
    <row r="4207" spans="29:32">
      <c r="AC4207" s="20"/>
      <c r="AF4207" s="21"/>
    </row>
    <row r="4208" spans="29:32">
      <c r="AC4208" s="20"/>
      <c r="AF4208" s="21"/>
    </row>
    <row r="4209" spans="29:32">
      <c r="AC4209" s="20"/>
      <c r="AF4209" s="21"/>
    </row>
    <row r="4210" spans="29:32">
      <c r="AC4210" s="20"/>
      <c r="AF4210" s="21"/>
    </row>
    <row r="4211" spans="29:32">
      <c r="AC4211" s="20"/>
      <c r="AF4211" s="21"/>
    </row>
    <row r="4212" spans="29:32">
      <c r="AC4212" s="20"/>
      <c r="AF4212" s="21"/>
    </row>
    <row r="4213" spans="29:32">
      <c r="AC4213" s="20"/>
      <c r="AF4213" s="21"/>
    </row>
    <row r="4214" spans="29:32">
      <c r="AC4214" s="20"/>
      <c r="AF4214" s="21"/>
    </row>
    <row r="4215" spans="29:32">
      <c r="AC4215" s="20"/>
      <c r="AF4215" s="21"/>
    </row>
    <row r="4216" spans="29:32">
      <c r="AC4216" s="20"/>
      <c r="AF4216" s="21"/>
    </row>
    <row r="4217" spans="29:32">
      <c r="AC4217" s="20"/>
      <c r="AF4217" s="21"/>
    </row>
    <row r="4218" spans="29:32">
      <c r="AC4218" s="20"/>
      <c r="AF4218" s="21"/>
    </row>
    <row r="4219" spans="29:32">
      <c r="AC4219" s="20"/>
      <c r="AD4219" s="49"/>
      <c r="AF4219" s="21"/>
    </row>
    <row r="4220" spans="29:32">
      <c r="AC4220" s="20"/>
      <c r="AD4220" s="49"/>
      <c r="AF4220" s="21"/>
    </row>
    <row r="4221" spans="29:32">
      <c r="AC4221" s="20"/>
      <c r="AD4221" s="49"/>
      <c r="AF4221" s="21"/>
    </row>
    <row r="4222" spans="29:32">
      <c r="AC4222" s="20"/>
      <c r="AD4222" s="49"/>
      <c r="AF4222" s="21"/>
    </row>
    <row r="4223" spans="29:32">
      <c r="AC4223" s="20"/>
      <c r="AD4223" s="49"/>
      <c r="AF4223" s="21"/>
    </row>
    <row r="4224" spans="29:32">
      <c r="AC4224" s="20"/>
      <c r="AD4224" s="49"/>
      <c r="AF4224" s="21"/>
    </row>
    <row r="4225" spans="29:32">
      <c r="AC4225" s="20"/>
      <c r="AD4225" s="49"/>
      <c r="AF4225" s="21"/>
    </row>
    <row r="4226" spans="29:32">
      <c r="AC4226" s="20"/>
      <c r="AD4226" s="49"/>
      <c r="AF4226" s="21"/>
    </row>
    <row r="4227" spans="29:32">
      <c r="AC4227" s="20"/>
      <c r="AF4227" s="21"/>
    </row>
    <row r="4228" spans="29:32">
      <c r="AC4228" s="20"/>
      <c r="AF4228" s="21"/>
    </row>
    <row r="4229" spans="29:32">
      <c r="AC4229" s="20"/>
      <c r="AF4229" s="21"/>
    </row>
    <row r="4230" spans="29:32">
      <c r="AC4230" s="20"/>
      <c r="AF4230" s="21"/>
    </row>
    <row r="4231" spans="29:32">
      <c r="AC4231" s="20"/>
      <c r="AF4231" s="21"/>
    </row>
    <row r="4232" spans="29:32">
      <c r="AC4232" s="20"/>
      <c r="AF4232" s="21"/>
    </row>
    <row r="4233" spans="29:32">
      <c r="AC4233" s="20"/>
      <c r="AF4233" s="21"/>
    </row>
    <row r="4234" spans="29:32">
      <c r="AC4234" s="20"/>
      <c r="AF4234" s="21"/>
    </row>
    <row r="4235" spans="2:32">
      <c r="B4235" s="8"/>
      <c r="AC4235" s="20"/>
      <c r="AF4235" s="21"/>
    </row>
    <row r="4236" spans="2:32">
      <c r="B4236" s="8"/>
      <c r="AC4236" s="20"/>
      <c r="AF4236" s="21"/>
    </row>
    <row r="4237" spans="2:32">
      <c r="B4237" s="8"/>
      <c r="AC4237" s="20"/>
      <c r="AF4237" s="21"/>
    </row>
    <row r="4238" spans="2:32">
      <c r="B4238" s="8"/>
      <c r="AC4238" s="20"/>
      <c r="AF4238" s="21"/>
    </row>
    <row r="4239" spans="2:32">
      <c r="B4239" s="8"/>
      <c r="AC4239" s="20"/>
      <c r="AF4239" s="21"/>
    </row>
    <row r="4240" spans="29:32">
      <c r="AC4240" s="20"/>
      <c r="AF4240" s="21"/>
    </row>
    <row r="4241" spans="29:32">
      <c r="AC4241" s="20"/>
      <c r="AF4241" s="21"/>
    </row>
    <row r="4242" spans="29:32">
      <c r="AC4242" s="20"/>
      <c r="AF4242" s="21"/>
    </row>
    <row r="4243" spans="29:32">
      <c r="AC4243" s="20"/>
      <c r="AF4243" s="21"/>
    </row>
    <row r="4244" spans="29:32">
      <c r="AC4244" s="20"/>
      <c r="AF4244" s="21"/>
    </row>
    <row r="4245" spans="29:32">
      <c r="AC4245" s="20"/>
      <c r="AF4245" s="21"/>
    </row>
    <row r="4246" spans="29:32">
      <c r="AC4246" s="20"/>
      <c r="AF4246" s="21"/>
    </row>
    <row r="4247" spans="29:32">
      <c r="AC4247" s="20"/>
      <c r="AF4247" s="21"/>
    </row>
    <row r="4248" spans="29:32">
      <c r="AC4248" s="20"/>
      <c r="AF4248" s="21"/>
    </row>
    <row r="4249" spans="29:32">
      <c r="AC4249" s="20"/>
      <c r="AF4249" s="21"/>
    </row>
    <row r="4250" spans="29:32">
      <c r="AC4250" s="20"/>
      <c r="AF4250" s="21"/>
    </row>
    <row r="4251" spans="29:32">
      <c r="AC4251" s="20"/>
      <c r="AF4251" s="21"/>
    </row>
    <row r="4252" spans="29:32">
      <c r="AC4252" s="20"/>
      <c r="AF4252" s="21"/>
    </row>
    <row r="4253" spans="29:32">
      <c r="AC4253" s="20"/>
      <c r="AF4253" s="21"/>
    </row>
    <row r="4254" spans="29:32">
      <c r="AC4254" s="20"/>
      <c r="AF4254" s="21"/>
    </row>
    <row r="4255" spans="29:32">
      <c r="AC4255" s="20"/>
      <c r="AF4255" s="21"/>
    </row>
    <row r="4256" spans="29:32">
      <c r="AC4256" s="20"/>
      <c r="AF4256" s="21"/>
    </row>
    <row r="4257" spans="29:32">
      <c r="AC4257" s="20"/>
      <c r="AF4257" s="21"/>
    </row>
    <row r="4258" spans="29:32">
      <c r="AC4258" s="20"/>
      <c r="AF4258" s="21"/>
    </row>
    <row r="4259" spans="29:32">
      <c r="AC4259" s="20"/>
      <c r="AF4259" s="21"/>
    </row>
    <row r="4260" spans="29:32">
      <c r="AC4260" s="20"/>
      <c r="AF4260" s="21"/>
    </row>
    <row r="4261" spans="29:32">
      <c r="AC4261" s="20"/>
      <c r="AF4261" s="21"/>
    </row>
    <row r="4262" spans="29:32">
      <c r="AC4262" s="20"/>
      <c r="AF4262" s="21"/>
    </row>
    <row r="4263" spans="29:32">
      <c r="AC4263" s="20"/>
      <c r="AF4263" s="21"/>
    </row>
    <row r="4264" spans="2:32">
      <c r="B4264" s="22"/>
      <c r="AC4264" s="20"/>
      <c r="AF4264" s="21"/>
    </row>
    <row r="4265" spans="2:32">
      <c r="B4265" s="22"/>
      <c r="AC4265" s="20"/>
      <c r="AF4265" s="21"/>
    </row>
    <row r="4266" spans="2:32">
      <c r="B4266" s="22"/>
      <c r="AC4266" s="20"/>
      <c r="AF4266" s="21"/>
    </row>
    <row r="4267" spans="2:32">
      <c r="B4267" s="22"/>
      <c r="AC4267" s="20"/>
      <c r="AF4267" s="21"/>
    </row>
    <row r="4268" spans="2:32">
      <c r="B4268" s="22"/>
      <c r="AC4268" s="20"/>
      <c r="AF4268" s="21"/>
    </row>
    <row r="4269" spans="2:32">
      <c r="B4269" s="22"/>
      <c r="AC4269" s="20"/>
      <c r="AF4269" s="21"/>
    </row>
    <row r="4270" spans="2:32">
      <c r="B4270" s="22"/>
      <c r="AC4270" s="20"/>
      <c r="AF4270" s="21"/>
    </row>
    <row r="4271" spans="29:32">
      <c r="AC4271" s="20"/>
      <c r="AF4271" s="21"/>
    </row>
    <row r="4272" spans="29:32">
      <c r="AC4272" s="20"/>
      <c r="AF4272" s="21"/>
    </row>
    <row r="4273" spans="29:32">
      <c r="AC4273" s="20"/>
      <c r="AF4273" s="21"/>
    </row>
    <row r="4274" spans="29:32">
      <c r="AC4274" s="20"/>
      <c r="AF4274" s="21"/>
    </row>
    <row r="4275" spans="29:32">
      <c r="AC4275" s="20"/>
      <c r="AF4275" s="21"/>
    </row>
    <row r="4276" spans="29:32">
      <c r="AC4276" s="20"/>
      <c r="AF4276" s="21"/>
    </row>
    <row r="4277" spans="29:32">
      <c r="AC4277" s="20"/>
      <c r="AF4277" s="21"/>
    </row>
    <row r="4278" spans="29:32">
      <c r="AC4278" s="20"/>
      <c r="AF4278" s="21"/>
    </row>
    <row r="4279" spans="29:32">
      <c r="AC4279" s="20"/>
      <c r="AF4279" s="21"/>
    </row>
    <row r="4280" spans="29:32">
      <c r="AC4280" s="20"/>
      <c r="AF4280" s="21"/>
    </row>
    <row r="4281" spans="29:32">
      <c r="AC4281" s="20"/>
      <c r="AF4281" s="21"/>
    </row>
    <row r="4282" spans="29:32">
      <c r="AC4282" s="20"/>
      <c r="AF4282" s="21"/>
    </row>
    <row r="4283" spans="29:32">
      <c r="AC4283" s="20"/>
      <c r="AF4283" s="21"/>
    </row>
    <row r="4284" spans="29:32">
      <c r="AC4284" s="20"/>
      <c r="AF4284" s="21"/>
    </row>
    <row r="4285" spans="29:32">
      <c r="AC4285" s="20"/>
      <c r="AF4285" s="21"/>
    </row>
    <row r="4286" spans="29:32">
      <c r="AC4286" s="20"/>
      <c r="AF4286" s="21"/>
    </row>
    <row r="4287" spans="29:32">
      <c r="AC4287" s="20"/>
      <c r="AF4287" s="21"/>
    </row>
    <row r="4288" spans="29:32">
      <c r="AC4288" s="20"/>
      <c r="AF4288" s="21"/>
    </row>
    <row r="4289" spans="29:32">
      <c r="AC4289" s="20"/>
      <c r="AF4289" s="21"/>
    </row>
    <row r="4290" spans="29:32">
      <c r="AC4290" s="20"/>
      <c r="AF4290" s="21"/>
    </row>
    <row r="4291" spans="29:32">
      <c r="AC4291" s="20"/>
      <c r="AF4291" s="21"/>
    </row>
    <row r="4292" spans="29:32">
      <c r="AC4292" s="20"/>
      <c r="AF4292" s="21"/>
    </row>
    <row r="4293" spans="29:32">
      <c r="AC4293" s="20"/>
      <c r="AF4293" s="21"/>
    </row>
    <row r="4294" spans="29:32">
      <c r="AC4294" s="20"/>
      <c r="AF4294" s="21"/>
    </row>
    <row r="4295" spans="29:32">
      <c r="AC4295" s="20"/>
      <c r="AF4295" s="21"/>
    </row>
    <row r="4296" spans="29:32">
      <c r="AC4296" s="20"/>
      <c r="AF4296" s="21"/>
    </row>
    <row r="4297" spans="29:32">
      <c r="AC4297" s="20"/>
      <c r="AF4297" s="21"/>
    </row>
    <row r="4298" spans="29:32">
      <c r="AC4298" s="20"/>
      <c r="AF4298" s="21"/>
    </row>
    <row r="4299" spans="29:32">
      <c r="AC4299" s="20"/>
      <c r="AF4299" s="21"/>
    </row>
    <row r="4300" spans="29:32">
      <c r="AC4300" s="20"/>
      <c r="AF4300" s="21"/>
    </row>
    <row r="4301" spans="29:32">
      <c r="AC4301" s="20"/>
      <c r="AF4301" s="21"/>
    </row>
    <row r="4302" spans="29:32">
      <c r="AC4302" s="20"/>
      <c r="AF4302" s="21"/>
    </row>
    <row r="4303" spans="29:32">
      <c r="AC4303" s="20"/>
      <c r="AF4303" s="21"/>
    </row>
    <row r="4304" spans="29:32">
      <c r="AC4304" s="20"/>
      <c r="AF4304" s="21"/>
    </row>
    <row r="4305" spans="29:32">
      <c r="AC4305" s="20"/>
      <c r="AF4305" s="21"/>
    </row>
    <row r="4306" spans="29:32">
      <c r="AC4306" s="20"/>
      <c r="AF4306" s="21"/>
    </row>
    <row r="4307" spans="29:32">
      <c r="AC4307" s="20"/>
      <c r="AF4307" s="21"/>
    </row>
    <row r="4308" spans="29:32">
      <c r="AC4308" s="20"/>
      <c r="AF4308" s="21"/>
    </row>
    <row r="4309" spans="29:32">
      <c r="AC4309" s="20"/>
      <c r="AF4309" s="21"/>
    </row>
    <row r="4310" spans="29:32">
      <c r="AC4310" s="20"/>
      <c r="AF4310" s="21"/>
    </row>
    <row r="4311" spans="29:32">
      <c r="AC4311" s="20"/>
      <c r="AF4311" s="21"/>
    </row>
    <row r="4312" spans="29:32">
      <c r="AC4312" s="20"/>
      <c r="AF4312" s="21"/>
    </row>
    <row r="4313" spans="29:32">
      <c r="AC4313" s="20"/>
      <c r="AF4313" s="21"/>
    </row>
    <row r="4314" spans="29:32">
      <c r="AC4314" s="20"/>
      <c r="AF4314" s="21"/>
    </row>
    <row r="4315" spans="29:32">
      <c r="AC4315" s="20"/>
      <c r="AF4315" s="21"/>
    </row>
    <row r="4316" ht="15.75" spans="29:32">
      <c r="AC4316" s="20"/>
      <c r="AD4316" s="50"/>
      <c r="AF4316" s="21"/>
    </row>
    <row r="4317" ht="15.75" spans="29:32">
      <c r="AC4317" s="20"/>
      <c r="AD4317" s="50"/>
      <c r="AF4317" s="21"/>
    </row>
    <row r="4318" ht="15.75" spans="29:32">
      <c r="AC4318" s="20"/>
      <c r="AD4318" s="50"/>
      <c r="AF4318" s="21"/>
    </row>
    <row r="4319" ht="15.75" spans="29:32">
      <c r="AC4319" s="20"/>
      <c r="AD4319" s="50"/>
      <c r="AF4319" s="21"/>
    </row>
    <row r="4320" ht="15.75" spans="2:32">
      <c r="B4320" s="8"/>
      <c r="AC4320" s="20"/>
      <c r="AD4320" s="50"/>
      <c r="AF4320" s="21"/>
    </row>
    <row r="4321" ht="15.75" spans="2:32">
      <c r="B4321" s="8"/>
      <c r="AC4321" s="20"/>
      <c r="AD4321" s="50"/>
      <c r="AF4321" s="21"/>
    </row>
    <row r="4322" ht="15.75" spans="29:32">
      <c r="AC4322" s="20"/>
      <c r="AD4322" s="50"/>
      <c r="AF4322" s="21"/>
    </row>
    <row r="4323" ht="15.75" spans="29:32">
      <c r="AC4323" s="20"/>
      <c r="AD4323" s="50"/>
      <c r="AF4323" s="21"/>
    </row>
    <row r="4324" ht="15.75" spans="29:32">
      <c r="AC4324" s="20"/>
      <c r="AD4324" s="50"/>
      <c r="AF4324" s="21"/>
    </row>
    <row r="4325" ht="15.75" spans="29:32">
      <c r="AC4325" s="20"/>
      <c r="AD4325" s="50"/>
      <c r="AF4325" s="21"/>
    </row>
    <row r="4326" ht="15.75" spans="29:32">
      <c r="AC4326" s="20"/>
      <c r="AD4326" s="50"/>
      <c r="AF4326" s="21"/>
    </row>
    <row r="4327" ht="15.75" spans="29:32">
      <c r="AC4327" s="20"/>
      <c r="AD4327" s="50"/>
      <c r="AF4327" s="21"/>
    </row>
    <row r="4328" ht="15.75" spans="29:32">
      <c r="AC4328" s="20"/>
      <c r="AD4328" s="50"/>
      <c r="AF4328" s="21"/>
    </row>
    <row r="4329" ht="15.75" spans="29:32">
      <c r="AC4329" s="20"/>
      <c r="AD4329" s="50"/>
      <c r="AF4329" s="21"/>
    </row>
    <row r="4330" ht="15.75" spans="2:32">
      <c r="B4330" s="8"/>
      <c r="AC4330" s="20"/>
      <c r="AD4330" s="50"/>
      <c r="AF4330" s="21"/>
    </row>
    <row r="4331" ht="15.75" spans="2:32">
      <c r="B4331" s="8"/>
      <c r="P4331" s="2"/>
      <c r="Q4331" s="3"/>
      <c r="AC4331" s="20"/>
      <c r="AD4331" s="50"/>
      <c r="AF4331" s="21"/>
    </row>
    <row r="4332" ht="15.75" spans="2:32">
      <c r="B4332" s="8"/>
      <c r="AC4332" s="20"/>
      <c r="AD4332" s="50"/>
      <c r="AF4332" s="21"/>
    </row>
    <row r="4333" ht="15.75" spans="2:32">
      <c r="B4333" s="8"/>
      <c r="AC4333" s="20"/>
      <c r="AD4333" s="50"/>
      <c r="AF4333" s="21"/>
    </row>
    <row r="4334" ht="15.75" spans="2:32">
      <c r="B4334" s="8"/>
      <c r="AC4334" s="20"/>
      <c r="AD4334" s="50"/>
      <c r="AF4334" s="21"/>
    </row>
    <row r="4335" ht="15.75" spans="29:32">
      <c r="AC4335" s="20"/>
      <c r="AD4335" s="50"/>
      <c r="AF4335" s="21"/>
    </row>
    <row r="4336" ht="15.75" spans="29:32">
      <c r="AC4336" s="20"/>
      <c r="AD4336" s="50"/>
      <c r="AF4336" s="21"/>
    </row>
    <row r="4337" ht="15.75" spans="29:32">
      <c r="AC4337" s="20"/>
      <c r="AD4337" s="50"/>
      <c r="AF4337" s="21"/>
    </row>
    <row r="4338" ht="15.75" spans="29:32">
      <c r="AC4338" s="20"/>
      <c r="AD4338" s="50"/>
      <c r="AF4338" s="21"/>
    </row>
    <row r="4339" ht="15.75" spans="29:32">
      <c r="AC4339" s="20"/>
      <c r="AD4339" s="50"/>
      <c r="AF4339" s="21"/>
    </row>
    <row r="4340" ht="15.75" spans="29:32">
      <c r="AC4340" s="20"/>
      <c r="AD4340" s="50"/>
      <c r="AF4340" s="21"/>
    </row>
    <row r="4341" ht="15.75" spans="29:32">
      <c r="AC4341" s="20"/>
      <c r="AD4341" s="50"/>
      <c r="AF4341" s="21"/>
    </row>
    <row r="4342" ht="15.75" spans="29:32">
      <c r="AC4342" s="20"/>
      <c r="AD4342" s="50"/>
      <c r="AF4342" s="21"/>
    </row>
    <row r="4343" ht="15.75" spans="2:32">
      <c r="B4343" s="48"/>
      <c r="AC4343" s="20"/>
      <c r="AD4343" s="50"/>
      <c r="AF4343" s="21"/>
    </row>
    <row r="4344" ht="15.75" spans="2:32">
      <c r="B4344" s="48"/>
      <c r="AC4344" s="20"/>
      <c r="AD4344" s="50"/>
      <c r="AF4344" s="21"/>
    </row>
    <row r="4345" ht="15.75" spans="2:32">
      <c r="B4345" s="41"/>
      <c r="AC4345" s="20"/>
      <c r="AD4345" s="50"/>
      <c r="AF4345" s="21"/>
    </row>
    <row r="4346" ht="15.75" spans="2:32">
      <c r="B4346" s="41"/>
      <c r="AC4346" s="20"/>
      <c r="AD4346" s="50"/>
      <c r="AF4346" s="21"/>
    </row>
    <row r="4347" ht="15.75" spans="2:32">
      <c r="B4347" s="41"/>
      <c r="AC4347" s="20"/>
      <c r="AD4347" s="50"/>
      <c r="AF4347" s="21"/>
    </row>
    <row r="4348" ht="15.75" spans="2:32">
      <c r="B4348" s="41"/>
      <c r="AC4348" s="20"/>
      <c r="AD4348" s="50"/>
      <c r="AF4348" s="21"/>
    </row>
    <row r="4349" ht="15.75" spans="2:32">
      <c r="B4349" s="41"/>
      <c r="AC4349" s="20"/>
      <c r="AD4349" s="50"/>
      <c r="AF4349" s="21"/>
    </row>
    <row r="4350" ht="15.75" spans="29:32">
      <c r="AC4350" s="20"/>
      <c r="AD4350" s="50"/>
      <c r="AF4350" s="21"/>
    </row>
    <row r="4351" ht="15.75" spans="29:32">
      <c r="AC4351" s="20"/>
      <c r="AD4351" s="50"/>
      <c r="AF4351" s="21"/>
    </row>
    <row r="4352" ht="15.75" spans="29:32">
      <c r="AC4352" s="20"/>
      <c r="AD4352" s="50"/>
      <c r="AF4352" s="21"/>
    </row>
    <row r="4353" ht="15.75" spans="29:32">
      <c r="AC4353" s="20"/>
      <c r="AD4353" s="50"/>
      <c r="AF4353" s="21"/>
    </row>
    <row r="4354" ht="15.75" spans="29:32">
      <c r="AC4354" s="20"/>
      <c r="AD4354" s="50"/>
      <c r="AF4354" s="21"/>
    </row>
    <row r="4355" ht="15.75" spans="29:32">
      <c r="AC4355" s="20"/>
      <c r="AD4355" s="50"/>
      <c r="AF4355" s="21"/>
    </row>
    <row r="4356" ht="15.75" spans="29:32">
      <c r="AC4356" s="20"/>
      <c r="AD4356" s="50"/>
      <c r="AF4356" s="21"/>
    </row>
    <row r="4357" ht="15.75" spans="29:32">
      <c r="AC4357" s="20"/>
      <c r="AD4357" s="50"/>
      <c r="AF4357" s="21"/>
    </row>
    <row r="4358" ht="15.75" spans="29:32">
      <c r="AC4358" s="20"/>
      <c r="AD4358" s="50"/>
      <c r="AF4358" s="21"/>
    </row>
    <row r="4359" ht="15.75" spans="29:32">
      <c r="AC4359" s="20"/>
      <c r="AD4359" s="50"/>
      <c r="AF4359" s="21"/>
    </row>
    <row r="4360" spans="29:32">
      <c r="AC4360" s="20"/>
      <c r="AF4360" s="21"/>
    </row>
    <row r="4361" spans="29:32">
      <c r="AC4361" s="20"/>
      <c r="AF4361" s="21"/>
    </row>
    <row r="4362" spans="29:32">
      <c r="AC4362" s="20"/>
      <c r="AF4362" s="21"/>
    </row>
    <row r="4363" spans="29:32">
      <c r="AC4363" s="20"/>
      <c r="AF4363" s="21"/>
    </row>
    <row r="4364" spans="29:32">
      <c r="AC4364" s="20"/>
      <c r="AF4364" s="21"/>
    </row>
    <row r="4365" spans="29:32">
      <c r="AC4365" s="20"/>
      <c r="AF4365" s="21"/>
    </row>
    <row r="4366" spans="29:32">
      <c r="AC4366" s="20"/>
      <c r="AF4366" s="21"/>
    </row>
    <row r="4367" spans="29:32">
      <c r="AC4367" s="20"/>
      <c r="AF4367" s="21"/>
    </row>
    <row r="4368" spans="29:32">
      <c r="AC4368" s="20"/>
      <c r="AF4368" s="21"/>
    </row>
    <row r="4369" spans="29:32">
      <c r="AC4369" s="20"/>
      <c r="AF4369" s="21"/>
    </row>
    <row r="4370" spans="29:32">
      <c r="AC4370" s="20"/>
      <c r="AF4370" s="21"/>
    </row>
    <row r="4371" spans="29:32">
      <c r="AC4371" s="20"/>
      <c r="AF4371" s="21"/>
    </row>
    <row r="4372" spans="29:32">
      <c r="AC4372" s="20"/>
      <c r="AF4372" s="21"/>
    </row>
    <row r="4373" spans="29:32">
      <c r="AC4373" s="20"/>
      <c r="AF4373" s="21"/>
    </row>
    <row r="4374" spans="29:32">
      <c r="AC4374" s="20"/>
      <c r="AF4374" s="21"/>
    </row>
    <row r="4375" spans="29:32">
      <c r="AC4375" s="20"/>
      <c r="AF4375" s="21"/>
    </row>
    <row r="4376" spans="29:32">
      <c r="AC4376" s="20"/>
      <c r="AF4376" s="21"/>
    </row>
    <row r="4377" spans="29:32">
      <c r="AC4377" s="20"/>
      <c r="AF4377" s="21"/>
    </row>
    <row r="4378" spans="29:32">
      <c r="AC4378" s="20"/>
      <c r="AF4378" s="21"/>
    </row>
    <row r="4379" spans="29:32">
      <c r="AC4379" s="20"/>
      <c r="AF4379" s="21"/>
    </row>
    <row r="4380" spans="29:32">
      <c r="AC4380" s="20"/>
      <c r="AF4380" s="21"/>
    </row>
    <row r="4381" spans="29:32">
      <c r="AC4381" s="20"/>
      <c r="AF4381" s="21"/>
    </row>
    <row r="4382" spans="29:32">
      <c r="AC4382" s="20"/>
      <c r="AF4382" s="21"/>
    </row>
    <row r="4383" spans="29:32">
      <c r="AC4383" s="20"/>
      <c r="AF4383" s="21"/>
    </row>
    <row r="4384" spans="29:32">
      <c r="AC4384" s="20"/>
      <c r="AF4384" s="21"/>
    </row>
    <row r="4385" spans="29:32">
      <c r="AC4385" s="20"/>
      <c r="AF4385" s="21"/>
    </row>
    <row r="4386" spans="29:32">
      <c r="AC4386" s="20"/>
      <c r="AF4386" s="21"/>
    </row>
    <row r="4387" spans="29:32">
      <c r="AC4387" s="20"/>
      <c r="AF4387" s="21"/>
    </row>
    <row r="4388" spans="29:32">
      <c r="AC4388" s="20"/>
      <c r="AF4388" s="21"/>
    </row>
    <row r="4389" spans="29:32">
      <c r="AC4389" s="20"/>
      <c r="AF4389" s="21"/>
    </row>
    <row r="4390" spans="29:32">
      <c r="AC4390" s="20"/>
      <c r="AF4390" s="21"/>
    </row>
    <row r="4391" spans="29:32">
      <c r="AC4391" s="20"/>
      <c r="AF4391" s="21"/>
    </row>
    <row r="4392" spans="29:32">
      <c r="AC4392" s="20"/>
      <c r="AF4392" s="21"/>
    </row>
    <row r="4393" spans="29:32">
      <c r="AC4393" s="20"/>
      <c r="AF4393" s="21"/>
    </row>
    <row r="4394" spans="29:32">
      <c r="AC4394" s="20"/>
      <c r="AF4394" s="21"/>
    </row>
    <row r="4395" spans="29:32">
      <c r="AC4395" s="20"/>
      <c r="AF4395" s="21"/>
    </row>
    <row r="4396" spans="2:32">
      <c r="B4396" s="8"/>
      <c r="AC4396" s="20"/>
      <c r="AF4396" s="21"/>
    </row>
    <row r="4397" spans="2:32">
      <c r="B4397" s="8"/>
      <c r="AC4397" s="20"/>
      <c r="AF4397" s="21"/>
    </row>
    <row r="4398" spans="2:32">
      <c r="B4398" s="8"/>
      <c r="AC4398" s="20"/>
      <c r="AF4398" s="21"/>
    </row>
    <row r="4399" spans="2:32">
      <c r="B4399" s="8"/>
      <c r="AC4399" s="20"/>
      <c r="AF4399" s="21"/>
    </row>
    <row r="4400" spans="29:32">
      <c r="AC4400" s="20"/>
      <c r="AF4400" s="21"/>
    </row>
    <row r="4401" spans="29:32">
      <c r="AC4401" s="20"/>
      <c r="AF4401" s="21"/>
    </row>
    <row r="4402" spans="29:32">
      <c r="AC4402" s="20"/>
      <c r="AF4402" s="21"/>
    </row>
    <row r="4403" spans="29:32">
      <c r="AC4403" s="20"/>
      <c r="AF4403" s="21"/>
    </row>
    <row r="4404" spans="29:32">
      <c r="AC4404" s="20"/>
      <c r="AF4404" s="21"/>
    </row>
    <row r="4405" spans="2:32">
      <c r="B4405" s="22"/>
      <c r="AC4405" s="20"/>
      <c r="AF4405" s="21"/>
    </row>
    <row r="4406" spans="2:32">
      <c r="B4406" s="22"/>
      <c r="AC4406" s="20"/>
      <c r="AF4406" s="21"/>
    </row>
    <row r="4407" spans="2:32">
      <c r="B4407" s="22"/>
      <c r="I4407" s="2"/>
      <c r="J4407" s="3"/>
      <c r="P4407" s="2"/>
      <c r="Q4407" s="3"/>
      <c r="AC4407" s="20"/>
      <c r="AF4407" s="21"/>
    </row>
    <row r="4408" spans="2:32">
      <c r="B4408" s="22"/>
      <c r="AC4408" s="20"/>
      <c r="AF4408" s="21"/>
    </row>
    <row r="4409" spans="2:32">
      <c r="B4409" s="22"/>
      <c r="AC4409" s="20"/>
      <c r="AF4409" s="21"/>
    </row>
    <row r="4410" spans="2:32">
      <c r="B4410" s="22"/>
      <c r="AC4410" s="20"/>
      <c r="AF4410" s="21"/>
    </row>
    <row r="4411" spans="2:32">
      <c r="B4411" s="22"/>
      <c r="AC4411" s="20"/>
      <c r="AF4411" s="21"/>
    </row>
    <row r="4412" spans="2:32">
      <c r="B4412" s="22"/>
      <c r="AC4412" s="20"/>
      <c r="AF4412" s="21"/>
    </row>
    <row r="4413" spans="2:32">
      <c r="B4413" s="22"/>
      <c r="AC4413" s="20"/>
      <c r="AF4413" s="21"/>
    </row>
    <row r="4414" spans="2:32">
      <c r="B4414" s="22"/>
      <c r="AC4414" s="20"/>
      <c r="AF4414" s="21"/>
    </row>
    <row r="4415" spans="2:32">
      <c r="B4415" s="22"/>
      <c r="AC4415" s="20"/>
      <c r="AF4415" s="21"/>
    </row>
    <row r="4416" spans="2:32">
      <c r="B4416" s="51"/>
      <c r="AC4416" s="20"/>
      <c r="AF4416" s="21"/>
    </row>
    <row r="4417" spans="2:32">
      <c r="B4417" s="51"/>
      <c r="AC4417" s="20"/>
      <c r="AF4417" s="21"/>
    </row>
    <row r="4418" spans="2:32">
      <c r="B4418" s="51"/>
      <c r="AC4418" s="20"/>
      <c r="AF4418" s="21"/>
    </row>
    <row r="4419" spans="2:32">
      <c r="B4419" s="22"/>
      <c r="AC4419" s="20"/>
      <c r="AF4419" s="21"/>
    </row>
    <row r="4420" spans="29:32">
      <c r="AC4420" s="20"/>
      <c r="AF4420" s="21"/>
    </row>
    <row r="4421" spans="29:32">
      <c r="AC4421" s="20"/>
      <c r="AF4421" s="21"/>
    </row>
    <row r="4422" spans="29:32">
      <c r="AC4422" s="20"/>
      <c r="AF4422" s="21"/>
    </row>
    <row r="4423" spans="29:32">
      <c r="AC4423" s="20"/>
      <c r="AF4423" s="21"/>
    </row>
    <row r="4424" spans="29:32">
      <c r="AC4424" s="20"/>
      <c r="AF4424" s="21"/>
    </row>
    <row r="4425" spans="29:32">
      <c r="AC4425" s="20"/>
      <c r="AF4425" s="21"/>
    </row>
    <row r="4426" spans="29:32">
      <c r="AC4426" s="20"/>
      <c r="AF4426" s="21"/>
    </row>
    <row r="4427" spans="2:32">
      <c r="B4427" s="22"/>
      <c r="AC4427" s="20"/>
      <c r="AF4427" s="21"/>
    </row>
    <row r="4428" spans="2:32">
      <c r="B4428" s="22"/>
      <c r="AC4428" s="20"/>
      <c r="AF4428" s="21"/>
    </row>
    <row r="4429" spans="2:32">
      <c r="B4429" s="22"/>
      <c r="AC4429" s="20"/>
      <c r="AF4429" s="21"/>
    </row>
    <row r="4430" spans="29:32">
      <c r="AC4430" s="20"/>
      <c r="AF4430" s="21"/>
    </row>
    <row r="4431" spans="29:32">
      <c r="AC4431" s="20"/>
      <c r="AF4431" s="21"/>
    </row>
    <row r="4432" spans="29:32">
      <c r="AC4432" s="20"/>
      <c r="AF4432" s="21"/>
    </row>
    <row r="4433" spans="29:32">
      <c r="AC4433" s="20"/>
      <c r="AF4433" s="21"/>
    </row>
    <row r="4434" spans="29:32">
      <c r="AC4434" s="20"/>
      <c r="AF4434" s="21"/>
    </row>
    <row r="4435" spans="29:32">
      <c r="AC4435" s="20"/>
      <c r="AF4435" s="21"/>
    </row>
    <row r="4436" spans="2:32">
      <c r="B4436" s="22"/>
      <c r="AC4436" s="20"/>
      <c r="AF4436" s="21"/>
    </row>
    <row r="4437" spans="2:32">
      <c r="B4437" s="22"/>
      <c r="AC4437" s="20"/>
      <c r="AF4437" s="21"/>
    </row>
    <row r="4438" spans="2:32">
      <c r="B4438" s="22"/>
      <c r="AC4438" s="20"/>
      <c r="AF4438" s="21"/>
    </row>
    <row r="4439" spans="2:32">
      <c r="B4439" s="22"/>
      <c r="AC4439" s="20"/>
      <c r="AF4439" s="21"/>
    </row>
    <row r="4440" spans="2:32">
      <c r="B4440" s="22"/>
      <c r="AC4440" s="20"/>
      <c r="AF4440" s="21"/>
    </row>
    <row r="4441" spans="2:32">
      <c r="B4441" s="22"/>
      <c r="AC4441" s="20"/>
      <c r="AF4441" s="21"/>
    </row>
    <row r="4442" spans="29:32">
      <c r="AC4442" s="20"/>
      <c r="AF4442" s="21"/>
    </row>
    <row r="4443" spans="29:32">
      <c r="AC4443" s="20"/>
      <c r="AF4443" s="21"/>
    </row>
    <row r="4444" spans="29:32">
      <c r="AC4444" s="20"/>
      <c r="AF4444" s="21"/>
    </row>
    <row r="4445" spans="29:32">
      <c r="AC4445" s="20"/>
      <c r="AF4445" s="21"/>
    </row>
    <row r="4446" spans="29:32">
      <c r="AC4446" s="20"/>
      <c r="AF4446" s="21"/>
    </row>
    <row r="4447" spans="29:32">
      <c r="AC4447" s="20"/>
      <c r="AF4447" s="21"/>
    </row>
    <row r="4448" spans="29:32">
      <c r="AC4448" s="20"/>
      <c r="AF4448" s="21"/>
    </row>
    <row r="4449" spans="29:32">
      <c r="AC4449" s="20"/>
      <c r="AF4449" s="21"/>
    </row>
    <row r="4450" spans="29:32">
      <c r="AC4450" s="20"/>
      <c r="AF4450" s="21"/>
    </row>
    <row r="4451" spans="29:32">
      <c r="AC4451" s="20"/>
      <c r="AF4451" s="21"/>
    </row>
    <row r="4452" spans="29:32">
      <c r="AC4452" s="20"/>
      <c r="AF4452" s="21"/>
    </row>
    <row r="4453" spans="29:32">
      <c r="AC4453" s="20"/>
      <c r="AF4453" s="21"/>
    </row>
    <row r="4454" spans="2:32">
      <c r="B4454" s="22"/>
      <c r="AC4454" s="20"/>
      <c r="AF4454" s="21"/>
    </row>
    <row r="4455" spans="29:32">
      <c r="AC4455" s="20"/>
      <c r="AF4455" s="21"/>
    </row>
    <row r="4456" spans="29:32">
      <c r="AC4456" s="20"/>
      <c r="AF4456" s="21"/>
    </row>
    <row r="4457" spans="29:32">
      <c r="AC4457" s="20"/>
      <c r="AF4457" s="21"/>
    </row>
    <row r="4458" spans="29:32">
      <c r="AC4458" s="20"/>
      <c r="AF4458" s="21"/>
    </row>
    <row r="4459" spans="29:32">
      <c r="AC4459" s="20"/>
      <c r="AF4459" s="21"/>
    </row>
    <row r="4460" spans="29:32">
      <c r="AC4460" s="20"/>
      <c r="AF4460" s="21"/>
    </row>
    <row r="4461" spans="29:32">
      <c r="AC4461" s="20"/>
      <c r="AF4461" s="21"/>
    </row>
    <row r="4462" spans="29:32">
      <c r="AC4462" s="20"/>
      <c r="AF4462" s="21"/>
    </row>
    <row r="4463" spans="29:32">
      <c r="AC4463" s="20"/>
      <c r="AF4463" s="21"/>
    </row>
    <row r="4464" spans="29:32">
      <c r="AC4464" s="20"/>
      <c r="AF4464" s="21"/>
    </row>
    <row r="4465" spans="29:32">
      <c r="AC4465" s="20"/>
      <c r="AF4465" s="21"/>
    </row>
    <row r="4466" spans="29:32">
      <c r="AC4466" s="20"/>
      <c r="AF4466" s="21"/>
    </row>
    <row r="4467" spans="29:32">
      <c r="AC4467" s="20"/>
      <c r="AF4467" s="21"/>
    </row>
    <row r="4468" spans="29:32">
      <c r="AC4468" s="20"/>
      <c r="AF4468" s="21"/>
    </row>
    <row r="4469" ht="15.75" spans="2:32">
      <c r="B4469" s="50"/>
      <c r="AC4469" s="20"/>
      <c r="AF4469" s="21"/>
    </row>
    <row r="4470" spans="29:32">
      <c r="AC4470" s="20"/>
      <c r="AF4470" s="21"/>
    </row>
    <row r="4471" spans="29:32">
      <c r="AC4471" s="20"/>
      <c r="AF4471" s="21"/>
    </row>
    <row r="4472" spans="29:32">
      <c r="AC4472" s="20"/>
      <c r="AF4472" s="21"/>
    </row>
    <row r="4473" spans="29:32">
      <c r="AC4473" s="20"/>
      <c r="AF4473" s="21"/>
    </row>
    <row r="4474" spans="29:32">
      <c r="AC4474" s="20"/>
      <c r="AF4474" s="21"/>
    </row>
    <row r="4475" spans="29:32">
      <c r="AC4475" s="20"/>
      <c r="AF4475" s="21"/>
    </row>
    <row r="4476" spans="29:32">
      <c r="AC4476" s="20"/>
      <c r="AF4476" s="21"/>
    </row>
    <row r="4477" spans="29:32">
      <c r="AC4477" s="20"/>
      <c r="AF4477" s="21"/>
    </row>
    <row r="4478" spans="29:32">
      <c r="AC4478" s="20"/>
      <c r="AF4478" s="21"/>
    </row>
    <row r="4479" spans="29:32">
      <c r="AC4479" s="20"/>
      <c r="AF4479" s="21"/>
    </row>
    <row r="4480" spans="29:32">
      <c r="AC4480" s="20"/>
      <c r="AF4480" s="21"/>
    </row>
    <row r="4481" spans="29:32">
      <c r="AC4481" s="20"/>
      <c r="AF4481" s="21"/>
    </row>
    <row r="4482" spans="29:32">
      <c r="AC4482" s="20"/>
      <c r="AF4482" s="21"/>
    </row>
    <row r="4483" spans="29:32">
      <c r="AC4483" s="20"/>
      <c r="AF4483" s="21"/>
    </row>
    <row r="4484" spans="29:32">
      <c r="AC4484" s="20"/>
      <c r="AF4484" s="21"/>
    </row>
    <row r="4485" spans="29:32">
      <c r="AC4485" s="20"/>
      <c r="AF4485" s="21"/>
    </row>
    <row r="4486" spans="29:32">
      <c r="AC4486" s="20"/>
      <c r="AF4486" s="21"/>
    </row>
    <row r="4487" spans="29:32">
      <c r="AC4487" s="20"/>
      <c r="AF4487" s="21"/>
    </row>
    <row r="4488" spans="29:32">
      <c r="AC4488" s="20"/>
      <c r="AF4488" s="21"/>
    </row>
    <row r="4489" spans="29:32">
      <c r="AC4489" s="20"/>
      <c r="AF4489" s="21"/>
    </row>
    <row r="4490" spans="29:32">
      <c r="AC4490" s="20"/>
      <c r="AF4490" s="21"/>
    </row>
    <row r="4491" spans="29:32">
      <c r="AC4491" s="20"/>
      <c r="AF4491" s="21"/>
    </row>
    <row r="4492" spans="29:32">
      <c r="AC4492" s="20"/>
      <c r="AF4492" s="21"/>
    </row>
    <row r="4493" spans="29:32">
      <c r="AC4493" s="20"/>
      <c r="AF4493" s="21"/>
    </row>
    <row r="4494" spans="29:32">
      <c r="AC4494" s="20"/>
      <c r="AF4494" s="21"/>
    </row>
    <row r="4495" spans="29:32">
      <c r="AC4495" s="20"/>
      <c r="AF4495" s="21"/>
    </row>
    <row r="4496" spans="29:32">
      <c r="AC4496" s="20"/>
      <c r="AF4496" s="21"/>
    </row>
    <row r="4497" spans="29:32">
      <c r="AC4497" s="20"/>
      <c r="AF4497" s="21"/>
    </row>
    <row r="4498" spans="29:32">
      <c r="AC4498" s="20"/>
      <c r="AF4498" s="21"/>
    </row>
    <row r="4499" spans="29:32">
      <c r="AC4499" s="20"/>
      <c r="AF4499" s="21"/>
    </row>
    <row r="4500" spans="29:32">
      <c r="AC4500" s="20"/>
      <c r="AF4500" s="21"/>
    </row>
    <row r="4501" spans="29:32">
      <c r="AC4501" s="20"/>
      <c r="AF4501" s="21"/>
    </row>
    <row r="4502" spans="29:32">
      <c r="AC4502" s="20"/>
      <c r="AF4502" s="21"/>
    </row>
    <row r="4503" spans="2:32">
      <c r="B4503" s="8"/>
      <c r="AC4503" s="20"/>
      <c r="AF4503" s="21"/>
    </row>
    <row r="4504" spans="2:32">
      <c r="B4504" s="8"/>
      <c r="AC4504" s="20"/>
      <c r="AF4504" s="21"/>
    </row>
    <row r="4505" spans="2:32">
      <c r="B4505" s="8"/>
      <c r="AC4505" s="20"/>
      <c r="AF4505" s="21"/>
    </row>
    <row r="4506" spans="2:32">
      <c r="B4506" s="8"/>
      <c r="AC4506" s="20"/>
      <c r="AF4506" s="21"/>
    </row>
    <row r="4507" spans="2:32">
      <c r="B4507" s="8"/>
      <c r="AC4507" s="20"/>
      <c r="AF4507" s="21"/>
    </row>
    <row r="4508" spans="29:32">
      <c r="AC4508" s="20"/>
      <c r="AF4508" s="21"/>
    </row>
    <row r="4509" spans="29:32">
      <c r="AC4509" s="20"/>
      <c r="AF4509" s="21"/>
    </row>
    <row r="4510" spans="29:32">
      <c r="AC4510" s="20"/>
      <c r="AF4510" s="21"/>
    </row>
    <row r="4511" spans="29:32">
      <c r="AC4511" s="20"/>
      <c r="AF4511" s="21"/>
    </row>
    <row r="4512" spans="29:32">
      <c r="AC4512" s="20"/>
      <c r="AF4512" s="21"/>
    </row>
    <row r="4513" spans="29:32">
      <c r="AC4513" s="20"/>
      <c r="AF4513" s="21"/>
    </row>
    <row r="4514" spans="29:32">
      <c r="AC4514" s="20"/>
      <c r="AF4514" s="21"/>
    </row>
    <row r="4515" spans="29:32">
      <c r="AC4515" s="20"/>
      <c r="AF4515" s="21"/>
    </row>
    <row r="4516" spans="29:32">
      <c r="AC4516" s="20"/>
      <c r="AF4516" s="21"/>
    </row>
    <row r="4517" spans="29:32">
      <c r="AC4517" s="20"/>
      <c r="AF4517" s="21"/>
    </row>
    <row r="4518" spans="29:32">
      <c r="AC4518" s="20"/>
      <c r="AF4518" s="21"/>
    </row>
    <row r="4519" spans="29:32">
      <c r="AC4519" s="20"/>
      <c r="AF4519" s="21"/>
    </row>
    <row r="4520" spans="29:32">
      <c r="AC4520" s="20"/>
      <c r="AF4520" s="21"/>
    </row>
    <row r="4521" spans="2:32">
      <c r="B4521" s="8"/>
      <c r="AC4521" s="20"/>
      <c r="AF4521" s="21"/>
    </row>
    <row r="4522" spans="2:32">
      <c r="B4522" s="8"/>
      <c r="AC4522" s="20"/>
      <c r="AF4522" s="21"/>
    </row>
    <row r="4523" spans="2:32">
      <c r="B4523" s="8"/>
      <c r="AC4523" s="20"/>
      <c r="AF4523" s="21"/>
    </row>
    <row r="4524" spans="2:32">
      <c r="B4524" s="8"/>
      <c r="AC4524" s="20"/>
      <c r="AF4524" s="21"/>
    </row>
    <row r="4525" spans="29:32">
      <c r="AC4525" s="20"/>
      <c r="AF4525" s="21"/>
    </row>
    <row r="4526" spans="29:32">
      <c r="AC4526" s="20"/>
      <c r="AF4526" s="21"/>
    </row>
    <row r="4527" spans="29:32">
      <c r="AC4527" s="20"/>
      <c r="AF4527" s="21"/>
    </row>
    <row r="4528" spans="29:32">
      <c r="AC4528" s="20"/>
      <c r="AF4528" s="21"/>
    </row>
    <row r="4529" spans="29:32">
      <c r="AC4529" s="20"/>
      <c r="AF4529" s="21"/>
    </row>
    <row r="4530" spans="29:32">
      <c r="AC4530" s="20"/>
      <c r="AF4530" s="21"/>
    </row>
    <row r="4531" spans="29:32">
      <c r="AC4531" s="20"/>
      <c r="AF4531" s="21"/>
    </row>
    <row r="4532" spans="29:32">
      <c r="AC4532" s="20"/>
      <c r="AF4532" s="21"/>
    </row>
    <row r="4533" spans="29:32">
      <c r="AC4533" s="20"/>
      <c r="AF4533" s="21"/>
    </row>
    <row r="4534" spans="29:32">
      <c r="AC4534" s="20"/>
      <c r="AF4534" s="21"/>
    </row>
    <row r="4535" spans="29:32">
      <c r="AC4535" s="20"/>
      <c r="AF4535" s="21"/>
    </row>
    <row r="4536" spans="29:32">
      <c r="AC4536" s="20"/>
      <c r="AF4536" s="21"/>
    </row>
    <row r="4537" spans="29:32">
      <c r="AC4537" s="20"/>
      <c r="AF4537" s="21"/>
    </row>
    <row r="4538" spans="29:32">
      <c r="AC4538" s="20"/>
      <c r="AF4538" s="21"/>
    </row>
    <row r="4539" spans="29:32">
      <c r="AC4539" s="20"/>
      <c r="AF4539" s="21"/>
    </row>
    <row r="4540" spans="29:32">
      <c r="AC4540" s="20"/>
      <c r="AF4540" s="21"/>
    </row>
    <row r="4541" spans="29:32">
      <c r="AC4541" s="20"/>
      <c r="AF4541" s="21"/>
    </row>
    <row r="4542" spans="29:32">
      <c r="AC4542" s="20"/>
      <c r="AF4542" s="21"/>
    </row>
    <row r="4543" spans="29:32">
      <c r="AC4543" s="20"/>
      <c r="AF4543" s="21"/>
    </row>
    <row r="4544" spans="29:32">
      <c r="AC4544" s="20"/>
      <c r="AF4544" s="21"/>
    </row>
    <row r="4545" spans="29:32">
      <c r="AC4545" s="20"/>
      <c r="AF4545" s="21"/>
    </row>
    <row r="4546" spans="29:32">
      <c r="AC4546" s="20"/>
      <c r="AF4546" s="21"/>
    </row>
    <row r="4547" spans="29:32">
      <c r="AC4547" s="20"/>
      <c r="AF4547" s="21"/>
    </row>
    <row r="4548" spans="29:32">
      <c r="AC4548" s="20"/>
      <c r="AF4548" s="21"/>
    </row>
    <row r="4549" spans="29:32">
      <c r="AC4549" s="20"/>
      <c r="AF4549" s="21"/>
    </row>
    <row r="4550" spans="29:32">
      <c r="AC4550" s="20"/>
      <c r="AF4550" s="21"/>
    </row>
    <row r="4551" spans="29:32">
      <c r="AC4551" s="20"/>
      <c r="AF4551" s="21"/>
    </row>
    <row r="4552" spans="29:32">
      <c r="AC4552" s="20"/>
      <c r="AF4552" s="21"/>
    </row>
    <row r="4553" spans="29:32">
      <c r="AC4553" s="20"/>
      <c r="AF4553" s="21"/>
    </row>
    <row r="4554" spans="29:32">
      <c r="AC4554" s="20"/>
      <c r="AF4554" s="21"/>
    </row>
    <row r="4555" spans="2:32">
      <c r="B4555" s="52"/>
      <c r="AC4555" s="20"/>
      <c r="AF4555" s="21"/>
    </row>
    <row r="4556" spans="2:32">
      <c r="B4556" s="22"/>
      <c r="AC4556" s="20"/>
      <c r="AF4556" s="21"/>
    </row>
    <row r="4557" spans="2:32">
      <c r="B4557" s="22"/>
      <c r="AC4557" s="20"/>
      <c r="AF4557" s="21"/>
    </row>
    <row r="4558" spans="2:32">
      <c r="B4558" s="22"/>
      <c r="AC4558" s="20"/>
      <c r="AF4558" s="21"/>
    </row>
    <row r="4559" spans="29:32">
      <c r="AC4559" s="20"/>
      <c r="AF4559" s="21"/>
    </row>
    <row r="4560" spans="29:32">
      <c r="AC4560" s="20"/>
      <c r="AF4560" s="21"/>
    </row>
    <row r="4561" spans="29:32">
      <c r="AC4561" s="20"/>
      <c r="AF4561" s="21"/>
    </row>
    <row r="4562" spans="29:32">
      <c r="AC4562" s="20"/>
      <c r="AF4562" s="21"/>
    </row>
    <row r="4563" spans="29:32">
      <c r="AC4563" s="20"/>
      <c r="AF4563" s="21"/>
    </row>
    <row r="4564" spans="29:32">
      <c r="AC4564" s="20"/>
      <c r="AF4564" s="21"/>
    </row>
    <row r="4565" spans="29:32">
      <c r="AC4565" s="20"/>
      <c r="AF4565" s="21"/>
    </row>
    <row r="4566" spans="29:32">
      <c r="AC4566" s="20"/>
      <c r="AF4566" s="21"/>
    </row>
    <row r="4567" spans="29:32">
      <c r="AC4567" s="20"/>
      <c r="AF4567" s="21"/>
    </row>
    <row r="4568" spans="29:32">
      <c r="AC4568" s="20"/>
      <c r="AF4568" s="21"/>
    </row>
    <row r="4569" spans="29:32">
      <c r="AC4569" s="20"/>
      <c r="AF4569" s="21"/>
    </row>
    <row r="4570" spans="29:32">
      <c r="AC4570" s="20"/>
      <c r="AF4570" s="21"/>
    </row>
    <row r="4571" spans="29:32">
      <c r="AC4571" s="20"/>
      <c r="AF4571" s="21"/>
    </row>
    <row r="4572" spans="29:32">
      <c r="AC4572" s="20"/>
      <c r="AF4572" s="21"/>
    </row>
    <row r="4573" spans="29:32">
      <c r="AC4573" s="20"/>
      <c r="AF4573" s="21"/>
    </row>
    <row r="4574" spans="29:32">
      <c r="AC4574" s="20"/>
      <c r="AF4574" s="21"/>
    </row>
    <row r="4575" spans="29:32">
      <c r="AC4575" s="20"/>
      <c r="AF4575" s="21"/>
    </row>
    <row r="4576" spans="29:32">
      <c r="AC4576" s="20"/>
      <c r="AF4576" s="21"/>
    </row>
    <row r="4577" spans="29:32">
      <c r="AC4577" s="20"/>
      <c r="AF4577" s="21"/>
    </row>
    <row r="4578" spans="29:32">
      <c r="AC4578" s="20"/>
      <c r="AF4578" s="21"/>
    </row>
    <row r="4579" spans="29:32">
      <c r="AC4579" s="20"/>
      <c r="AF4579" s="21"/>
    </row>
    <row r="4580" spans="29:32">
      <c r="AC4580" s="20"/>
      <c r="AF4580" s="21"/>
    </row>
    <row r="4581" spans="29:32">
      <c r="AC4581" s="20"/>
      <c r="AF4581" s="21"/>
    </row>
    <row r="4582" spans="29:32">
      <c r="AC4582" s="20"/>
      <c r="AF4582" s="21"/>
    </row>
    <row r="4583" spans="29:32">
      <c r="AC4583" s="20"/>
      <c r="AF4583" s="21"/>
    </row>
    <row r="4584" spans="29:32">
      <c r="AC4584" s="20"/>
      <c r="AF4584" s="21"/>
    </row>
    <row r="4585" spans="29:32">
      <c r="AC4585" s="20"/>
      <c r="AF4585" s="21"/>
    </row>
    <row r="4586" spans="9:32">
      <c r="I4586" s="2"/>
      <c r="J4586" s="3"/>
      <c r="P4586" s="2"/>
      <c r="Q4586" s="3"/>
      <c r="AC4586" s="20"/>
      <c r="AF4586" s="21"/>
    </row>
    <row r="4587" spans="29:32">
      <c r="AC4587" s="20"/>
      <c r="AF4587" s="21"/>
    </row>
    <row r="4588" spans="29:32">
      <c r="AC4588" s="20"/>
      <c r="AF4588" s="21"/>
    </row>
    <row r="4589" spans="29:32">
      <c r="AC4589" s="20"/>
      <c r="AF4589" s="21"/>
    </row>
    <row r="4590" spans="29:32">
      <c r="AC4590" s="20"/>
      <c r="AF4590" s="21"/>
    </row>
    <row r="4591" spans="29:32">
      <c r="AC4591" s="20"/>
      <c r="AF4591" s="21"/>
    </row>
    <row r="4592" spans="29:32">
      <c r="AC4592" s="20"/>
      <c r="AF4592" s="21"/>
    </row>
    <row r="4593" spans="29:32">
      <c r="AC4593" s="20"/>
      <c r="AF4593" s="21"/>
    </row>
    <row r="4594" spans="29:32">
      <c r="AC4594" s="20"/>
      <c r="AF4594" s="21"/>
    </row>
    <row r="4595" spans="29:32">
      <c r="AC4595" s="20"/>
      <c r="AF4595" s="21"/>
    </row>
    <row r="4596" spans="29:32">
      <c r="AC4596" s="20"/>
      <c r="AF4596" s="21"/>
    </row>
    <row r="4597" spans="2:32">
      <c r="B4597" s="8"/>
      <c r="AC4597" s="20"/>
      <c r="AF4597" s="21"/>
    </row>
    <row r="4598" spans="2:32">
      <c r="B4598" s="8"/>
      <c r="AC4598" s="20"/>
      <c r="AF4598" s="21"/>
    </row>
    <row r="4599" spans="2:32">
      <c r="B4599" s="8"/>
      <c r="AC4599" s="20"/>
      <c r="AF4599" s="21"/>
    </row>
    <row r="4600" spans="29:32">
      <c r="AC4600" s="20"/>
      <c r="AF4600" s="21"/>
    </row>
    <row r="4601" spans="29:32">
      <c r="AC4601" s="20"/>
      <c r="AF4601" s="21"/>
    </row>
    <row r="4602" spans="29:32">
      <c r="AC4602" s="20"/>
      <c r="AF4602" s="21"/>
    </row>
    <row r="4603" spans="29:32">
      <c r="AC4603" s="20"/>
      <c r="AF4603" s="21"/>
    </row>
    <row r="4604" spans="29:32">
      <c r="AC4604" s="20"/>
      <c r="AF4604" s="21"/>
    </row>
    <row r="4605" spans="9:32">
      <c r="I4605" s="2"/>
      <c r="J4605" s="3"/>
      <c r="P4605" s="2"/>
      <c r="Q4605" s="3"/>
      <c r="AC4605" s="20"/>
      <c r="AF4605" s="21"/>
    </row>
    <row r="4606" spans="29:32">
      <c r="AC4606" s="20"/>
      <c r="AF4606" s="21"/>
    </row>
    <row r="4607" spans="29:32">
      <c r="AC4607" s="20"/>
      <c r="AF4607" s="21"/>
    </row>
    <row r="4608" spans="29:32">
      <c r="AC4608" s="20"/>
      <c r="AF4608" s="21"/>
    </row>
    <row r="4609" spans="29:32">
      <c r="AC4609" s="20"/>
      <c r="AF4609" s="21"/>
    </row>
    <row r="4610" spans="16:32">
      <c r="P4610" s="2"/>
      <c r="AC4610" s="20"/>
      <c r="AF4610" s="21"/>
    </row>
    <row r="4611" spans="29:32">
      <c r="AC4611" s="20"/>
      <c r="AF4611" s="21"/>
    </row>
    <row r="4612" spans="29:32">
      <c r="AC4612" s="20"/>
      <c r="AF4612" s="21"/>
    </row>
    <row r="4613" spans="29:32">
      <c r="AC4613" s="20"/>
      <c r="AF4613" s="21"/>
    </row>
    <row r="4614" spans="29:32">
      <c r="AC4614" s="20"/>
      <c r="AF4614" s="21"/>
    </row>
    <row r="4615" spans="29:32">
      <c r="AC4615" s="20"/>
      <c r="AF4615" s="21"/>
    </row>
    <row r="4616" spans="29:32">
      <c r="AC4616" s="20"/>
      <c r="AF4616" s="21"/>
    </row>
    <row r="4617" spans="29:32">
      <c r="AC4617" s="20"/>
      <c r="AF4617" s="21"/>
    </row>
    <row r="4618" spans="29:32">
      <c r="AC4618" s="20"/>
      <c r="AF4618" s="21"/>
    </row>
    <row r="4619" spans="29:32">
      <c r="AC4619" s="20"/>
      <c r="AF4619" s="21"/>
    </row>
    <row r="4620" spans="29:32">
      <c r="AC4620" s="20"/>
      <c r="AF4620" s="21"/>
    </row>
    <row r="4621" spans="29:32">
      <c r="AC4621" s="20"/>
      <c r="AF4621" s="21"/>
    </row>
    <row r="4622" spans="29:32">
      <c r="AC4622" s="20"/>
      <c r="AF4622" s="21"/>
    </row>
    <row r="4623" spans="29:32">
      <c r="AC4623" s="20"/>
      <c r="AF4623" s="21"/>
    </row>
    <row r="4624" spans="29:32">
      <c r="AC4624" s="20"/>
      <c r="AF4624" s="21"/>
    </row>
    <row r="4625" spans="29:32">
      <c r="AC4625" s="20"/>
      <c r="AF4625" s="21"/>
    </row>
    <row r="4626" spans="29:32">
      <c r="AC4626" s="20"/>
      <c r="AF4626" s="21"/>
    </row>
    <row r="4627" spans="29:32">
      <c r="AC4627" s="20"/>
      <c r="AF4627" s="21"/>
    </row>
    <row r="4628" spans="29:32">
      <c r="AC4628" s="20"/>
      <c r="AF4628" s="21"/>
    </row>
    <row r="4629" spans="29:32">
      <c r="AC4629" s="20"/>
      <c r="AF4629" s="21"/>
    </row>
    <row r="4630" spans="29:32">
      <c r="AC4630" s="20"/>
      <c r="AF4630" s="21"/>
    </row>
    <row r="4631" spans="29:32">
      <c r="AC4631" s="20"/>
      <c r="AF4631" s="21"/>
    </row>
    <row r="4632" spans="29:32">
      <c r="AC4632" s="20"/>
      <c r="AF4632" s="21"/>
    </row>
    <row r="4633" spans="29:32">
      <c r="AC4633" s="20"/>
      <c r="AF4633" s="21"/>
    </row>
    <row r="4634" spans="29:32">
      <c r="AC4634" s="20"/>
      <c r="AF4634" s="21"/>
    </row>
    <row r="4635" spans="29:32">
      <c r="AC4635" s="20"/>
      <c r="AF4635" s="21"/>
    </row>
    <row r="4636" spans="29:32">
      <c r="AC4636" s="20"/>
      <c r="AF4636" s="21"/>
    </row>
    <row r="4637" spans="29:32">
      <c r="AC4637" s="20"/>
      <c r="AF4637" s="21"/>
    </row>
    <row r="4638" spans="29:32">
      <c r="AC4638" s="20"/>
      <c r="AF4638" s="21"/>
    </row>
    <row r="4639" spans="29:32">
      <c r="AC4639" s="20"/>
      <c r="AF4639" s="21"/>
    </row>
    <row r="4640" spans="29:32">
      <c r="AC4640" s="20"/>
      <c r="AF4640" s="21"/>
    </row>
    <row r="4641" spans="29:32">
      <c r="AC4641" s="20"/>
      <c r="AF4641" s="21"/>
    </row>
    <row r="4642" spans="29:32">
      <c r="AC4642" s="20"/>
      <c r="AF4642" s="21"/>
    </row>
    <row r="4643" spans="29:32">
      <c r="AC4643" s="20"/>
      <c r="AF4643" s="21"/>
    </row>
    <row r="4644" spans="29:32">
      <c r="AC4644" s="20"/>
      <c r="AF4644" s="21"/>
    </row>
    <row r="4645" spans="29:32">
      <c r="AC4645" s="20"/>
      <c r="AF4645" s="21"/>
    </row>
    <row r="4646" spans="29:32">
      <c r="AC4646" s="20"/>
      <c r="AF4646" s="21"/>
    </row>
    <row r="4647" spans="29:32">
      <c r="AC4647" s="20"/>
      <c r="AF4647" s="21"/>
    </row>
    <row r="4648" spans="29:32">
      <c r="AC4648" s="20"/>
      <c r="AF4648" s="21"/>
    </row>
    <row r="4649" spans="29:32">
      <c r="AC4649" s="20"/>
      <c r="AF4649" s="21"/>
    </row>
    <row r="4650" spans="29:32">
      <c r="AC4650" s="20"/>
      <c r="AF4650" s="21"/>
    </row>
    <row r="4651" spans="29:32">
      <c r="AC4651" s="20"/>
      <c r="AF4651" s="21"/>
    </row>
    <row r="4652" spans="29:32">
      <c r="AC4652" s="20"/>
      <c r="AF4652" s="21"/>
    </row>
    <row r="4653" spans="29:32">
      <c r="AC4653" s="20"/>
      <c r="AF4653" s="21"/>
    </row>
    <row r="4654" spans="29:32">
      <c r="AC4654" s="20"/>
      <c r="AF4654" s="21"/>
    </row>
    <row r="4655" spans="29:32">
      <c r="AC4655" s="20"/>
      <c r="AF4655" s="21"/>
    </row>
    <row r="4656" spans="29:32">
      <c r="AC4656" s="20"/>
      <c r="AF4656" s="21"/>
    </row>
    <row r="4657" spans="29:32">
      <c r="AC4657" s="20"/>
      <c r="AF4657" s="21"/>
    </row>
    <row r="4658" spans="29:32">
      <c r="AC4658" s="20"/>
      <c r="AF4658" s="21"/>
    </row>
    <row r="4659" spans="29:32">
      <c r="AC4659" s="20"/>
      <c r="AF4659" s="21"/>
    </row>
    <row r="4660" spans="29:32">
      <c r="AC4660" s="20"/>
      <c r="AF4660" s="21"/>
    </row>
    <row r="4661" spans="29:32">
      <c r="AC4661" s="20"/>
      <c r="AF4661" s="21"/>
    </row>
    <row r="4662" spans="29:32">
      <c r="AC4662" s="20"/>
      <c r="AF4662" s="21"/>
    </row>
    <row r="4663" spans="29:32">
      <c r="AC4663" s="20"/>
      <c r="AF4663" s="21"/>
    </row>
    <row r="4664" spans="2:32">
      <c r="B4664" s="8"/>
      <c r="AC4664" s="20"/>
      <c r="AF4664" s="21"/>
    </row>
    <row r="4665" spans="2:32">
      <c r="B4665" s="8"/>
      <c r="AC4665" s="20"/>
      <c r="AF4665" s="21"/>
    </row>
    <row r="4666" spans="2:32">
      <c r="B4666" s="8"/>
      <c r="AC4666" s="20"/>
      <c r="AF4666" s="21"/>
    </row>
    <row r="4667" spans="2:32">
      <c r="B4667" s="8"/>
      <c r="AC4667" s="20"/>
      <c r="AF4667" s="21"/>
    </row>
    <row r="4668" spans="29:32">
      <c r="AC4668" s="20"/>
      <c r="AF4668" s="21"/>
    </row>
    <row r="4669" spans="29:32">
      <c r="AC4669" s="20"/>
      <c r="AF4669" s="21"/>
    </row>
    <row r="4670" spans="29:32">
      <c r="AC4670" s="20"/>
      <c r="AF4670" s="21"/>
    </row>
    <row r="4671" spans="29:32">
      <c r="AC4671" s="20"/>
      <c r="AF4671" s="21"/>
    </row>
    <row r="4672" spans="29:32">
      <c r="AC4672" s="20"/>
      <c r="AF4672" s="21"/>
    </row>
    <row r="4673" spans="29:32">
      <c r="AC4673" s="20"/>
      <c r="AF4673" s="21"/>
    </row>
    <row r="4674" spans="29:32">
      <c r="AC4674" s="20"/>
      <c r="AF4674" s="21"/>
    </row>
    <row r="4675" spans="29:32">
      <c r="AC4675" s="20"/>
      <c r="AF4675" s="21"/>
    </row>
    <row r="4676" spans="29:32">
      <c r="AC4676" s="20"/>
      <c r="AF4676" s="21"/>
    </row>
    <row r="4677" spans="29:32">
      <c r="AC4677" s="20"/>
      <c r="AF4677" s="21"/>
    </row>
    <row r="4678" spans="29:32">
      <c r="AC4678" s="20"/>
      <c r="AF4678" s="21"/>
    </row>
    <row r="4679" spans="29:32">
      <c r="AC4679" s="20"/>
      <c r="AF4679" s="21"/>
    </row>
    <row r="4680" spans="29:32">
      <c r="AC4680" s="20"/>
      <c r="AF4680" s="21"/>
    </row>
    <row r="4681" spans="29:32">
      <c r="AC4681" s="20"/>
      <c r="AF4681" s="21"/>
    </row>
    <row r="4682" spans="29:32">
      <c r="AC4682" s="20"/>
      <c r="AF4682" s="21"/>
    </row>
    <row r="4683" spans="29:32">
      <c r="AC4683" s="20"/>
      <c r="AF4683" s="21"/>
    </row>
    <row r="4684" spans="29:32">
      <c r="AC4684" s="20"/>
      <c r="AF4684" s="21"/>
    </row>
    <row r="4685" spans="29:32">
      <c r="AC4685" s="20"/>
      <c r="AF4685" s="21"/>
    </row>
    <row r="4686" spans="29:32">
      <c r="AC4686" s="20"/>
      <c r="AF4686" s="21"/>
    </row>
    <row r="4687" spans="29:32">
      <c r="AC4687" s="20"/>
      <c r="AF4687" s="21"/>
    </row>
    <row r="4688" spans="29:32">
      <c r="AC4688" s="20"/>
      <c r="AF4688" s="21"/>
    </row>
    <row r="4689" spans="29:32">
      <c r="AC4689" s="20"/>
      <c r="AF4689" s="21"/>
    </row>
    <row r="4690" spans="29:32">
      <c r="AC4690" s="20"/>
      <c r="AF4690" s="21"/>
    </row>
    <row r="4691" spans="29:32">
      <c r="AC4691" s="20"/>
      <c r="AF4691" s="21"/>
    </row>
    <row r="4692" spans="9:32">
      <c r="I4692" s="2"/>
      <c r="J4692" s="3"/>
      <c r="AC4692" s="20"/>
      <c r="AF4692" s="21"/>
    </row>
    <row r="4693" spans="29:32">
      <c r="AC4693" s="20"/>
      <c r="AF4693" s="21"/>
    </row>
    <row r="4694" spans="29:32">
      <c r="AC4694" s="20"/>
      <c r="AF4694" s="21"/>
    </row>
    <row r="4695" spans="29:32">
      <c r="AC4695" s="20"/>
      <c r="AF4695" s="21"/>
    </row>
    <row r="4696" spans="29:32">
      <c r="AC4696" s="20"/>
      <c r="AF4696" s="21"/>
    </row>
    <row r="4697" spans="29:32">
      <c r="AC4697" s="20"/>
      <c r="AF4697" s="21"/>
    </row>
    <row r="4698" spans="29:32">
      <c r="AC4698" s="20"/>
      <c r="AF4698" s="21"/>
    </row>
    <row r="4699" spans="29:32">
      <c r="AC4699" s="20"/>
      <c r="AF4699" s="21"/>
    </row>
    <row r="4700" spans="29:32">
      <c r="AC4700" s="20"/>
      <c r="AF4700" s="21"/>
    </row>
    <row r="4701" spans="29:32">
      <c r="AC4701" s="20"/>
      <c r="AF4701" s="21"/>
    </row>
    <row r="4702" spans="29:32">
      <c r="AC4702" s="20"/>
      <c r="AF4702" s="21"/>
    </row>
    <row r="4703" spans="29:32">
      <c r="AC4703" s="20"/>
      <c r="AF4703" s="21"/>
    </row>
    <row r="4704" spans="29:32">
      <c r="AC4704" s="20"/>
      <c r="AF4704" s="21"/>
    </row>
    <row r="4705" spans="29:32">
      <c r="AC4705" s="20"/>
      <c r="AF4705" s="21"/>
    </row>
    <row r="4706" spans="29:32">
      <c r="AC4706" s="20"/>
      <c r="AF4706" s="21"/>
    </row>
    <row r="4707" spans="29:32">
      <c r="AC4707" s="20"/>
      <c r="AF4707" s="21"/>
    </row>
    <row r="4708" spans="29:32">
      <c r="AC4708" s="20"/>
      <c r="AF4708" s="21"/>
    </row>
    <row r="4709" spans="29:32">
      <c r="AC4709" s="20"/>
      <c r="AF4709" s="21"/>
    </row>
    <row r="4710" spans="29:32">
      <c r="AC4710" s="20"/>
      <c r="AF4710" s="21"/>
    </row>
    <row r="4711" spans="29:32">
      <c r="AC4711" s="20"/>
      <c r="AF4711" s="21"/>
    </row>
    <row r="4712" spans="29:32">
      <c r="AC4712" s="20"/>
      <c r="AF4712" s="21"/>
    </row>
    <row r="4713" spans="29:32">
      <c r="AC4713" s="20"/>
      <c r="AF4713" s="21"/>
    </row>
    <row r="4714" spans="29:32">
      <c r="AC4714" s="20"/>
      <c r="AF4714" s="21"/>
    </row>
    <row r="4715" spans="29:32">
      <c r="AC4715" s="20"/>
      <c r="AF4715" s="21"/>
    </row>
    <row r="4716" spans="29:32">
      <c r="AC4716" s="20"/>
      <c r="AF4716" s="21"/>
    </row>
    <row r="4717" spans="29:32">
      <c r="AC4717" s="20"/>
      <c r="AF4717" s="21"/>
    </row>
    <row r="4718" spans="29:32">
      <c r="AC4718" s="20"/>
      <c r="AF4718" s="21"/>
    </row>
    <row r="4719" spans="29:32">
      <c r="AC4719" s="20"/>
      <c r="AF4719" s="21"/>
    </row>
    <row r="4720" spans="29:32">
      <c r="AC4720" s="20"/>
      <c r="AF4720" s="21"/>
    </row>
    <row r="4721" spans="29:32">
      <c r="AC4721" s="20"/>
      <c r="AF4721" s="21"/>
    </row>
    <row r="4722" spans="29:32">
      <c r="AC4722" s="20"/>
      <c r="AF4722" s="21"/>
    </row>
    <row r="4723" spans="29:32">
      <c r="AC4723" s="20"/>
      <c r="AF4723" s="21"/>
    </row>
    <row r="4724" spans="29:32">
      <c r="AC4724" s="20"/>
      <c r="AF4724" s="21"/>
    </row>
    <row r="4725" spans="29:32">
      <c r="AC4725" s="20"/>
      <c r="AF4725" s="21"/>
    </row>
    <row r="4726" spans="29:32">
      <c r="AC4726" s="20"/>
      <c r="AF4726" s="21"/>
    </row>
    <row r="4727" spans="29:32">
      <c r="AC4727" s="20"/>
      <c r="AF4727" s="21"/>
    </row>
    <row r="4728" spans="29:32">
      <c r="AC4728" s="20"/>
      <c r="AF4728" s="21"/>
    </row>
    <row r="4729" spans="29:32">
      <c r="AC4729" s="20"/>
      <c r="AF4729" s="21"/>
    </row>
    <row r="4730" spans="29:32">
      <c r="AC4730" s="20"/>
      <c r="AF4730" s="21"/>
    </row>
    <row r="4731" spans="29:32">
      <c r="AC4731" s="20"/>
      <c r="AF4731" s="21"/>
    </row>
    <row r="4732" spans="29:32">
      <c r="AC4732" s="20"/>
      <c r="AF4732" s="21"/>
    </row>
    <row r="4733" spans="29:32">
      <c r="AC4733" s="20"/>
      <c r="AF4733" s="21"/>
    </row>
    <row r="4734" spans="2:32">
      <c r="B4734" s="8"/>
      <c r="AC4734" s="20"/>
      <c r="AF4734" s="21"/>
    </row>
    <row r="4735" spans="2:32">
      <c r="B4735" s="8"/>
      <c r="AC4735" s="20"/>
      <c r="AF4735" s="21"/>
    </row>
    <row r="4736" spans="2:32">
      <c r="B4736" s="8"/>
      <c r="AC4736" s="20"/>
      <c r="AF4736" s="21"/>
    </row>
    <row r="4737" spans="2:32">
      <c r="B4737" s="8"/>
      <c r="AC4737" s="20"/>
      <c r="AF4737" s="21"/>
    </row>
    <row r="4738" spans="2:32">
      <c r="B4738" s="8"/>
      <c r="AC4738" s="20"/>
      <c r="AF4738" s="21"/>
    </row>
    <row r="4739" spans="2:32">
      <c r="B4739" s="22"/>
      <c r="AC4739" s="20"/>
      <c r="AF4739" s="21"/>
    </row>
    <row r="4740" spans="29:32">
      <c r="AC4740" s="20"/>
      <c r="AF4740" s="21"/>
    </row>
    <row r="4741" spans="29:32">
      <c r="AC4741" s="20"/>
      <c r="AF4741" s="21"/>
    </row>
    <row r="4742" spans="2:32">
      <c r="B4742" s="22"/>
      <c r="AC4742" s="20"/>
      <c r="AF4742" s="21"/>
    </row>
    <row r="4743" spans="2:32">
      <c r="B4743" s="22"/>
      <c r="AC4743" s="20"/>
      <c r="AF4743" s="21"/>
    </row>
    <row r="4744" spans="29:32">
      <c r="AC4744" s="20"/>
      <c r="AF4744" s="21"/>
    </row>
    <row r="4745" spans="2:32">
      <c r="B4745" s="8"/>
      <c r="AC4745" s="20"/>
      <c r="AF4745" s="21"/>
    </row>
    <row r="4746" spans="2:32">
      <c r="B4746" s="8"/>
      <c r="AC4746" s="20"/>
      <c r="AF4746" s="21"/>
    </row>
    <row r="4747" spans="2:32">
      <c r="B4747" s="8"/>
      <c r="AC4747" s="20"/>
      <c r="AF4747" s="21"/>
    </row>
    <row r="4748" spans="2:32">
      <c r="B4748" s="8"/>
      <c r="AC4748" s="20"/>
      <c r="AF4748" s="21"/>
    </row>
    <row r="4749" spans="2:32">
      <c r="B4749" s="8"/>
      <c r="AC4749" s="20"/>
      <c r="AF4749" s="21"/>
    </row>
    <row r="4750" spans="2:32">
      <c r="B4750" s="8"/>
      <c r="AC4750" s="20"/>
      <c r="AF4750" s="21"/>
    </row>
    <row r="4751" spans="2:32">
      <c r="B4751" s="8"/>
      <c r="AC4751" s="20"/>
      <c r="AF4751" s="21"/>
    </row>
    <row r="4752" spans="2:32">
      <c r="B4752" s="8"/>
      <c r="AC4752" s="20"/>
      <c r="AD4752" s="44"/>
      <c r="AF4752" s="21"/>
    </row>
    <row r="4753" spans="29:32">
      <c r="AC4753" s="20"/>
      <c r="AD4753" s="44"/>
      <c r="AF4753" s="21"/>
    </row>
    <row r="4754" spans="29:32">
      <c r="AC4754" s="20"/>
      <c r="AD4754" s="44"/>
      <c r="AF4754" s="21"/>
    </row>
    <row r="4755" spans="29:32">
      <c r="AC4755" s="20"/>
      <c r="AD4755" s="44"/>
      <c r="AF4755" s="21"/>
    </row>
    <row r="4756" spans="29:32">
      <c r="AC4756" s="20"/>
      <c r="AD4756" s="44"/>
      <c r="AF4756" s="21"/>
    </row>
    <row r="4757" spans="29:32">
      <c r="AC4757" s="20"/>
      <c r="AD4757" s="44"/>
      <c r="AF4757" s="21"/>
    </row>
    <row r="4758" spans="29:32">
      <c r="AC4758" s="20"/>
      <c r="AD4758" s="44"/>
      <c r="AF4758" s="21"/>
    </row>
    <row r="4759" spans="29:32">
      <c r="AC4759" s="20"/>
      <c r="AD4759" s="44"/>
      <c r="AF4759" s="21"/>
    </row>
    <row r="4760" spans="2:32">
      <c r="B4760" s="8"/>
      <c r="AC4760" s="20"/>
      <c r="AD4760" s="44"/>
      <c r="AF4760" s="21"/>
    </row>
    <row r="4761" spans="2:32">
      <c r="B4761" s="8"/>
      <c r="AC4761" s="20"/>
      <c r="AD4761" s="44"/>
      <c r="AF4761" s="21"/>
    </row>
    <row r="4762" spans="2:32">
      <c r="B4762" s="8"/>
      <c r="AC4762" s="20"/>
      <c r="AD4762" s="44"/>
      <c r="AF4762" s="21"/>
    </row>
    <row r="4763" spans="2:32">
      <c r="B4763" s="8"/>
      <c r="AC4763" s="20"/>
      <c r="AD4763" s="44"/>
      <c r="AF4763" s="21"/>
    </row>
    <row r="4764" spans="29:32">
      <c r="AC4764" s="20"/>
      <c r="AD4764" s="44"/>
      <c r="AF4764" s="21"/>
    </row>
    <row r="4765" spans="29:32">
      <c r="AC4765" s="20"/>
      <c r="AD4765" s="44"/>
      <c r="AF4765" s="21"/>
    </row>
    <row r="4766" spans="29:32">
      <c r="AC4766" s="20"/>
      <c r="AD4766" s="44"/>
      <c r="AF4766" s="21"/>
    </row>
    <row r="4767" spans="29:32">
      <c r="AC4767" s="20"/>
      <c r="AD4767" s="44"/>
      <c r="AF4767" s="21"/>
    </row>
    <row r="4768" spans="29:32">
      <c r="AC4768" s="20"/>
      <c r="AD4768" s="44"/>
      <c r="AF4768" s="21"/>
    </row>
    <row r="4769" spans="29:32">
      <c r="AC4769" s="20"/>
      <c r="AD4769" s="44"/>
      <c r="AF4769" s="21"/>
    </row>
    <row r="4770" spans="29:32">
      <c r="AC4770" s="20"/>
      <c r="AD4770" s="44"/>
      <c r="AF4770" s="21"/>
    </row>
    <row r="4771" spans="29:32">
      <c r="AC4771" s="20"/>
      <c r="AD4771" s="44"/>
      <c r="AF4771" s="21"/>
    </row>
    <row r="4772" spans="29:32">
      <c r="AC4772" s="20"/>
      <c r="AD4772" s="44"/>
      <c r="AF4772" s="21"/>
    </row>
    <row r="4773" spans="29:32">
      <c r="AC4773" s="20"/>
      <c r="AD4773" s="44"/>
      <c r="AF4773" s="21"/>
    </row>
    <row r="4774" spans="29:32">
      <c r="AC4774" s="20"/>
      <c r="AD4774" s="44"/>
      <c r="AF4774" s="21"/>
    </row>
    <row r="4775" spans="29:32">
      <c r="AC4775" s="20"/>
      <c r="AD4775" s="44"/>
      <c r="AF4775" s="21"/>
    </row>
    <row r="4776" spans="29:32">
      <c r="AC4776" s="20"/>
      <c r="AD4776" s="44"/>
      <c r="AF4776" s="21"/>
    </row>
    <row r="4777" ht="14" customHeight="1" spans="29:32">
      <c r="AC4777" s="20"/>
      <c r="AD4777" s="44"/>
      <c r="AF4777" s="21"/>
    </row>
    <row r="4778" ht="17" customHeight="1" spans="2:32">
      <c r="B4778" s="22"/>
      <c r="AC4778" s="20"/>
      <c r="AF4778" s="21"/>
    </row>
    <row r="4779" ht="20" customHeight="1" spans="2:32">
      <c r="B4779" s="22"/>
      <c r="AC4779" s="20"/>
      <c r="AF4779" s="21"/>
    </row>
    <row r="4780" spans="29:32">
      <c r="AC4780" s="20"/>
      <c r="AF4780" s="21"/>
    </row>
    <row r="4781" spans="29:32">
      <c r="AC4781" s="20"/>
      <c r="AF4781" s="21"/>
    </row>
    <row r="4782" spans="2:32">
      <c r="B4782" s="8"/>
      <c r="AC4782" s="20"/>
      <c r="AF4782" s="21"/>
    </row>
    <row r="4783" spans="2:32">
      <c r="B4783" s="8"/>
      <c r="AC4783" s="20"/>
      <c r="AF4783" s="21"/>
    </row>
    <row r="4784" spans="2:32">
      <c r="B4784" s="41"/>
      <c r="AC4784" s="20"/>
      <c r="AF4784" s="21"/>
    </row>
    <row r="4785" spans="29:32">
      <c r="AC4785" s="20"/>
      <c r="AF4785" s="21"/>
    </row>
    <row r="4786" spans="29:32">
      <c r="AC4786" s="20"/>
      <c r="AF4786" s="21"/>
    </row>
    <row r="4787" spans="29:32">
      <c r="AC4787" s="20"/>
      <c r="AF4787" s="21"/>
    </row>
    <row r="4788" spans="29:32">
      <c r="AC4788" s="20"/>
      <c r="AF4788" s="21"/>
    </row>
    <row r="4789" spans="29:32">
      <c r="AC4789" s="20"/>
      <c r="AF4789" s="21"/>
    </row>
    <row r="4790" spans="29:32">
      <c r="AC4790" s="20"/>
      <c r="AF4790" s="21"/>
    </row>
    <row r="4791" spans="29:32">
      <c r="AC4791" s="20"/>
      <c r="AF4791" s="21"/>
    </row>
    <row r="4792" spans="29:32">
      <c r="AC4792" s="20"/>
      <c r="AF4792" s="21"/>
    </row>
    <row r="4793" spans="29:32">
      <c r="AC4793" s="20"/>
      <c r="AF4793" s="21"/>
    </row>
    <row r="4794" spans="29:32">
      <c r="AC4794" s="20"/>
      <c r="AF4794" s="21"/>
    </row>
    <row r="4795" spans="29:32">
      <c r="AC4795" s="20"/>
      <c r="AF4795" s="21"/>
    </row>
    <row r="4796" spans="29:32">
      <c r="AC4796" s="20"/>
      <c r="AF4796" s="21"/>
    </row>
    <row r="4797" spans="29:32">
      <c r="AC4797" s="20"/>
      <c r="AF4797" s="21"/>
    </row>
    <row r="4798" spans="29:32">
      <c r="AC4798" s="20"/>
      <c r="AF4798" s="21"/>
    </row>
    <row r="4799" spans="29:32">
      <c r="AC4799" s="20"/>
      <c r="AF4799" s="21"/>
    </row>
    <row r="4800" spans="29:32">
      <c r="AC4800" s="20"/>
      <c r="AD4800" s="44"/>
      <c r="AF4800" s="21"/>
    </row>
    <row r="4801" spans="9:32">
      <c r="I4801" s="2"/>
      <c r="J4801" s="3"/>
      <c r="P4801" s="2"/>
      <c r="Q4801" s="3"/>
      <c r="AC4801" s="20"/>
      <c r="AD4801" s="44"/>
      <c r="AF4801" s="21"/>
    </row>
    <row r="4802" spans="29:32">
      <c r="AC4802" s="20"/>
      <c r="AD4802" s="44"/>
      <c r="AF4802" s="21"/>
    </row>
    <row r="4803" spans="29:32">
      <c r="AC4803" s="20"/>
      <c r="AD4803" s="44"/>
      <c r="AF4803" s="21"/>
    </row>
    <row r="4804" spans="29:32">
      <c r="AC4804" s="20"/>
      <c r="AD4804" s="44"/>
      <c r="AF4804" s="21"/>
    </row>
    <row r="4805" spans="29:32">
      <c r="AC4805" s="20"/>
      <c r="AD4805" s="44"/>
      <c r="AF4805" s="21"/>
    </row>
    <row r="4806" spans="29:32">
      <c r="AC4806" s="20"/>
      <c r="AD4806" s="44"/>
      <c r="AF4806" s="21"/>
    </row>
    <row r="4807" spans="29:32">
      <c r="AC4807" s="20"/>
      <c r="AD4807" s="44"/>
      <c r="AF4807" s="21"/>
    </row>
    <row r="4808" spans="29:32">
      <c r="AC4808" s="20"/>
      <c r="AD4808" s="44"/>
      <c r="AF4808" s="21"/>
    </row>
    <row r="4809" spans="29:32">
      <c r="AC4809" s="20"/>
      <c r="AD4809" s="44"/>
      <c r="AF4809" s="21"/>
    </row>
    <row r="4810" spans="29:32">
      <c r="AC4810" s="20"/>
      <c r="AD4810" s="44"/>
      <c r="AF4810" s="21"/>
    </row>
    <row r="4811" spans="29:32">
      <c r="AC4811" s="20"/>
      <c r="AD4811" s="44"/>
      <c r="AF4811" s="21"/>
    </row>
    <row r="4812" spans="29:32">
      <c r="AC4812" s="20"/>
      <c r="AD4812" s="44"/>
      <c r="AF4812" s="21"/>
    </row>
    <row r="4813" spans="29:32">
      <c r="AC4813" s="20"/>
      <c r="AD4813" s="44"/>
      <c r="AF4813" s="21"/>
    </row>
    <row r="4814" spans="29:32">
      <c r="AC4814" s="20"/>
      <c r="AD4814" s="44"/>
      <c r="AF4814" s="21"/>
    </row>
    <row r="4815" spans="29:32">
      <c r="AC4815" s="20"/>
      <c r="AD4815" s="44"/>
      <c r="AF4815" s="21"/>
    </row>
    <row r="4816" spans="29:32">
      <c r="AC4816" s="20"/>
      <c r="AD4816" s="44"/>
      <c r="AF4816" s="21"/>
    </row>
    <row r="4817" spans="29:32">
      <c r="AC4817" s="20"/>
      <c r="AD4817" s="44"/>
      <c r="AF4817" s="21"/>
    </row>
    <row r="4818" spans="29:32">
      <c r="AC4818" s="20"/>
      <c r="AD4818" s="44"/>
      <c r="AF4818" s="21"/>
    </row>
    <row r="4819" spans="29:32">
      <c r="AC4819" s="20"/>
      <c r="AD4819" s="44"/>
      <c r="AF4819" s="21"/>
    </row>
    <row r="4820" spans="29:32">
      <c r="AC4820" s="20"/>
      <c r="AD4820" s="44"/>
      <c r="AF4820" s="21"/>
    </row>
    <row r="4821" spans="29:32">
      <c r="AC4821" s="20"/>
      <c r="AD4821" s="44"/>
      <c r="AF4821" s="21"/>
    </row>
    <row r="4822" spans="29:32">
      <c r="AC4822" s="20"/>
      <c r="AD4822" s="44"/>
      <c r="AF4822" s="21"/>
    </row>
    <row r="4823" spans="29:32">
      <c r="AC4823" s="20"/>
      <c r="AD4823" s="44"/>
      <c r="AF4823" s="21"/>
    </row>
    <row r="4824" spans="29:32">
      <c r="AC4824" s="20"/>
      <c r="AD4824" s="44"/>
      <c r="AF4824" s="21"/>
    </row>
    <row r="4825" spans="29:32">
      <c r="AC4825" s="20"/>
      <c r="AD4825" s="44"/>
      <c r="AF4825" s="21"/>
    </row>
    <row r="4826" spans="29:32">
      <c r="AC4826" s="20"/>
      <c r="AD4826" s="44"/>
      <c r="AF4826" s="21"/>
    </row>
    <row r="4827" spans="2:32">
      <c r="B4827" s="8"/>
      <c r="AC4827" s="20"/>
      <c r="AD4827" s="44"/>
      <c r="AF4827" s="21"/>
    </row>
    <row r="4828" spans="29:32">
      <c r="AC4828" s="20"/>
      <c r="AD4828" s="44"/>
      <c r="AF4828" s="21"/>
    </row>
    <row r="4829" spans="29:32">
      <c r="AC4829" s="20"/>
      <c r="AD4829" s="44"/>
      <c r="AF4829" s="21"/>
    </row>
    <row r="4830" spans="29:32">
      <c r="AC4830" s="20"/>
      <c r="AD4830" s="44"/>
      <c r="AF4830" s="21"/>
    </row>
    <row r="4831" spans="29:32">
      <c r="AC4831" s="20"/>
      <c r="AD4831" s="44"/>
      <c r="AF4831" s="21"/>
    </row>
    <row r="4832" spans="29:32">
      <c r="AC4832" s="20"/>
      <c r="AD4832" s="44"/>
      <c r="AF4832" s="21"/>
    </row>
    <row r="4833" spans="29:32">
      <c r="AC4833" s="20"/>
      <c r="AD4833" s="44"/>
      <c r="AF4833" s="21"/>
    </row>
    <row r="4834" spans="29:32">
      <c r="AC4834" s="20"/>
      <c r="AD4834" s="44"/>
      <c r="AF4834" s="21"/>
    </row>
    <row r="4835" spans="29:32">
      <c r="AC4835" s="20"/>
      <c r="AD4835" s="44"/>
      <c r="AF4835" s="21"/>
    </row>
    <row r="4836" spans="29:32">
      <c r="AC4836" s="20"/>
      <c r="AD4836" s="44"/>
      <c r="AF4836" s="21"/>
    </row>
    <row r="4837" spans="29:32">
      <c r="AC4837" s="20"/>
      <c r="AD4837" s="44"/>
      <c r="AF4837" s="21"/>
    </row>
    <row r="4838" spans="29:32">
      <c r="AC4838" s="20"/>
      <c r="AD4838" s="44"/>
      <c r="AF4838" s="21"/>
    </row>
    <row r="4839" spans="29:32">
      <c r="AC4839" s="20"/>
      <c r="AD4839" s="44"/>
      <c r="AF4839" s="21"/>
    </row>
    <row r="4840" spans="2:32">
      <c r="B4840" s="37"/>
      <c r="AC4840" s="20"/>
      <c r="AD4840" s="44"/>
      <c r="AF4840" s="21"/>
    </row>
    <row r="4841" spans="29:32">
      <c r="AC4841" s="20"/>
      <c r="AD4841" s="44"/>
      <c r="AF4841" s="21"/>
    </row>
    <row r="4842" spans="29:32">
      <c r="AC4842" s="20"/>
      <c r="AD4842" s="44"/>
      <c r="AF4842" s="21"/>
    </row>
    <row r="4843" spans="29:32">
      <c r="AC4843" s="20"/>
      <c r="AD4843" s="44"/>
      <c r="AF4843" s="21"/>
    </row>
    <row r="4844" spans="29:32">
      <c r="AC4844" s="20"/>
      <c r="AD4844" s="44"/>
      <c r="AF4844" s="21"/>
    </row>
    <row r="4845" spans="9:32">
      <c r="I4845" s="2"/>
      <c r="J4845" s="3"/>
      <c r="P4845" s="2"/>
      <c r="Q4845" s="3"/>
      <c r="AC4845" s="20"/>
      <c r="AD4845" s="44"/>
      <c r="AF4845" s="21"/>
    </row>
    <row r="4846" spans="29:32">
      <c r="AC4846" s="20"/>
      <c r="AD4846" s="44"/>
      <c r="AF4846" s="21"/>
    </row>
    <row r="4847" spans="29:32">
      <c r="AC4847" s="20"/>
      <c r="AD4847" s="44"/>
      <c r="AF4847" s="21"/>
    </row>
    <row r="4848" spans="29:32">
      <c r="AC4848" s="20"/>
      <c r="AD4848" s="44"/>
      <c r="AF4848" s="21"/>
    </row>
    <row r="4849" spans="29:32">
      <c r="AC4849" s="20"/>
      <c r="AD4849" s="44"/>
      <c r="AF4849" s="21"/>
    </row>
    <row r="4850" spans="29:32">
      <c r="AC4850" s="20"/>
      <c r="AD4850" s="44"/>
      <c r="AF4850" s="21"/>
    </row>
    <row r="4851" spans="29:32">
      <c r="AC4851" s="20"/>
      <c r="AD4851" s="44"/>
      <c r="AF4851" s="21"/>
    </row>
    <row r="4852" spans="29:32">
      <c r="AC4852" s="20"/>
      <c r="AD4852" s="44"/>
      <c r="AF4852" s="21"/>
    </row>
    <row r="4853" spans="29:32">
      <c r="AC4853" s="20"/>
      <c r="AD4853" s="44"/>
      <c r="AF4853" s="21"/>
    </row>
    <row r="4854" spans="2:32">
      <c r="B4854" s="22"/>
      <c r="AC4854" s="20"/>
      <c r="AD4854" s="44"/>
      <c r="AF4854" s="21"/>
    </row>
    <row r="4855" spans="2:32">
      <c r="B4855" s="22"/>
      <c r="AC4855" s="20"/>
      <c r="AD4855" s="44"/>
      <c r="AF4855" s="21"/>
    </row>
    <row r="4856" spans="2:32">
      <c r="B4856" s="22"/>
      <c r="AC4856" s="20"/>
      <c r="AD4856" s="44"/>
      <c r="AF4856" s="21"/>
    </row>
    <row r="4857" spans="2:32">
      <c r="B4857" s="22"/>
      <c r="AC4857" s="20"/>
      <c r="AD4857" s="44"/>
      <c r="AF4857" s="21"/>
    </row>
    <row r="4858" spans="2:32">
      <c r="B4858" s="22"/>
      <c r="AC4858" s="20"/>
      <c r="AD4858" s="44"/>
      <c r="AF4858" s="21"/>
    </row>
    <row r="4859" spans="2:32">
      <c r="B4859" s="22"/>
      <c r="AC4859" s="20"/>
      <c r="AD4859" s="44"/>
      <c r="AF4859" s="21"/>
    </row>
    <row r="4860" spans="29:32">
      <c r="AC4860" s="20"/>
      <c r="AF4860" s="21"/>
    </row>
    <row r="4861" spans="29:32">
      <c r="AC4861" s="20"/>
      <c r="AF4861" s="21"/>
    </row>
    <row r="4862" spans="29:32">
      <c r="AC4862" s="20"/>
      <c r="AF4862" s="21"/>
    </row>
    <row r="4863" spans="29:32">
      <c r="AC4863" s="20"/>
      <c r="AF4863" s="21"/>
    </row>
    <row r="4864" spans="29:32">
      <c r="AC4864" s="20"/>
      <c r="AF4864" s="21"/>
    </row>
    <row r="4865" spans="29:32">
      <c r="AC4865" s="20"/>
      <c r="AF4865" s="21"/>
    </row>
    <row r="4866" spans="29:32">
      <c r="AC4866" s="20"/>
      <c r="AF4866" s="21"/>
    </row>
    <row r="4867" spans="29:32">
      <c r="AC4867" s="20"/>
      <c r="AF4867" s="21"/>
    </row>
    <row r="4868" spans="29:32">
      <c r="AC4868" s="20"/>
      <c r="AF4868" s="21"/>
    </row>
    <row r="4869" spans="29:32">
      <c r="AC4869" s="20"/>
      <c r="AF4869" s="21"/>
    </row>
    <row r="4870" spans="29:32">
      <c r="AC4870" s="20"/>
      <c r="AF4870" s="21"/>
    </row>
    <row r="4871" spans="29:32">
      <c r="AC4871" s="20"/>
      <c r="AF4871" s="21"/>
    </row>
    <row r="4872" spans="29:32">
      <c r="AC4872" s="20"/>
      <c r="AF4872" s="21"/>
    </row>
    <row r="4873" spans="29:32">
      <c r="AC4873" s="20"/>
      <c r="AF4873" s="21"/>
    </row>
    <row r="4874" spans="29:32">
      <c r="AC4874" s="20"/>
      <c r="AF4874" s="21"/>
    </row>
    <row r="4875" spans="29:32">
      <c r="AC4875" s="20"/>
      <c r="AF4875" s="21"/>
    </row>
    <row r="4876" spans="29:32">
      <c r="AC4876" s="20"/>
      <c r="AF4876" s="21"/>
    </row>
    <row r="4877" spans="29:32">
      <c r="AC4877" s="20"/>
      <c r="AF4877" s="21"/>
    </row>
    <row r="4878" spans="29:32">
      <c r="AC4878" s="20"/>
      <c r="AF4878" s="21"/>
    </row>
    <row r="4879" spans="29:32">
      <c r="AC4879" s="20"/>
      <c r="AF4879" s="21"/>
    </row>
    <row r="4880" spans="29:32">
      <c r="AC4880" s="20"/>
      <c r="AF4880" s="21"/>
    </row>
    <row r="4881" spans="29:32">
      <c r="AC4881" s="20"/>
      <c r="AF4881" s="21"/>
    </row>
    <row r="4882" spans="29:32">
      <c r="AC4882" s="20"/>
      <c r="AF4882" s="21"/>
    </row>
    <row r="4883" spans="29:32">
      <c r="AC4883" s="20"/>
      <c r="AF4883" s="21"/>
    </row>
    <row r="4884" spans="29:32">
      <c r="AC4884" s="20"/>
      <c r="AF4884" s="21"/>
    </row>
    <row r="4885" spans="29:32">
      <c r="AC4885" s="20"/>
      <c r="AF4885" s="21"/>
    </row>
    <row r="4886" spans="29:32">
      <c r="AC4886" s="20"/>
      <c r="AF4886" s="21"/>
    </row>
    <row r="4887" spans="29:32">
      <c r="AC4887" s="20"/>
      <c r="AF4887" s="21"/>
    </row>
    <row r="4888" spans="29:32">
      <c r="AC4888" s="20"/>
      <c r="AF4888" s="21"/>
    </row>
    <row r="4889" spans="29:32">
      <c r="AC4889" s="20"/>
      <c r="AF4889" s="21"/>
    </row>
    <row r="4890" spans="29:32">
      <c r="AC4890" s="20"/>
      <c r="AF4890" s="21"/>
    </row>
    <row r="4891" spans="29:32">
      <c r="AC4891" s="20"/>
      <c r="AF4891" s="21"/>
    </row>
    <row r="4892" spans="29:32">
      <c r="AC4892" s="20"/>
      <c r="AF4892" s="21"/>
    </row>
    <row r="4893" spans="29:32">
      <c r="AC4893" s="20"/>
      <c r="AF4893" s="21"/>
    </row>
    <row r="4894" spans="29:32">
      <c r="AC4894" s="20"/>
      <c r="AF4894" s="21"/>
    </row>
    <row r="4895" spans="29:32">
      <c r="AC4895" s="20"/>
      <c r="AF4895" s="21"/>
    </row>
    <row r="4896" spans="29:32">
      <c r="AC4896" s="20"/>
      <c r="AF4896" s="21"/>
    </row>
    <row r="4897" spans="29:32">
      <c r="AC4897" s="20"/>
      <c r="AF4897" s="21"/>
    </row>
    <row r="4898" spans="29:32">
      <c r="AC4898" s="20"/>
      <c r="AF4898" s="21"/>
    </row>
    <row r="4899" spans="29:32">
      <c r="AC4899" s="20"/>
      <c r="AF4899" s="21"/>
    </row>
    <row r="4900" spans="29:32">
      <c r="AC4900" s="20"/>
      <c r="AF4900" s="21"/>
    </row>
    <row r="4901" spans="29:32">
      <c r="AC4901" s="20"/>
      <c r="AF4901" s="21"/>
    </row>
    <row r="4902" spans="29:32">
      <c r="AC4902" s="20"/>
      <c r="AF4902" s="21"/>
    </row>
    <row r="4903" spans="29:32">
      <c r="AC4903" s="20"/>
      <c r="AF4903" s="21"/>
    </row>
    <row r="4904" spans="29:32">
      <c r="AC4904" s="20"/>
      <c r="AF4904" s="21"/>
    </row>
    <row r="4905" spans="29:32">
      <c r="AC4905" s="20"/>
      <c r="AF4905" s="21"/>
    </row>
    <row r="4906" spans="29:32">
      <c r="AC4906" s="20"/>
      <c r="AF4906" s="21"/>
    </row>
    <row r="4907" spans="29:32">
      <c r="AC4907" s="20"/>
      <c r="AF4907" s="21"/>
    </row>
    <row r="4908" spans="29:32">
      <c r="AC4908" s="20"/>
      <c r="AF4908" s="21"/>
    </row>
    <row r="4909" spans="29:32">
      <c r="AC4909" s="20"/>
      <c r="AF4909" s="21"/>
    </row>
    <row r="4910" spans="29:32">
      <c r="AC4910" s="20"/>
      <c r="AF4910" s="21"/>
    </row>
    <row r="4911" spans="29:32">
      <c r="AC4911" s="20"/>
      <c r="AF4911" s="21"/>
    </row>
    <row r="4912" spans="29:32">
      <c r="AC4912" s="20"/>
      <c r="AF4912" s="21"/>
    </row>
    <row r="4913" spans="2:32">
      <c r="B4913" s="8"/>
      <c r="AC4913" s="20"/>
      <c r="AF4913" s="21"/>
    </row>
    <row r="4914" spans="2:32">
      <c r="B4914" s="8"/>
      <c r="AC4914" s="20"/>
      <c r="AF4914" s="21"/>
    </row>
    <row r="4915" ht="18" customHeight="1" spans="2:32">
      <c r="B4915" s="8"/>
      <c r="AC4915" s="20"/>
      <c r="AF4915" s="21"/>
    </row>
    <row r="4916" ht="18" customHeight="1" spans="2:32">
      <c r="B4916" s="8"/>
      <c r="AC4916" s="20"/>
      <c r="AF4916" s="21"/>
    </row>
    <row r="4917" ht="18" customHeight="1" spans="29:32">
      <c r="AC4917" s="20"/>
      <c r="AF4917" s="21"/>
    </row>
    <row r="4918" ht="18" customHeight="1" spans="29:32">
      <c r="AC4918" s="20"/>
      <c r="AF4918" s="21"/>
    </row>
    <row r="4919" ht="18" customHeight="1" spans="29:32">
      <c r="AC4919" s="20"/>
      <c r="AF4919" s="21"/>
    </row>
    <row r="4920" ht="18" customHeight="1" spans="29:32">
      <c r="AC4920" s="20"/>
      <c r="AF4920" s="21"/>
    </row>
    <row r="4921" ht="18" customHeight="1" spans="29:32">
      <c r="AC4921" s="20"/>
      <c r="AF4921" s="21"/>
    </row>
    <row r="4922" ht="18" customHeight="1" spans="29:32">
      <c r="AC4922" s="20"/>
      <c r="AF4922" s="21"/>
    </row>
    <row r="4923" ht="18" customHeight="1" spans="29:32">
      <c r="AC4923" s="20"/>
      <c r="AF4923" s="21"/>
    </row>
    <row r="4924" ht="18" customHeight="1" spans="29:32">
      <c r="AC4924" s="20"/>
      <c r="AF4924" s="21"/>
    </row>
    <row r="4925" ht="18" customHeight="1" spans="29:32">
      <c r="AC4925" s="20"/>
      <c r="AF4925" s="21"/>
    </row>
    <row r="4926" ht="18" customHeight="1" spans="29:32">
      <c r="AC4926" s="20"/>
      <c r="AF4926" s="21"/>
    </row>
    <row r="4927" ht="18" customHeight="1" spans="29:32">
      <c r="AC4927" s="20"/>
      <c r="AF4927" s="21"/>
    </row>
    <row r="4928" spans="29:32">
      <c r="AC4928" s="20"/>
      <c r="AF4928" s="21"/>
    </row>
    <row r="4929" spans="29:32">
      <c r="AC4929" s="20"/>
      <c r="AF4929" s="21"/>
    </row>
    <row r="4930" spans="29:32">
      <c r="AC4930" s="20"/>
      <c r="AF4930" s="21"/>
    </row>
    <row r="4931" spans="29:32">
      <c r="AC4931" s="20"/>
      <c r="AF4931" s="21"/>
    </row>
    <row r="4932" spans="29:32">
      <c r="AC4932" s="20"/>
      <c r="AF4932" s="21"/>
    </row>
    <row r="4933" spans="29:32">
      <c r="AC4933" s="20"/>
      <c r="AF4933" s="21"/>
    </row>
    <row r="4934" spans="29:32">
      <c r="AC4934" s="20"/>
      <c r="AF4934" s="21"/>
    </row>
    <row r="4935" spans="29:32">
      <c r="AC4935" s="20"/>
      <c r="AF4935" s="21"/>
    </row>
    <row r="4936" spans="29:32">
      <c r="AC4936" s="20"/>
      <c r="AF4936" s="21"/>
    </row>
    <row r="4937" spans="29:32">
      <c r="AC4937" s="20"/>
      <c r="AF4937" s="21"/>
    </row>
    <row r="4938" spans="29:32">
      <c r="AC4938" s="20"/>
      <c r="AF4938" s="21"/>
    </row>
    <row r="4939" spans="29:32">
      <c r="AC4939" s="20"/>
      <c r="AF4939" s="21"/>
    </row>
    <row r="4940" spans="29:32">
      <c r="AC4940" s="20"/>
      <c r="AF4940" s="21"/>
    </row>
    <row r="4941" spans="29:32">
      <c r="AC4941" s="20"/>
      <c r="AF4941" s="21"/>
    </row>
    <row r="4942" spans="29:32">
      <c r="AC4942" s="20"/>
      <c r="AF4942" s="21"/>
    </row>
    <row r="4943" spans="29:32">
      <c r="AC4943" s="20"/>
      <c r="AF4943" s="21"/>
    </row>
    <row r="4944" spans="29:32">
      <c r="AC4944" s="20"/>
      <c r="AF4944" s="21"/>
    </row>
    <row r="4945" spans="29:32">
      <c r="AC4945" s="20"/>
      <c r="AF4945" s="21"/>
    </row>
    <row r="4946" spans="29:32">
      <c r="AC4946" s="20"/>
      <c r="AF4946" s="21"/>
    </row>
    <row r="4947" spans="29:32">
      <c r="AC4947" s="20"/>
      <c r="AF4947" s="21"/>
    </row>
    <row r="4948" spans="29:32">
      <c r="AC4948" s="20"/>
      <c r="AF4948" s="21"/>
    </row>
    <row r="4949" spans="29:32">
      <c r="AC4949" s="20"/>
      <c r="AF4949" s="21"/>
    </row>
    <row r="4950" spans="29:32">
      <c r="AC4950" s="20"/>
      <c r="AF4950" s="21"/>
    </row>
    <row r="4951" spans="29:32">
      <c r="AC4951" s="20"/>
      <c r="AF4951" s="21"/>
    </row>
    <row r="4952" spans="29:32">
      <c r="AC4952" s="20"/>
      <c r="AF4952" s="21"/>
    </row>
    <row r="4953" spans="29:32">
      <c r="AC4953" s="20"/>
      <c r="AF4953" s="21"/>
    </row>
    <row r="4954" spans="29:32">
      <c r="AC4954" s="20"/>
      <c r="AF4954" s="21"/>
    </row>
    <row r="4955" spans="29:32">
      <c r="AC4955" s="20"/>
      <c r="AF4955" s="21"/>
    </row>
    <row r="4956" spans="29:32">
      <c r="AC4956" s="20"/>
      <c r="AF4956" s="21"/>
    </row>
    <row r="4957" spans="29:32">
      <c r="AC4957" s="20"/>
      <c r="AF4957" s="21"/>
    </row>
    <row r="4958" spans="29:32">
      <c r="AC4958" s="20"/>
      <c r="AF4958" s="21"/>
    </row>
    <row r="4959" spans="29:32">
      <c r="AC4959" s="20"/>
      <c r="AF4959" s="21"/>
    </row>
    <row r="4960" spans="29:32">
      <c r="AC4960" s="20"/>
      <c r="AF4960" s="21"/>
    </row>
    <row r="4961" spans="2:32">
      <c r="B4961" s="8"/>
      <c r="AC4961" s="20"/>
      <c r="AF4961" s="21"/>
    </row>
    <row r="4962" spans="2:32">
      <c r="B4962" s="8"/>
      <c r="AC4962" s="20"/>
      <c r="AF4962" s="21"/>
    </row>
    <row r="4963" spans="29:32">
      <c r="AC4963" s="20"/>
      <c r="AF4963" s="21"/>
    </row>
    <row r="4964" spans="29:32">
      <c r="AC4964" s="20"/>
      <c r="AF4964" s="21"/>
    </row>
    <row r="4965" spans="29:32">
      <c r="AC4965" s="20"/>
      <c r="AF4965" s="21"/>
    </row>
    <row r="4966" spans="29:32">
      <c r="AC4966" s="20"/>
      <c r="AF4966" s="21"/>
    </row>
    <row r="4967" spans="29:32">
      <c r="AC4967" s="20"/>
      <c r="AF4967" s="21"/>
    </row>
    <row r="4968" spans="29:32">
      <c r="AC4968" s="20"/>
      <c r="AF4968" s="21"/>
    </row>
    <row r="4969" spans="29:32">
      <c r="AC4969" s="20"/>
      <c r="AF4969" s="21"/>
    </row>
    <row r="4970" spans="29:32">
      <c r="AC4970" s="20"/>
      <c r="AF4970" s="21"/>
    </row>
    <row r="4971" spans="29:32">
      <c r="AC4971" s="20"/>
      <c r="AF4971" s="21"/>
    </row>
    <row r="4972" spans="29:32">
      <c r="AC4972" s="20"/>
      <c r="AF4972" s="21"/>
    </row>
    <row r="4973" spans="29:32">
      <c r="AC4973" s="20"/>
      <c r="AF4973" s="21"/>
    </row>
    <row r="4974" spans="29:32">
      <c r="AC4974" s="20"/>
      <c r="AF4974" s="21"/>
    </row>
    <row r="4975" spans="29:32">
      <c r="AC4975" s="20"/>
      <c r="AF4975" s="21"/>
    </row>
    <row r="4976" spans="29:32">
      <c r="AC4976" s="20"/>
      <c r="AF4976" s="21"/>
    </row>
    <row r="4977" spans="29:32">
      <c r="AC4977" s="20"/>
      <c r="AF4977" s="21"/>
    </row>
    <row r="4978" spans="29:32">
      <c r="AC4978" s="20"/>
      <c r="AF4978" s="21"/>
    </row>
    <row r="4979" spans="29:32">
      <c r="AC4979" s="20"/>
      <c r="AF4979" s="21"/>
    </row>
    <row r="4980" spans="29:32">
      <c r="AC4980" s="20"/>
      <c r="AF4980" s="21"/>
    </row>
    <row r="4981" spans="29:32">
      <c r="AC4981" s="20"/>
      <c r="AF4981" s="21"/>
    </row>
    <row r="4982" spans="29:32">
      <c r="AC4982" s="20"/>
      <c r="AF4982" s="21"/>
    </row>
    <row r="4983" spans="29:32">
      <c r="AC4983" s="20"/>
      <c r="AF4983" s="21"/>
    </row>
    <row r="4984" spans="29:32">
      <c r="AC4984" s="20"/>
      <c r="AF4984" s="21"/>
    </row>
    <row r="4985" spans="29:32">
      <c r="AC4985" s="20"/>
      <c r="AF4985" s="21"/>
    </row>
    <row r="4986" spans="29:32">
      <c r="AC4986" s="20"/>
      <c r="AF4986" s="21"/>
    </row>
    <row r="4987" spans="29:32">
      <c r="AC4987" s="20"/>
      <c r="AF4987" s="21"/>
    </row>
    <row r="4988" spans="29:32">
      <c r="AC4988" s="20"/>
      <c r="AF4988" s="21"/>
    </row>
    <row r="4989" spans="29:32">
      <c r="AC4989" s="20"/>
      <c r="AF4989" s="21"/>
    </row>
    <row r="4990" spans="29:32">
      <c r="AC4990" s="20"/>
      <c r="AF4990" s="21"/>
    </row>
    <row r="4991" spans="29:32">
      <c r="AC4991" s="20"/>
      <c r="AF4991" s="21"/>
    </row>
    <row r="4992" spans="29:32">
      <c r="AC4992" s="20"/>
      <c r="AF4992" s="21"/>
    </row>
    <row r="4993" spans="29:32">
      <c r="AC4993" s="20"/>
      <c r="AF4993" s="21"/>
    </row>
    <row r="4994" spans="29:32">
      <c r="AC4994" s="20"/>
      <c r="AF4994" s="21"/>
    </row>
    <row r="4995" spans="29:32">
      <c r="AC4995" s="20"/>
      <c r="AF4995" s="21"/>
    </row>
    <row r="4996" spans="29:32">
      <c r="AC4996" s="20"/>
      <c r="AF4996" s="21"/>
    </row>
    <row r="4997" spans="29:32">
      <c r="AC4997" s="20"/>
      <c r="AF4997" s="21"/>
    </row>
    <row r="4998" spans="29:32">
      <c r="AC4998" s="20"/>
      <c r="AF4998" s="21"/>
    </row>
    <row r="4999" spans="29:32">
      <c r="AC4999" s="20"/>
      <c r="AF4999" s="21"/>
    </row>
    <row r="5000" spans="29:32">
      <c r="AC5000" s="20"/>
      <c r="AF5000" s="21"/>
    </row>
    <row r="5001" spans="29:32">
      <c r="AC5001" s="20"/>
      <c r="AF5001" s="21"/>
    </row>
    <row r="5002" spans="29:32">
      <c r="AC5002" s="20"/>
      <c r="AF5002" s="21"/>
    </row>
    <row r="5003" spans="2:32">
      <c r="B5003" s="8"/>
      <c r="AC5003" s="20"/>
      <c r="AF5003" s="21"/>
    </row>
    <row r="5004" spans="2:32">
      <c r="B5004" s="8"/>
      <c r="AC5004" s="20"/>
      <c r="AF5004" s="21"/>
    </row>
    <row r="5005" spans="2:32">
      <c r="B5005" s="8"/>
      <c r="AC5005" s="20"/>
      <c r="AF5005" s="21"/>
    </row>
    <row r="5006" spans="2:32">
      <c r="B5006" s="8"/>
      <c r="AC5006" s="20"/>
      <c r="AF5006" s="21"/>
    </row>
    <row r="5007" spans="2:32">
      <c r="B5007" s="53"/>
      <c r="C5007" s="3"/>
      <c r="D5007" s="3"/>
      <c r="E5007" s="3"/>
      <c r="F5007" s="3"/>
      <c r="G5007" s="3"/>
      <c r="H5007" s="3"/>
      <c r="J5007" s="3"/>
      <c r="K5007" s="3"/>
      <c r="L5007" s="3"/>
      <c r="M5007" s="3"/>
      <c r="N5007" s="3"/>
      <c r="O5007" s="3"/>
      <c r="Q5007" s="3"/>
      <c r="R5007" s="3"/>
      <c r="S5007" s="3"/>
      <c r="T5007" s="3"/>
      <c r="U5007" s="3"/>
      <c r="V5007" s="3"/>
      <c r="W5007" s="3"/>
      <c r="X5007" s="3"/>
      <c r="Y5007" s="3"/>
      <c r="Z5007" s="3"/>
      <c r="AA5007" s="3"/>
      <c r="AB5007" s="3"/>
      <c r="AC5007" s="20"/>
      <c r="AF5007" s="21"/>
    </row>
    <row r="5008" spans="29:32">
      <c r="AC5008" s="20"/>
      <c r="AF5008" s="21"/>
    </row>
    <row r="5009" spans="29:32">
      <c r="AC5009" s="20"/>
      <c r="AF5009" s="21"/>
    </row>
    <row r="5010" spans="29:32">
      <c r="AC5010" s="20"/>
      <c r="AF5010" s="21"/>
    </row>
    <row r="5011" spans="29:32">
      <c r="AC5011" s="20"/>
      <c r="AF5011" s="21"/>
    </row>
    <row r="5012" spans="29:32">
      <c r="AC5012" s="20"/>
      <c r="AF5012" s="21"/>
    </row>
    <row r="5013" spans="29:32">
      <c r="AC5013" s="20"/>
      <c r="AF5013" s="21"/>
    </row>
    <row r="5014" spans="29:32">
      <c r="AC5014" s="20"/>
      <c r="AF5014" s="21"/>
    </row>
    <row r="5015" spans="29:32">
      <c r="AC5015" s="20"/>
      <c r="AF5015" s="21"/>
    </row>
    <row r="5016" spans="29:32">
      <c r="AC5016" s="20"/>
      <c r="AF5016" s="21"/>
    </row>
    <row r="5017" spans="29:32">
      <c r="AC5017" s="20"/>
      <c r="AF5017" s="21"/>
    </row>
    <row r="5018" spans="29:32">
      <c r="AC5018" s="20"/>
      <c r="AF5018" s="21"/>
    </row>
    <row r="5019" spans="29:32">
      <c r="AC5019" s="20"/>
      <c r="AF5019" s="21"/>
    </row>
    <row r="5020" spans="29:32">
      <c r="AC5020" s="20"/>
      <c r="AF5020" s="21"/>
    </row>
    <row r="5021" spans="29:32">
      <c r="AC5021" s="20"/>
      <c r="AF5021" s="21"/>
    </row>
    <row r="5022" spans="29:32">
      <c r="AC5022" s="20"/>
      <c r="AF5022" s="21"/>
    </row>
    <row r="5023" spans="29:32">
      <c r="AC5023" s="20"/>
      <c r="AF5023" s="21"/>
    </row>
    <row r="5024" spans="29:32">
      <c r="AC5024" s="20"/>
      <c r="AF5024" s="21"/>
    </row>
    <row r="5025" spans="29:32">
      <c r="AC5025" s="20"/>
      <c r="AF5025" s="21"/>
    </row>
    <row r="5026" spans="29:32">
      <c r="AC5026" s="20"/>
      <c r="AF5026" s="21"/>
    </row>
    <row r="5027" spans="29:32">
      <c r="AC5027" s="20"/>
      <c r="AF5027" s="21"/>
    </row>
    <row r="5028" spans="16:32">
      <c r="P5028" s="2"/>
      <c r="R5028" s="3"/>
      <c r="AC5028" s="20"/>
      <c r="AF5028" s="21"/>
    </row>
    <row r="5029" spans="29:32">
      <c r="AC5029" s="20"/>
      <c r="AF5029" s="21"/>
    </row>
    <row r="5030" spans="29:32">
      <c r="AC5030" s="20"/>
      <c r="AF5030" s="21"/>
    </row>
    <row r="5031" spans="29:32">
      <c r="AC5031" s="20"/>
      <c r="AF5031" s="21"/>
    </row>
    <row r="5032" spans="29:32">
      <c r="AC5032" s="20"/>
      <c r="AF5032" s="21"/>
    </row>
    <row r="5033" spans="29:32">
      <c r="AC5033" s="20"/>
      <c r="AF5033" s="21"/>
    </row>
    <row r="5034" spans="29:32">
      <c r="AC5034" s="20"/>
      <c r="AF5034" s="21"/>
    </row>
    <row r="5035" spans="29:32">
      <c r="AC5035" s="20"/>
      <c r="AF5035" s="21"/>
    </row>
    <row r="5036" spans="29:32">
      <c r="AC5036" s="20"/>
      <c r="AF5036" s="21"/>
    </row>
    <row r="5037" spans="29:32">
      <c r="AC5037" s="20"/>
      <c r="AF5037" s="21"/>
    </row>
    <row r="5038" spans="29:32">
      <c r="AC5038" s="20"/>
      <c r="AF5038" s="21"/>
    </row>
    <row r="5039" spans="29:32">
      <c r="AC5039" s="20"/>
      <c r="AF5039" s="21"/>
    </row>
    <row r="5040" spans="29:32">
      <c r="AC5040" s="20"/>
      <c r="AF5040" s="21"/>
    </row>
    <row r="5041" spans="29:32">
      <c r="AC5041" s="20"/>
      <c r="AF5041" s="21"/>
    </row>
    <row r="5042" spans="29:32">
      <c r="AC5042" s="20"/>
      <c r="AF5042" s="21"/>
    </row>
    <row r="5043" spans="29:32">
      <c r="AC5043" s="20"/>
      <c r="AF5043" s="21"/>
    </row>
    <row r="5044" spans="29:32">
      <c r="AC5044" s="20"/>
      <c r="AF5044" s="21"/>
    </row>
    <row r="5045" spans="29:32">
      <c r="AC5045" s="20"/>
      <c r="AF5045" s="21"/>
    </row>
    <row r="5046" spans="29:32">
      <c r="AC5046" s="20"/>
      <c r="AF5046" s="21"/>
    </row>
    <row r="5047" spans="29:32">
      <c r="AC5047" s="20"/>
      <c r="AF5047" s="21"/>
    </row>
    <row r="5048" spans="29:32">
      <c r="AC5048" s="20"/>
      <c r="AF5048" s="21"/>
    </row>
    <row r="5049" spans="29:32">
      <c r="AC5049" s="20"/>
      <c r="AF5049" s="21"/>
    </row>
    <row r="5050" spans="29:32">
      <c r="AC5050" s="20"/>
      <c r="AF5050" s="21"/>
    </row>
    <row r="5051" spans="29:32">
      <c r="AC5051" s="20"/>
      <c r="AF5051" s="21"/>
    </row>
    <row r="5052" spans="29:32">
      <c r="AC5052" s="20"/>
      <c r="AF5052" s="21"/>
    </row>
    <row r="5053" spans="29:32">
      <c r="AC5053" s="20"/>
      <c r="AF5053" s="21"/>
    </row>
    <row r="5054" spans="29:32">
      <c r="AC5054" s="20"/>
      <c r="AF5054" s="21"/>
    </row>
    <row r="5055" spans="29:32">
      <c r="AC5055" s="20"/>
      <c r="AF5055" s="21"/>
    </row>
    <row r="5056" ht="21" customHeight="1" spans="29:32">
      <c r="AC5056" s="20"/>
      <c r="AF5056" s="21"/>
    </row>
    <row r="5057" spans="29:32">
      <c r="AC5057" s="20"/>
      <c r="AF5057" s="21"/>
    </row>
    <row r="5058" spans="29:32">
      <c r="AC5058" s="20"/>
      <c r="AF5058" s="21"/>
    </row>
    <row r="5059" spans="29:32">
      <c r="AC5059" s="20"/>
      <c r="AF5059" s="21"/>
    </row>
    <row r="5060" spans="29:32">
      <c r="AC5060" s="20"/>
      <c r="AD5060" s="44"/>
      <c r="AF5060" s="21"/>
    </row>
    <row r="5061" spans="29:32">
      <c r="AC5061" s="20"/>
      <c r="AD5061" s="44"/>
      <c r="AF5061" s="21"/>
    </row>
    <row r="5062" spans="29:32">
      <c r="AC5062" s="20"/>
      <c r="AD5062" s="44"/>
      <c r="AF5062" s="21"/>
    </row>
    <row r="5063" spans="29:32">
      <c r="AC5063" s="20"/>
      <c r="AF5063" s="21"/>
    </row>
    <row r="5064" spans="29:32">
      <c r="AC5064" s="20"/>
      <c r="AF5064" s="21"/>
    </row>
    <row r="5065" spans="29:32">
      <c r="AC5065" s="20"/>
      <c r="AF5065" s="21"/>
    </row>
    <row r="5066" spans="29:32">
      <c r="AC5066" s="20"/>
      <c r="AF5066" s="21"/>
    </row>
    <row r="5067" spans="29:32">
      <c r="AC5067" s="20"/>
      <c r="AF5067" s="21"/>
    </row>
    <row r="5068" spans="29:32">
      <c r="AC5068" s="20"/>
      <c r="AF5068" s="21"/>
    </row>
    <row r="5069" spans="29:32">
      <c r="AC5069" s="20"/>
      <c r="AF5069" s="21"/>
    </row>
    <row r="5070" spans="29:32">
      <c r="AC5070" s="20"/>
      <c r="AF5070" s="21"/>
    </row>
    <row r="5071" spans="29:32">
      <c r="AC5071" s="20"/>
      <c r="AF5071" s="21"/>
    </row>
    <row r="5072" spans="29:32">
      <c r="AC5072" s="20"/>
      <c r="AF5072" s="21"/>
    </row>
    <row r="5073" spans="29:32">
      <c r="AC5073" s="20"/>
      <c r="AF5073" s="21"/>
    </row>
    <row r="5074" spans="29:32">
      <c r="AC5074" s="20"/>
      <c r="AF5074" s="21"/>
    </row>
    <row r="5075" spans="29:32">
      <c r="AC5075" s="20"/>
      <c r="AF5075" s="21"/>
    </row>
    <row r="5076" spans="29:32">
      <c r="AC5076" s="20"/>
      <c r="AF5076" s="21"/>
    </row>
    <row r="5077" spans="29:32">
      <c r="AC5077" s="20"/>
      <c r="AF5077" s="21"/>
    </row>
    <row r="5078" spans="29:32">
      <c r="AC5078" s="20"/>
      <c r="AF5078" s="21"/>
    </row>
    <row r="5079" spans="2:32">
      <c r="B5079" s="8"/>
      <c r="AC5079" s="20"/>
      <c r="AF5079" s="21"/>
    </row>
    <row r="5080" spans="2:32">
      <c r="B5080" s="8"/>
      <c r="AC5080" s="20"/>
      <c r="AF5080" s="21"/>
    </row>
    <row r="5081" spans="2:32">
      <c r="B5081" s="8"/>
      <c r="AC5081" s="20"/>
      <c r="AF5081" s="21"/>
    </row>
    <row r="5082" spans="29:32">
      <c r="AC5082" s="20"/>
      <c r="AF5082" s="21"/>
    </row>
    <row r="5083" spans="29:32">
      <c r="AC5083" s="20"/>
      <c r="AF5083" s="21"/>
    </row>
    <row r="5084" spans="29:32">
      <c r="AC5084" s="20"/>
      <c r="AF5084" s="21"/>
    </row>
    <row r="5085" spans="29:32">
      <c r="AC5085" s="20"/>
      <c r="AF5085" s="21"/>
    </row>
    <row r="5086" spans="29:32">
      <c r="AC5086" s="20"/>
      <c r="AF5086" s="21"/>
    </row>
    <row r="5087" spans="29:32">
      <c r="AC5087" s="20"/>
      <c r="AF5087" s="21"/>
    </row>
    <row r="5088" spans="29:32">
      <c r="AC5088" s="20"/>
      <c r="AF5088" s="21"/>
    </row>
    <row r="5089" spans="29:32">
      <c r="AC5089" s="20"/>
      <c r="AF5089" s="21"/>
    </row>
    <row r="5090" spans="29:32">
      <c r="AC5090" s="20"/>
      <c r="AF5090" s="21"/>
    </row>
    <row r="5091" spans="29:32">
      <c r="AC5091" s="20"/>
      <c r="AF5091" s="21"/>
    </row>
    <row r="5092" spans="29:32">
      <c r="AC5092" s="20"/>
      <c r="AF5092" s="21"/>
    </row>
    <row r="5093" spans="29:32">
      <c r="AC5093" s="20"/>
      <c r="AF5093" s="21"/>
    </row>
    <row r="5094" spans="29:32">
      <c r="AC5094" s="20"/>
      <c r="AF5094" s="21"/>
    </row>
    <row r="5095" spans="29:32">
      <c r="AC5095" s="20"/>
      <c r="AF5095" s="21"/>
    </row>
    <row r="5096" spans="29:32">
      <c r="AC5096" s="20"/>
      <c r="AF5096" s="21"/>
    </row>
    <row r="5097" spans="29:32">
      <c r="AC5097" s="20"/>
      <c r="AF5097" s="21"/>
    </row>
    <row r="5098" spans="29:32">
      <c r="AC5098" s="20"/>
      <c r="AF5098" s="21"/>
    </row>
    <row r="5099" spans="29:32">
      <c r="AC5099" s="20"/>
      <c r="AF5099" s="21"/>
    </row>
    <row r="5100" spans="29:32">
      <c r="AC5100" s="20"/>
      <c r="AF5100" s="21"/>
    </row>
    <row r="5101" spans="29:32">
      <c r="AC5101" s="20"/>
      <c r="AF5101" s="21"/>
    </row>
    <row r="5102" spans="29:32">
      <c r="AC5102" s="20"/>
      <c r="AF5102" s="21"/>
    </row>
    <row r="5103" spans="29:32">
      <c r="AC5103" s="20"/>
      <c r="AF5103" s="21"/>
    </row>
    <row r="5104" spans="29:32">
      <c r="AC5104" s="20"/>
      <c r="AF5104" s="21"/>
    </row>
    <row r="5105" spans="29:32">
      <c r="AC5105" s="20"/>
      <c r="AF5105" s="21"/>
    </row>
    <row r="5106" spans="29:32">
      <c r="AC5106" s="20"/>
      <c r="AF5106" s="21"/>
    </row>
    <row r="5107" spans="29:32">
      <c r="AC5107" s="20"/>
      <c r="AF5107" s="21"/>
    </row>
    <row r="5108" spans="29:32">
      <c r="AC5108" s="20"/>
      <c r="AF5108" s="21"/>
    </row>
    <row r="5109" spans="29:32">
      <c r="AC5109" s="20"/>
      <c r="AF5109" s="21"/>
    </row>
    <row r="5110" ht="18" customHeight="1" spans="2:32">
      <c r="B5110" s="48"/>
      <c r="AC5110" s="20"/>
      <c r="AF5110" s="21"/>
    </row>
    <row r="5111" ht="18" customHeight="1" spans="29:32">
      <c r="AC5111" s="20"/>
      <c r="AF5111" s="21"/>
    </row>
    <row r="5112" ht="18" customHeight="1" spans="2:32">
      <c r="B5112" s="48"/>
      <c r="AC5112" s="20"/>
      <c r="AF5112" s="21"/>
    </row>
    <row r="5113" ht="18" customHeight="1" spans="29:32">
      <c r="AC5113" s="20"/>
      <c r="AF5113" s="21"/>
    </row>
    <row r="5114" ht="18" customHeight="1" spans="2:32">
      <c r="B5114" s="48"/>
      <c r="AC5114" s="20"/>
      <c r="AF5114" s="21"/>
    </row>
    <row r="5115" ht="18" customHeight="1" spans="2:32">
      <c r="B5115" s="48"/>
      <c r="AC5115" s="20"/>
      <c r="AF5115" s="21"/>
    </row>
    <row r="5116" ht="18" customHeight="1" spans="29:32">
      <c r="AC5116" s="20"/>
      <c r="AF5116" s="21"/>
    </row>
    <row r="5117" ht="18" customHeight="1" spans="2:32">
      <c r="B5117" s="48"/>
      <c r="AC5117" s="20"/>
      <c r="AF5117" s="21"/>
    </row>
    <row r="5118" ht="18" customHeight="1" spans="2:32">
      <c r="B5118" s="48"/>
      <c r="AC5118" s="20"/>
      <c r="AF5118" s="21"/>
    </row>
    <row r="5119" spans="2:32">
      <c r="B5119" s="48"/>
      <c r="I5119" s="2"/>
      <c r="J5119" s="3"/>
      <c r="P5119" s="2"/>
      <c r="Q5119" s="3"/>
      <c r="AC5119" s="20"/>
      <c r="AF5119" s="21"/>
    </row>
    <row r="5120" ht="15.75" spans="2:32">
      <c r="B5120" s="54"/>
      <c r="AC5120" s="20"/>
      <c r="AF5120" s="21"/>
    </row>
    <row r="5121" spans="2:32">
      <c r="B5121" s="48"/>
      <c r="AC5121" s="20"/>
      <c r="AF5121" s="21"/>
    </row>
    <row r="5122" spans="2:32">
      <c r="B5122" s="48"/>
      <c r="AC5122" s="20"/>
      <c r="AF5122" s="21"/>
    </row>
    <row r="5123" spans="29:32">
      <c r="AC5123" s="20"/>
      <c r="AF5123" s="21"/>
    </row>
    <row r="5124" spans="29:32">
      <c r="AC5124" s="20"/>
      <c r="AF5124" s="21"/>
    </row>
    <row r="5125" spans="2:32">
      <c r="B5125" s="48"/>
      <c r="AC5125" s="20"/>
      <c r="AF5125" s="21"/>
    </row>
    <row r="5126" spans="2:32">
      <c r="B5126" s="48"/>
      <c r="AC5126" s="20"/>
      <c r="AF5126" s="21"/>
    </row>
    <row r="5127" spans="29:32">
      <c r="AC5127" s="20"/>
      <c r="AF5127" s="21"/>
    </row>
    <row r="5128" spans="29:32">
      <c r="AC5128" s="20"/>
      <c r="AF5128" s="21"/>
    </row>
    <row r="5129" spans="29:32">
      <c r="AC5129" s="20"/>
      <c r="AF5129" s="21"/>
    </row>
    <row r="5130" spans="29:32">
      <c r="AC5130" s="20"/>
      <c r="AF5130" s="21"/>
    </row>
    <row r="5131" spans="2:32">
      <c r="B5131" s="55"/>
      <c r="AC5131" s="20"/>
      <c r="AF5131" s="21"/>
    </row>
    <row r="5132" spans="29:32">
      <c r="AC5132" s="20"/>
      <c r="AF5132" s="21"/>
    </row>
    <row r="5133" spans="29:32">
      <c r="AC5133" s="20"/>
      <c r="AF5133" s="21"/>
    </row>
    <row r="5134" spans="29:32">
      <c r="AC5134" s="20"/>
      <c r="AF5134" s="21"/>
    </row>
    <row r="5135" spans="29:32">
      <c r="AC5135" s="20"/>
      <c r="AF5135" s="21"/>
    </row>
    <row r="5136" spans="29:32">
      <c r="AC5136" s="20"/>
      <c r="AF5136" s="21"/>
    </row>
    <row r="5137" spans="7:32">
      <c r="G5137" s="55"/>
      <c r="AC5137" s="20"/>
      <c r="AF5137" s="21"/>
    </row>
    <row r="5138" spans="29:32">
      <c r="AC5138" s="20"/>
      <c r="AF5138" s="21"/>
    </row>
    <row r="5139" spans="29:32">
      <c r="AC5139" s="20"/>
      <c r="AF5139" s="21"/>
    </row>
    <row r="5140" spans="29:32">
      <c r="AC5140" s="20"/>
      <c r="AF5140" s="21"/>
    </row>
    <row r="5141" spans="29:32">
      <c r="AC5141" s="20"/>
      <c r="AF5141" s="21"/>
    </row>
    <row r="5142" spans="29:32">
      <c r="AC5142" s="20"/>
      <c r="AF5142" s="21"/>
    </row>
    <row r="5143" spans="2:32">
      <c r="B5143" s="8"/>
      <c r="AC5143" s="20"/>
      <c r="AF5143" s="21"/>
    </row>
    <row r="5144" spans="2:32">
      <c r="B5144" s="8"/>
      <c r="AC5144" s="20"/>
      <c r="AF5144" s="21"/>
    </row>
    <row r="5145" spans="2:32">
      <c r="B5145" s="8"/>
      <c r="AC5145" s="20"/>
      <c r="AF5145" s="21"/>
    </row>
    <row r="5146" spans="2:32">
      <c r="B5146" s="8"/>
      <c r="AC5146" s="20"/>
      <c r="AF5146" s="21"/>
    </row>
    <row r="5147" spans="29:32">
      <c r="AC5147" s="20"/>
      <c r="AF5147" s="21"/>
    </row>
    <row r="5148" spans="29:32">
      <c r="AC5148" s="20"/>
      <c r="AF5148" s="21"/>
    </row>
    <row r="5149" spans="29:32">
      <c r="AC5149" s="20"/>
      <c r="AF5149" s="21"/>
    </row>
    <row r="5150" spans="29:32">
      <c r="AC5150" s="20"/>
      <c r="AF5150" s="21"/>
    </row>
    <row r="5151" spans="29:32">
      <c r="AC5151" s="20"/>
      <c r="AF5151" s="21"/>
    </row>
    <row r="5152" spans="29:32">
      <c r="AC5152" s="20"/>
      <c r="AF5152" s="21"/>
    </row>
    <row r="5153" spans="2:32">
      <c r="B5153" s="22"/>
      <c r="AC5153" s="20"/>
      <c r="AF5153" s="21"/>
    </row>
    <row r="5154" spans="2:32">
      <c r="B5154" s="8"/>
      <c r="AC5154" s="20"/>
      <c r="AF5154" s="21"/>
    </row>
    <row r="5155" spans="2:32">
      <c r="B5155" s="8"/>
      <c r="AC5155" s="20"/>
      <c r="AF5155" s="21"/>
    </row>
    <row r="5156" spans="2:32">
      <c r="B5156" s="8"/>
      <c r="AC5156" s="20"/>
      <c r="AF5156" s="21"/>
    </row>
    <row r="5157" spans="2:32">
      <c r="B5157" s="8"/>
      <c r="AC5157" s="20"/>
      <c r="AF5157" s="21"/>
    </row>
    <row r="5158" spans="29:32">
      <c r="AC5158" s="20"/>
      <c r="AF5158" s="21"/>
    </row>
    <row r="5159" spans="29:32">
      <c r="AC5159" s="20"/>
      <c r="AF5159" s="21"/>
    </row>
    <row r="5160" spans="29:32">
      <c r="AC5160" s="20"/>
      <c r="AF5160" s="21"/>
    </row>
    <row r="5161" spans="29:32">
      <c r="AC5161" s="20"/>
      <c r="AF5161" s="21"/>
    </row>
    <row r="5162" spans="29:32">
      <c r="AC5162" s="20"/>
      <c r="AF5162" s="21"/>
    </row>
    <row r="5163" spans="29:32">
      <c r="AC5163" s="20"/>
      <c r="AF5163" s="21"/>
    </row>
    <row r="5164" spans="29:32">
      <c r="AC5164" s="20"/>
      <c r="AF5164" s="21"/>
    </row>
    <row r="5165" spans="29:32">
      <c r="AC5165" s="20"/>
      <c r="AF5165" s="21"/>
    </row>
    <row r="5166" spans="29:32">
      <c r="AC5166" s="20"/>
      <c r="AF5166" s="21"/>
    </row>
    <row r="5167" ht="21" customHeight="1" spans="29:32">
      <c r="AC5167" s="20"/>
      <c r="AF5167" s="21"/>
    </row>
    <row r="5168" spans="29:32">
      <c r="AC5168" s="20"/>
      <c r="AF5168" s="21"/>
    </row>
    <row r="5169" spans="29:32">
      <c r="AC5169" s="20"/>
      <c r="AF5169" s="21"/>
    </row>
    <row r="5170" spans="2:32">
      <c r="B5170" s="8"/>
      <c r="AC5170" s="20"/>
      <c r="AF5170" s="21"/>
    </row>
    <row r="5171" spans="2:32">
      <c r="B5171" s="8"/>
      <c r="AC5171" s="20"/>
      <c r="AF5171" s="21"/>
    </row>
    <row r="5172" spans="2:32">
      <c r="B5172" s="8"/>
      <c r="AC5172" s="20"/>
      <c r="AF5172" s="21"/>
    </row>
    <row r="5173" spans="29:32">
      <c r="AC5173" s="20"/>
      <c r="AF5173" s="21"/>
    </row>
    <row r="5174" spans="29:32">
      <c r="AC5174" s="20"/>
      <c r="AF5174" s="21"/>
    </row>
    <row r="5175" spans="29:32">
      <c r="AC5175" s="20"/>
      <c r="AF5175" s="21"/>
    </row>
    <row r="5176" spans="29:32">
      <c r="AC5176" s="20"/>
      <c r="AF5176" s="21"/>
    </row>
    <row r="5177" spans="29:32">
      <c r="AC5177" s="20"/>
      <c r="AF5177" s="21"/>
    </row>
    <row r="5178" spans="29:32">
      <c r="AC5178" s="20"/>
      <c r="AF5178" s="21"/>
    </row>
    <row r="5179" spans="29:32">
      <c r="AC5179" s="20"/>
      <c r="AF5179" s="21"/>
    </row>
    <row r="5180" spans="29:32">
      <c r="AC5180" s="20"/>
      <c r="AF5180" s="21"/>
    </row>
    <row r="5181" spans="29:32">
      <c r="AC5181" s="20"/>
      <c r="AF5181" s="21"/>
    </row>
    <row r="5182" spans="29:32">
      <c r="AC5182" s="20"/>
      <c r="AF5182" s="21"/>
    </row>
    <row r="5183" spans="29:32">
      <c r="AC5183" s="20"/>
      <c r="AF5183" s="21"/>
    </row>
    <row r="5184" spans="29:32">
      <c r="AC5184" s="20"/>
      <c r="AF5184" s="21"/>
    </row>
    <row r="5185" spans="29:32">
      <c r="AC5185" s="20"/>
      <c r="AF5185" s="21"/>
    </row>
    <row r="5186" spans="29:32">
      <c r="AC5186" s="20"/>
      <c r="AF5186" s="21"/>
    </row>
    <row r="5187" spans="29:32">
      <c r="AC5187" s="20"/>
      <c r="AF5187" s="21"/>
    </row>
    <row r="5188" spans="29:32">
      <c r="AC5188" s="20"/>
      <c r="AF5188" s="21"/>
    </row>
    <row r="5189" spans="29:32">
      <c r="AC5189" s="20"/>
      <c r="AF5189" s="21"/>
    </row>
    <row r="5190" spans="29:32">
      <c r="AC5190" s="20"/>
      <c r="AF5190" s="21"/>
    </row>
    <row r="5191" spans="29:32">
      <c r="AC5191" s="20"/>
      <c r="AF5191" s="21"/>
    </row>
    <row r="5192" spans="29:32">
      <c r="AC5192" s="20"/>
      <c r="AF5192" s="21"/>
    </row>
    <row r="5193" spans="29:32">
      <c r="AC5193" s="20"/>
      <c r="AF5193" s="21"/>
    </row>
    <row r="5194" spans="2:32">
      <c r="B5194" s="8"/>
      <c r="AC5194" s="20"/>
      <c r="AF5194" s="21"/>
    </row>
    <row r="5195" spans="2:32">
      <c r="B5195" s="8"/>
      <c r="AC5195" s="20"/>
      <c r="AF5195" s="21"/>
    </row>
    <row r="5196" spans="2:32">
      <c r="B5196" s="8"/>
      <c r="AC5196" s="20"/>
      <c r="AF5196" s="21"/>
    </row>
    <row r="5197" spans="2:32">
      <c r="B5197" s="8"/>
      <c r="AC5197" s="20"/>
      <c r="AF5197" s="21"/>
    </row>
    <row r="5198" spans="29:32">
      <c r="AC5198" s="20"/>
      <c r="AF5198" s="21"/>
    </row>
    <row r="5199" spans="29:32">
      <c r="AC5199" s="20"/>
      <c r="AF5199" s="21"/>
    </row>
    <row r="5200" spans="29:32">
      <c r="AC5200" s="20"/>
      <c r="AF5200" s="21"/>
    </row>
    <row r="5201" spans="29:32">
      <c r="AC5201" s="20"/>
      <c r="AF5201" s="21"/>
    </row>
    <row r="5202" spans="29:32">
      <c r="AC5202" s="20"/>
      <c r="AF5202" s="21"/>
    </row>
    <row r="5203" spans="29:32">
      <c r="AC5203" s="20"/>
      <c r="AF5203" s="21"/>
    </row>
    <row r="5204" spans="29:32">
      <c r="AC5204" s="20"/>
      <c r="AF5204" s="21"/>
    </row>
    <row r="5205" spans="29:32">
      <c r="AC5205" s="20"/>
      <c r="AF5205" s="21"/>
    </row>
    <row r="5206" spans="29:32">
      <c r="AC5206" s="20"/>
      <c r="AF5206" s="21"/>
    </row>
    <row r="5207" spans="29:32">
      <c r="AC5207" s="20"/>
      <c r="AF5207" s="21"/>
    </row>
    <row r="5208" spans="29:32">
      <c r="AC5208" s="20"/>
      <c r="AF5208" s="21"/>
    </row>
    <row r="5209" spans="29:32">
      <c r="AC5209" s="20"/>
      <c r="AF5209" s="21"/>
    </row>
    <row r="5210" spans="29:32">
      <c r="AC5210" s="20"/>
      <c r="AF5210" s="21"/>
    </row>
    <row r="5211" spans="29:32">
      <c r="AC5211" s="20"/>
      <c r="AF5211" s="21"/>
    </row>
    <row r="5212" spans="29:32">
      <c r="AC5212" s="20"/>
      <c r="AF5212" s="21"/>
    </row>
    <row r="5213" spans="29:32">
      <c r="AC5213" s="20"/>
      <c r="AF5213" s="21"/>
    </row>
    <row r="5214" spans="29:32">
      <c r="AC5214" s="20"/>
      <c r="AF5214" s="21"/>
    </row>
    <row r="5215" spans="29:32">
      <c r="AC5215" s="20"/>
      <c r="AF5215" s="21"/>
    </row>
    <row r="5216" spans="29:32">
      <c r="AC5216" s="20"/>
      <c r="AF5216" s="21"/>
    </row>
    <row r="5217" spans="29:32">
      <c r="AC5217" s="20"/>
      <c r="AF5217" s="21"/>
    </row>
    <row r="5218" spans="29:32">
      <c r="AC5218" s="20"/>
      <c r="AF5218" s="21"/>
    </row>
    <row r="5219" spans="29:32">
      <c r="AC5219" s="20"/>
      <c r="AF5219" s="21"/>
    </row>
    <row r="5220" spans="2:32">
      <c r="B5220" s="8"/>
      <c r="AC5220" s="20"/>
      <c r="AF5220" s="21"/>
    </row>
    <row r="5221" spans="2:32">
      <c r="B5221" s="8"/>
      <c r="AC5221" s="20"/>
      <c r="AF5221" s="21"/>
    </row>
    <row r="5222" spans="29:32">
      <c r="AC5222" s="20"/>
      <c r="AF5222" s="21"/>
    </row>
    <row r="5223" spans="29:32">
      <c r="AC5223" s="20"/>
      <c r="AF5223" s="21"/>
    </row>
    <row r="5224" spans="29:32">
      <c r="AC5224" s="20"/>
      <c r="AF5224" s="21"/>
    </row>
    <row r="5225" spans="29:32">
      <c r="AC5225" s="20"/>
      <c r="AF5225" s="21"/>
    </row>
    <row r="5226" spans="29:32">
      <c r="AC5226" s="20"/>
      <c r="AF5226" s="21"/>
    </row>
    <row r="5227" spans="29:32">
      <c r="AC5227" s="20"/>
      <c r="AF5227" s="21"/>
    </row>
    <row r="5228" spans="29:32">
      <c r="AC5228" s="20"/>
      <c r="AF5228" s="21"/>
    </row>
    <row r="5229" spans="29:32">
      <c r="AC5229" s="20"/>
      <c r="AF5229" s="21"/>
    </row>
    <row r="5230" spans="29:32">
      <c r="AC5230" s="20"/>
      <c r="AF5230" s="21"/>
    </row>
    <row r="5231" spans="29:32">
      <c r="AC5231" s="20"/>
      <c r="AF5231" s="21"/>
    </row>
    <row r="5232" spans="29:32">
      <c r="AC5232" s="20"/>
      <c r="AF5232" s="21"/>
    </row>
    <row r="5233" spans="29:32">
      <c r="AC5233" s="20"/>
      <c r="AF5233" s="21"/>
    </row>
    <row r="5234" spans="29:32">
      <c r="AC5234" s="20"/>
      <c r="AF5234" s="21"/>
    </row>
    <row r="5235" spans="29:32">
      <c r="AC5235" s="20"/>
      <c r="AF5235" s="21"/>
    </row>
    <row r="5236" spans="29:32">
      <c r="AC5236" s="20"/>
      <c r="AF5236" s="21"/>
    </row>
    <row r="5237" spans="29:32">
      <c r="AC5237" s="20"/>
      <c r="AF5237" s="21"/>
    </row>
    <row r="5238" spans="29:32">
      <c r="AC5238" s="20"/>
      <c r="AF5238" s="21"/>
    </row>
    <row r="5239" spans="29:32">
      <c r="AC5239" s="20"/>
      <c r="AF5239" s="21"/>
    </row>
    <row r="5240" spans="29:32">
      <c r="AC5240" s="20"/>
      <c r="AF5240" s="21"/>
    </row>
    <row r="5241" spans="29:32">
      <c r="AC5241" s="20"/>
      <c r="AF5241" s="21"/>
    </row>
    <row r="5242" spans="29:32">
      <c r="AC5242" s="20"/>
      <c r="AF5242" s="21"/>
    </row>
    <row r="5243" spans="29:32">
      <c r="AC5243" s="20"/>
      <c r="AF5243" s="21"/>
    </row>
    <row r="5244" spans="29:32">
      <c r="AC5244" s="20"/>
      <c r="AF5244" s="21"/>
    </row>
    <row r="5245" spans="29:32">
      <c r="AC5245" s="20"/>
      <c r="AF5245" s="21"/>
    </row>
    <row r="5246" spans="29:32">
      <c r="AC5246" s="20"/>
      <c r="AF5246" s="21"/>
    </row>
    <row r="5247" spans="29:32">
      <c r="AC5247" s="20"/>
      <c r="AF5247" s="21"/>
    </row>
    <row r="5248" spans="29:32">
      <c r="AC5248" s="20"/>
      <c r="AF5248" s="21"/>
    </row>
    <row r="5249" spans="29:32">
      <c r="AC5249" s="20"/>
      <c r="AF5249" s="21"/>
    </row>
    <row r="5250" spans="29:32">
      <c r="AC5250" s="20"/>
      <c r="AF5250" s="21"/>
    </row>
    <row r="5251" spans="29:32">
      <c r="AC5251" s="20"/>
      <c r="AF5251" s="21"/>
    </row>
    <row r="5252" spans="29:32">
      <c r="AC5252" s="20"/>
      <c r="AF5252" s="21"/>
    </row>
    <row r="5253" spans="29:32">
      <c r="AC5253" s="20"/>
      <c r="AF5253" s="21"/>
    </row>
    <row r="5254" spans="29:32">
      <c r="AC5254" s="20"/>
      <c r="AF5254" s="21"/>
    </row>
    <row r="5255" spans="29:32">
      <c r="AC5255" s="20"/>
      <c r="AF5255" s="21"/>
    </row>
    <row r="5256" spans="29:32">
      <c r="AC5256" s="20"/>
      <c r="AF5256" s="21"/>
    </row>
    <row r="5257" spans="29:32">
      <c r="AC5257" s="20"/>
      <c r="AF5257" s="21"/>
    </row>
    <row r="5258" spans="29:32">
      <c r="AC5258" s="20"/>
      <c r="AF5258" s="21"/>
    </row>
    <row r="5259" spans="29:32">
      <c r="AC5259" s="20"/>
      <c r="AF5259" s="21"/>
    </row>
    <row r="5260" spans="29:32">
      <c r="AC5260" s="20"/>
      <c r="AF5260" s="21"/>
    </row>
    <row r="5261" spans="29:32">
      <c r="AC5261" s="20"/>
      <c r="AF5261" s="21"/>
    </row>
    <row r="5262" spans="29:32">
      <c r="AC5262" s="20"/>
      <c r="AF5262" s="21"/>
    </row>
    <row r="5263" spans="29:32">
      <c r="AC5263" s="20"/>
      <c r="AF5263" s="21"/>
    </row>
    <row r="5264" spans="29:32">
      <c r="AC5264" s="20"/>
      <c r="AF5264" s="21"/>
    </row>
    <row r="5265" spans="29:32">
      <c r="AC5265" s="20"/>
      <c r="AF5265" s="21"/>
    </row>
    <row r="5266" spans="29:32">
      <c r="AC5266" s="20"/>
      <c r="AF5266" s="21"/>
    </row>
    <row r="5267" spans="29:32">
      <c r="AC5267" s="20"/>
      <c r="AF5267" s="21"/>
    </row>
    <row r="5268" spans="29:32">
      <c r="AC5268" s="20"/>
      <c r="AF5268" s="21"/>
    </row>
    <row r="5269" spans="29:32">
      <c r="AC5269" s="20"/>
      <c r="AF5269" s="21"/>
    </row>
    <row r="5270" spans="29:32">
      <c r="AC5270" s="20"/>
      <c r="AF5270" s="21"/>
    </row>
    <row r="5271" spans="29:32">
      <c r="AC5271" s="20"/>
      <c r="AF5271" s="21"/>
    </row>
    <row r="5272" spans="29:32">
      <c r="AC5272" s="20"/>
      <c r="AF5272" s="21"/>
    </row>
    <row r="5273" spans="29:32">
      <c r="AC5273" s="20"/>
      <c r="AF5273" s="21"/>
    </row>
    <row r="5274" spans="29:32">
      <c r="AC5274" s="20"/>
      <c r="AF5274" s="21"/>
    </row>
    <row r="5275" spans="29:32">
      <c r="AC5275" s="20"/>
      <c r="AF5275" s="21"/>
    </row>
    <row r="5276" spans="29:32">
      <c r="AC5276" s="20"/>
      <c r="AF5276" s="21"/>
    </row>
    <row r="5277" spans="29:32">
      <c r="AC5277" s="20"/>
      <c r="AF5277" s="21"/>
    </row>
    <row r="5278" spans="29:32">
      <c r="AC5278" s="20"/>
      <c r="AF5278" s="21"/>
    </row>
    <row r="5279" spans="29:32">
      <c r="AC5279" s="20"/>
      <c r="AF5279" s="21"/>
    </row>
    <row r="5280" spans="29:32">
      <c r="AC5280" s="20"/>
      <c r="AF5280" s="21"/>
    </row>
    <row r="5281" spans="29:32">
      <c r="AC5281" s="20"/>
      <c r="AF5281" s="21"/>
    </row>
    <row r="5282" spans="29:32">
      <c r="AC5282" s="20"/>
      <c r="AF5282" s="21"/>
    </row>
    <row r="5283" spans="29:32">
      <c r="AC5283" s="20"/>
      <c r="AF5283" s="21"/>
    </row>
    <row r="5284" spans="29:32">
      <c r="AC5284" s="20"/>
      <c r="AF5284" s="21"/>
    </row>
    <row r="5285" spans="29:32">
      <c r="AC5285" s="20"/>
      <c r="AF5285" s="21"/>
    </row>
    <row r="5286" spans="29:32">
      <c r="AC5286" s="20"/>
      <c r="AF5286" s="21"/>
    </row>
    <row r="5287" spans="29:32">
      <c r="AC5287" s="20"/>
      <c r="AF5287" s="21"/>
    </row>
    <row r="5288" spans="29:32">
      <c r="AC5288" s="20"/>
      <c r="AF5288" s="21"/>
    </row>
    <row r="5289" spans="29:32">
      <c r="AC5289" s="20"/>
      <c r="AF5289" s="21"/>
    </row>
    <row r="5290" spans="29:32">
      <c r="AC5290" s="20"/>
      <c r="AF5290" s="21"/>
    </row>
    <row r="5291" spans="29:32">
      <c r="AC5291" s="20"/>
      <c r="AF5291" s="21"/>
    </row>
    <row r="5292" spans="29:32">
      <c r="AC5292" s="20"/>
      <c r="AF5292" s="21"/>
    </row>
    <row r="5293" spans="29:32">
      <c r="AC5293" s="20"/>
      <c r="AF5293" s="21"/>
    </row>
    <row r="5294" spans="29:32">
      <c r="AC5294" s="20"/>
      <c r="AF5294" s="21"/>
    </row>
    <row r="5295" spans="29:32">
      <c r="AC5295" s="20"/>
      <c r="AF5295" s="21"/>
    </row>
    <row r="5296" spans="29:32">
      <c r="AC5296" s="20"/>
      <c r="AF5296" s="21"/>
    </row>
    <row r="5297" spans="29:32">
      <c r="AC5297" s="20"/>
      <c r="AF5297" s="21"/>
    </row>
    <row r="5298" spans="29:32">
      <c r="AC5298" s="20"/>
      <c r="AF5298" s="21"/>
    </row>
    <row r="5299" spans="29:32">
      <c r="AC5299" s="20"/>
      <c r="AF5299" s="21"/>
    </row>
    <row r="5300" spans="29:32">
      <c r="AC5300" s="20"/>
      <c r="AF5300" s="21"/>
    </row>
    <row r="5301" spans="2:32">
      <c r="B5301" s="8"/>
      <c r="AC5301" s="20"/>
      <c r="AF5301" s="21"/>
    </row>
    <row r="5302" spans="2:32">
      <c r="B5302" s="8"/>
      <c r="AC5302" s="20"/>
      <c r="AF5302" s="21"/>
    </row>
    <row r="5303" spans="2:32">
      <c r="B5303" s="8"/>
      <c r="AC5303" s="20"/>
      <c r="AF5303" s="21"/>
    </row>
    <row r="5304" spans="29:32">
      <c r="AC5304" s="20"/>
      <c r="AF5304" s="21"/>
    </row>
    <row r="5305" spans="29:32">
      <c r="AC5305" s="20"/>
      <c r="AF5305" s="21"/>
    </row>
    <row r="5306" spans="29:32">
      <c r="AC5306" s="20"/>
      <c r="AF5306" s="21"/>
    </row>
    <row r="5307" spans="29:32">
      <c r="AC5307" s="20"/>
      <c r="AF5307" s="21"/>
    </row>
    <row r="5308" spans="29:32">
      <c r="AC5308" s="20"/>
      <c r="AF5308" s="21"/>
    </row>
    <row r="5309" spans="29:32">
      <c r="AC5309" s="20"/>
      <c r="AF5309" s="21"/>
    </row>
    <row r="5310" spans="29:32">
      <c r="AC5310" s="20"/>
      <c r="AF5310" s="21"/>
    </row>
    <row r="5311" spans="29:32">
      <c r="AC5311" s="20"/>
      <c r="AF5311" s="21"/>
    </row>
    <row r="5312" spans="29:32">
      <c r="AC5312" s="20"/>
      <c r="AF5312" s="21"/>
    </row>
    <row r="5313" spans="29:32">
      <c r="AC5313" s="20"/>
      <c r="AF5313" s="21"/>
    </row>
    <row r="5314" spans="29:32">
      <c r="AC5314" s="20"/>
      <c r="AF5314" s="21"/>
    </row>
    <row r="5315" spans="29:32">
      <c r="AC5315" s="20"/>
      <c r="AF5315" s="21"/>
    </row>
    <row r="5316" spans="29:32">
      <c r="AC5316" s="20"/>
      <c r="AF5316" s="21"/>
    </row>
    <row r="5317" spans="29:32">
      <c r="AC5317" s="20"/>
      <c r="AF5317" s="21"/>
    </row>
    <row r="5318" spans="29:32">
      <c r="AC5318" s="20"/>
      <c r="AF5318" s="21"/>
    </row>
    <row r="5319" spans="29:32">
      <c r="AC5319" s="20"/>
      <c r="AF5319" s="21"/>
    </row>
    <row r="5320" spans="29:32">
      <c r="AC5320" s="20"/>
      <c r="AF5320" s="21"/>
    </row>
    <row r="5321" spans="29:32">
      <c r="AC5321" s="20"/>
      <c r="AF5321" s="21"/>
    </row>
    <row r="5322" spans="29:32">
      <c r="AC5322" s="20"/>
      <c r="AF5322" s="21"/>
    </row>
    <row r="5323" spans="29:32">
      <c r="AC5323" s="20"/>
      <c r="AF5323" s="21"/>
    </row>
    <row r="5324" spans="29:32">
      <c r="AC5324" s="20"/>
      <c r="AF5324" s="21"/>
    </row>
    <row r="5325" spans="29:32">
      <c r="AC5325" s="20"/>
      <c r="AF5325" s="21"/>
    </row>
    <row r="5326" spans="29:32">
      <c r="AC5326" s="20"/>
      <c r="AF5326" s="21"/>
    </row>
    <row r="5327" spans="29:32">
      <c r="AC5327" s="20"/>
      <c r="AF5327" s="21"/>
    </row>
    <row r="5328" spans="29:32">
      <c r="AC5328" s="20"/>
      <c r="AF5328" s="21"/>
    </row>
    <row r="5329" spans="29:32">
      <c r="AC5329" s="20"/>
      <c r="AF5329" s="21"/>
    </row>
    <row r="5330" spans="29:32">
      <c r="AC5330" s="20"/>
      <c r="AF5330" s="21"/>
    </row>
    <row r="5331" spans="29:32">
      <c r="AC5331" s="20"/>
      <c r="AF5331" s="21"/>
    </row>
    <row r="5332" spans="29:32">
      <c r="AC5332" s="20"/>
      <c r="AF5332" s="21"/>
    </row>
    <row r="5333" spans="29:32">
      <c r="AC5333" s="20"/>
      <c r="AF5333" s="21"/>
    </row>
    <row r="5334" spans="29:32">
      <c r="AC5334" s="20"/>
      <c r="AF5334" s="21"/>
    </row>
    <row r="5335" spans="29:32">
      <c r="AC5335" s="20"/>
      <c r="AF5335" s="21"/>
    </row>
    <row r="5336" spans="29:32">
      <c r="AC5336" s="20"/>
      <c r="AF5336" s="21"/>
    </row>
    <row r="5337" spans="29:32">
      <c r="AC5337" s="20"/>
      <c r="AF5337" s="21"/>
    </row>
    <row r="5338" spans="29:32">
      <c r="AC5338" s="20"/>
      <c r="AF5338" s="21"/>
    </row>
    <row r="5339" spans="29:32">
      <c r="AC5339" s="20"/>
      <c r="AF5339" s="21"/>
    </row>
    <row r="5340" spans="29:32">
      <c r="AC5340" s="20"/>
      <c r="AF5340" s="21"/>
    </row>
    <row r="5341" spans="29:32">
      <c r="AC5341" s="20"/>
      <c r="AF5341" s="21"/>
    </row>
    <row r="5342" spans="29:32">
      <c r="AC5342" s="20"/>
      <c r="AF5342" s="21"/>
    </row>
    <row r="5343" spans="29:32">
      <c r="AC5343" s="20"/>
      <c r="AF5343" s="21"/>
    </row>
    <row r="5344" spans="29:32">
      <c r="AC5344" s="20"/>
      <c r="AF5344" s="21"/>
    </row>
    <row r="5345" spans="29:32">
      <c r="AC5345" s="20"/>
      <c r="AF5345" s="21"/>
    </row>
    <row r="5346" spans="29:32">
      <c r="AC5346" s="20"/>
      <c r="AF5346" s="21"/>
    </row>
    <row r="5347" spans="29:32">
      <c r="AC5347" s="20"/>
      <c r="AF5347" s="21"/>
    </row>
    <row r="5348" spans="29:32">
      <c r="AC5348" s="20"/>
      <c r="AF5348" s="21"/>
    </row>
    <row r="5349" spans="29:32">
      <c r="AC5349" s="20"/>
      <c r="AF5349" s="21"/>
    </row>
    <row r="5350" spans="29:32">
      <c r="AC5350" s="20"/>
      <c r="AF5350" s="21"/>
    </row>
    <row r="5351" spans="29:32">
      <c r="AC5351" s="20"/>
      <c r="AF5351" s="21"/>
    </row>
    <row r="5352" spans="29:32">
      <c r="AC5352" s="20"/>
      <c r="AF5352" s="21"/>
    </row>
    <row r="5353" spans="29:32">
      <c r="AC5353" s="20"/>
      <c r="AF5353" s="21"/>
    </row>
    <row r="5354" spans="29:32">
      <c r="AC5354" s="20"/>
      <c r="AF5354" s="21"/>
    </row>
    <row r="5355" spans="29:32">
      <c r="AC5355" s="20"/>
      <c r="AF5355" s="21"/>
    </row>
    <row r="5356" spans="29:32">
      <c r="AC5356" s="20"/>
      <c r="AF5356" s="21"/>
    </row>
    <row r="5357" spans="29:32">
      <c r="AC5357" s="20"/>
      <c r="AF5357" s="21"/>
    </row>
    <row r="5358" spans="29:32">
      <c r="AC5358" s="20"/>
      <c r="AF5358" s="21"/>
    </row>
    <row r="5359" spans="29:32">
      <c r="AC5359" s="20"/>
      <c r="AF5359" s="21"/>
    </row>
    <row r="5360" spans="29:32">
      <c r="AC5360" s="20"/>
      <c r="AF5360" s="21"/>
    </row>
    <row r="5361" spans="29:32">
      <c r="AC5361" s="20"/>
      <c r="AF5361" s="21"/>
    </row>
    <row r="5362" spans="29:32">
      <c r="AC5362" s="20"/>
      <c r="AF5362" s="21"/>
    </row>
    <row r="5363" spans="29:32">
      <c r="AC5363" s="20"/>
      <c r="AF5363" s="21"/>
    </row>
    <row r="5364" spans="29:32">
      <c r="AC5364" s="20"/>
      <c r="AF5364" s="21"/>
    </row>
    <row r="5365" spans="29:32">
      <c r="AC5365" s="20"/>
      <c r="AF5365" s="21"/>
    </row>
    <row r="5366" spans="9:32">
      <c r="I5366" s="2"/>
      <c r="J5366" s="3"/>
      <c r="P5366" s="2"/>
      <c r="Q5366" s="3"/>
      <c r="AC5366" s="20"/>
      <c r="AF5366" s="21"/>
    </row>
    <row r="5367" spans="29:32">
      <c r="AC5367" s="20"/>
      <c r="AF5367" s="21"/>
    </row>
    <row r="5368" spans="29:32">
      <c r="AC5368" s="20"/>
      <c r="AF5368" s="21"/>
    </row>
    <row r="5369" spans="29:32">
      <c r="AC5369" s="20"/>
      <c r="AF5369" s="21"/>
    </row>
    <row r="5370" spans="29:32">
      <c r="AC5370" s="20"/>
      <c r="AF5370" s="21"/>
    </row>
    <row r="5371" spans="29:32">
      <c r="AC5371" s="20"/>
      <c r="AF5371" s="21"/>
    </row>
    <row r="5372" spans="29:32">
      <c r="AC5372" s="20"/>
      <c r="AF5372" s="21"/>
    </row>
    <row r="5373" spans="29:32">
      <c r="AC5373" s="20"/>
      <c r="AF5373" s="21"/>
    </row>
    <row r="5374" spans="29:32">
      <c r="AC5374" s="20"/>
      <c r="AF5374" s="21"/>
    </row>
    <row r="5375" spans="29:32">
      <c r="AC5375" s="20"/>
      <c r="AF5375" s="21"/>
    </row>
    <row r="5376" spans="29:32">
      <c r="AC5376" s="20"/>
      <c r="AF5376" s="21"/>
    </row>
    <row r="5377" spans="29:32">
      <c r="AC5377" s="20"/>
      <c r="AF5377" s="21"/>
    </row>
    <row r="5378" spans="29:32">
      <c r="AC5378" s="20"/>
      <c r="AF5378" s="21"/>
    </row>
    <row r="5379" spans="29:32">
      <c r="AC5379" s="20"/>
      <c r="AF5379" s="21"/>
    </row>
    <row r="5380" spans="29:32">
      <c r="AC5380" s="20"/>
      <c r="AF5380" s="21"/>
    </row>
    <row r="5381" spans="29:32">
      <c r="AC5381" s="20"/>
      <c r="AF5381" s="21"/>
    </row>
    <row r="5382" spans="29:32">
      <c r="AC5382" s="20"/>
      <c r="AF5382" s="21"/>
    </row>
    <row r="5383" spans="29:32">
      <c r="AC5383" s="20"/>
      <c r="AF5383" s="21"/>
    </row>
    <row r="5384" spans="29:32">
      <c r="AC5384" s="20"/>
      <c r="AF5384" s="21"/>
    </row>
    <row r="5385" spans="29:32">
      <c r="AC5385" s="20"/>
      <c r="AF5385" s="21"/>
    </row>
    <row r="5386" spans="29:32">
      <c r="AC5386" s="20"/>
      <c r="AF5386" s="21"/>
    </row>
    <row r="5387" spans="29:32">
      <c r="AC5387" s="20"/>
      <c r="AF5387" s="21"/>
    </row>
    <row r="5388" spans="29:32">
      <c r="AC5388" s="20"/>
      <c r="AF5388" s="21"/>
    </row>
    <row r="5389" spans="29:32">
      <c r="AC5389" s="20"/>
      <c r="AF5389" s="21"/>
    </row>
    <row r="5390" spans="9:32">
      <c r="I5390" s="2"/>
      <c r="O5390" s="3"/>
      <c r="P5390" s="2"/>
      <c r="AC5390" s="20"/>
      <c r="AF5390" s="21"/>
    </row>
    <row r="5391" spans="29:32">
      <c r="AC5391" s="20"/>
      <c r="AF5391" s="21"/>
    </row>
    <row r="5392" spans="29:32">
      <c r="AC5392" s="20"/>
      <c r="AF5392" s="21"/>
    </row>
    <row r="5393" spans="18:32">
      <c r="R5393" s="30"/>
      <c r="AC5393" s="20"/>
      <c r="AF5393" s="21"/>
    </row>
    <row r="5394" spans="29:32">
      <c r="AC5394" s="20"/>
      <c r="AF5394" s="21"/>
    </row>
    <row r="5395" spans="29:32">
      <c r="AC5395" s="20"/>
      <c r="AF5395" s="21"/>
    </row>
    <row r="5396" spans="29:32">
      <c r="AC5396" s="20"/>
      <c r="AF5396" s="21"/>
    </row>
    <row r="5397" spans="29:32">
      <c r="AC5397" s="20"/>
      <c r="AF5397" s="21"/>
    </row>
    <row r="5398" spans="29:32">
      <c r="AC5398" s="20"/>
      <c r="AF5398" s="21"/>
    </row>
    <row r="5399" spans="29:32">
      <c r="AC5399" s="20"/>
      <c r="AF5399" s="21"/>
    </row>
    <row r="5400" spans="29:32">
      <c r="AC5400" s="20"/>
      <c r="AF5400" s="21"/>
    </row>
    <row r="5401" spans="29:32">
      <c r="AC5401" s="20"/>
      <c r="AF5401" s="21"/>
    </row>
    <row r="5402" spans="29:32">
      <c r="AC5402" s="20"/>
      <c r="AF5402" s="21"/>
    </row>
    <row r="5403" spans="29:32">
      <c r="AC5403" s="20"/>
      <c r="AF5403" s="21"/>
    </row>
    <row r="5404" spans="29:32">
      <c r="AC5404" s="20"/>
      <c r="AF5404" s="21"/>
    </row>
    <row r="5405" spans="29:32">
      <c r="AC5405" s="20"/>
      <c r="AF5405" s="21"/>
    </row>
    <row r="5406" spans="29:32">
      <c r="AC5406" s="20"/>
      <c r="AF5406" s="21"/>
    </row>
    <row r="5407" spans="29:32">
      <c r="AC5407" s="20"/>
      <c r="AF5407" s="21"/>
    </row>
    <row r="5408" spans="29:32">
      <c r="AC5408" s="20"/>
      <c r="AF5408" s="21"/>
    </row>
    <row r="5409" spans="29:32">
      <c r="AC5409" s="20"/>
      <c r="AF5409" s="21"/>
    </row>
    <row r="5410" spans="29:32">
      <c r="AC5410" s="20"/>
      <c r="AF5410" s="21"/>
    </row>
    <row r="5411" spans="29:32">
      <c r="AC5411" s="20"/>
      <c r="AF5411" s="21"/>
    </row>
    <row r="5412" spans="29:32">
      <c r="AC5412" s="20"/>
      <c r="AF5412" s="21"/>
    </row>
    <row r="5413" spans="29:32">
      <c r="AC5413" s="20"/>
      <c r="AF5413" s="21"/>
    </row>
    <row r="5414" spans="29:32">
      <c r="AC5414" s="20"/>
      <c r="AF5414" s="21"/>
    </row>
    <row r="5415" spans="29:32">
      <c r="AC5415" s="20"/>
      <c r="AF5415" s="21"/>
    </row>
    <row r="5416" spans="29:32">
      <c r="AC5416" s="20"/>
      <c r="AF5416" s="21"/>
    </row>
    <row r="5417" spans="29:32">
      <c r="AC5417" s="20"/>
      <c r="AF5417" s="21"/>
    </row>
    <row r="5418" spans="29:32">
      <c r="AC5418" s="20"/>
      <c r="AF5418" s="21"/>
    </row>
    <row r="5419" spans="29:32">
      <c r="AC5419" s="20"/>
      <c r="AF5419" s="21"/>
    </row>
    <row r="5420" spans="28:32">
      <c r="AB5420" s="2"/>
      <c r="AC5420" s="20"/>
      <c r="AF5420" s="21"/>
    </row>
    <row r="5421" spans="29:32">
      <c r="AC5421" s="20"/>
      <c r="AF5421" s="21"/>
    </row>
    <row r="5422" spans="29:32">
      <c r="AC5422" s="20"/>
      <c r="AF5422" s="21"/>
    </row>
    <row r="5423" spans="29:32">
      <c r="AC5423" s="20"/>
      <c r="AF5423" s="21"/>
    </row>
    <row r="5424" spans="29:32">
      <c r="AC5424" s="20"/>
      <c r="AF5424" s="21"/>
    </row>
    <row r="5425" spans="29:32">
      <c r="AC5425" s="20"/>
      <c r="AF5425" s="21"/>
    </row>
    <row r="5426" spans="29:32">
      <c r="AC5426" s="20"/>
      <c r="AF5426" s="21"/>
    </row>
    <row r="5427" spans="29:32">
      <c r="AC5427" s="20"/>
      <c r="AF5427" s="21"/>
    </row>
    <row r="5428" spans="29:32">
      <c r="AC5428" s="20"/>
      <c r="AF5428" s="21"/>
    </row>
    <row r="5429" spans="29:32">
      <c r="AC5429" s="20"/>
      <c r="AF5429" s="21"/>
    </row>
    <row r="5430" spans="29:32">
      <c r="AC5430" s="20"/>
      <c r="AF5430" s="21"/>
    </row>
    <row r="5431" spans="29:32">
      <c r="AC5431" s="20"/>
      <c r="AF5431" s="21"/>
    </row>
    <row r="5432" spans="29:32">
      <c r="AC5432" s="20"/>
      <c r="AF5432" s="21"/>
    </row>
    <row r="5433" spans="29:32">
      <c r="AC5433" s="20"/>
      <c r="AF5433" s="21"/>
    </row>
    <row r="5434" spans="29:32">
      <c r="AC5434" s="20"/>
      <c r="AF5434" s="21"/>
    </row>
    <row r="5435" spans="29:32">
      <c r="AC5435" s="20"/>
      <c r="AF5435" s="21"/>
    </row>
    <row r="5436" spans="29:32">
      <c r="AC5436" s="20"/>
      <c r="AF5436" s="21"/>
    </row>
    <row r="5437" spans="29:32">
      <c r="AC5437" s="20"/>
      <c r="AF5437" s="21"/>
    </row>
    <row r="5438" spans="29:32">
      <c r="AC5438" s="20"/>
      <c r="AF5438" s="21"/>
    </row>
    <row r="5439" spans="29:32">
      <c r="AC5439" s="20"/>
      <c r="AF5439" s="21"/>
    </row>
    <row r="5440" spans="29:32">
      <c r="AC5440" s="20"/>
      <c r="AF5440" s="21"/>
    </row>
    <row r="5441" spans="29:32">
      <c r="AC5441" s="20"/>
      <c r="AF5441" s="21"/>
    </row>
    <row r="5442" spans="29:32">
      <c r="AC5442" s="20"/>
      <c r="AF5442" s="21"/>
    </row>
    <row r="5443" spans="29:32">
      <c r="AC5443" s="20"/>
      <c r="AF5443" s="21"/>
    </row>
    <row r="5444" spans="29:32">
      <c r="AC5444" s="20"/>
      <c r="AF5444" s="21"/>
    </row>
    <row r="5445" spans="29:32">
      <c r="AC5445" s="20"/>
      <c r="AF5445" s="21"/>
    </row>
    <row r="5446" spans="29:32">
      <c r="AC5446" s="20"/>
      <c r="AF5446" s="21"/>
    </row>
    <row r="5447" spans="29:32">
      <c r="AC5447" s="20"/>
      <c r="AF5447" s="21"/>
    </row>
    <row r="5448" spans="29:32">
      <c r="AC5448" s="20"/>
      <c r="AF5448" s="21"/>
    </row>
    <row r="5449" spans="29:32">
      <c r="AC5449" s="20"/>
      <c r="AF5449" s="21"/>
    </row>
    <row r="5450" spans="29:32">
      <c r="AC5450" s="20"/>
      <c r="AF5450" s="21"/>
    </row>
    <row r="5451" spans="29:32">
      <c r="AC5451" s="20"/>
      <c r="AF5451" s="21"/>
    </row>
    <row r="5452" spans="29:32">
      <c r="AC5452" s="20"/>
      <c r="AF5452" s="21"/>
    </row>
    <row r="5453" spans="29:32">
      <c r="AC5453" s="20"/>
      <c r="AF5453" s="21"/>
    </row>
    <row r="5454" spans="29:32">
      <c r="AC5454" s="20"/>
      <c r="AF5454" s="21"/>
    </row>
    <row r="5455" spans="29:32">
      <c r="AC5455" s="20"/>
      <c r="AF5455" s="21"/>
    </row>
    <row r="5456" spans="29:32">
      <c r="AC5456" s="20"/>
      <c r="AF5456" s="21"/>
    </row>
    <row r="5457" spans="29:32">
      <c r="AC5457" s="20"/>
      <c r="AF5457" s="21"/>
    </row>
    <row r="5458" spans="29:32">
      <c r="AC5458" s="20"/>
      <c r="AF5458" s="21"/>
    </row>
    <row r="5459" spans="29:32">
      <c r="AC5459" s="20"/>
      <c r="AF5459" s="21"/>
    </row>
    <row r="5460" spans="29:32">
      <c r="AC5460" s="20"/>
      <c r="AF5460" s="21"/>
    </row>
    <row r="5461" spans="29:32">
      <c r="AC5461" s="20"/>
      <c r="AF5461" s="21"/>
    </row>
    <row r="5462" spans="29:32">
      <c r="AC5462" s="20"/>
      <c r="AF5462" s="21"/>
    </row>
    <row r="5463" spans="29:32">
      <c r="AC5463" s="20"/>
      <c r="AF5463" s="21"/>
    </row>
    <row r="5464" spans="29:32">
      <c r="AC5464" s="20"/>
      <c r="AF5464" s="21"/>
    </row>
    <row r="5465" spans="29:32">
      <c r="AC5465" s="20"/>
      <c r="AF5465" s="21"/>
    </row>
    <row r="5466" spans="29:32">
      <c r="AC5466" s="20"/>
      <c r="AF5466" s="21"/>
    </row>
    <row r="5467" spans="29:32">
      <c r="AC5467" s="20"/>
      <c r="AF5467" s="21"/>
    </row>
    <row r="5468" spans="29:32">
      <c r="AC5468" s="20"/>
      <c r="AF5468" s="21"/>
    </row>
    <row r="5469" spans="29:32">
      <c r="AC5469" s="20"/>
      <c r="AF5469" s="21"/>
    </row>
    <row r="5470" spans="29:32">
      <c r="AC5470" s="20"/>
      <c r="AF5470" s="21"/>
    </row>
    <row r="5471" spans="29:32">
      <c r="AC5471" s="20"/>
      <c r="AF5471" s="21"/>
    </row>
    <row r="5472" spans="29:32">
      <c r="AC5472" s="20"/>
      <c r="AF5472" s="21"/>
    </row>
    <row r="5473" spans="29:32">
      <c r="AC5473" s="20"/>
      <c r="AF5473" s="21"/>
    </row>
    <row r="5474" spans="29:32">
      <c r="AC5474" s="20"/>
      <c r="AF5474" s="21"/>
    </row>
    <row r="5475" spans="29:32">
      <c r="AC5475" s="20"/>
      <c r="AF5475" s="21"/>
    </row>
    <row r="5476" spans="29:32">
      <c r="AC5476" s="20"/>
      <c r="AF5476" s="21"/>
    </row>
    <row r="5477" spans="29:32">
      <c r="AC5477" s="20"/>
      <c r="AF5477" s="21"/>
    </row>
    <row r="5478" spans="29:32">
      <c r="AC5478" s="20"/>
      <c r="AF5478" s="21"/>
    </row>
    <row r="5479" spans="29:32">
      <c r="AC5479" s="20"/>
      <c r="AF5479" s="21"/>
    </row>
    <row r="5480" spans="29:32">
      <c r="AC5480" s="20"/>
      <c r="AF5480" s="21"/>
    </row>
    <row r="5481" spans="29:32">
      <c r="AC5481" s="20"/>
      <c r="AF5481" s="21"/>
    </row>
    <row r="5482" spans="29:32">
      <c r="AC5482" s="20"/>
      <c r="AF5482" s="21"/>
    </row>
    <row r="5483" spans="29:32">
      <c r="AC5483" s="20"/>
      <c r="AF5483" s="21"/>
    </row>
    <row r="5484" spans="29:32">
      <c r="AC5484" s="20"/>
      <c r="AF5484" s="21"/>
    </row>
    <row r="5485" spans="29:32">
      <c r="AC5485" s="20"/>
      <c r="AF5485" s="21"/>
    </row>
    <row r="5486" spans="29:32">
      <c r="AC5486" s="20"/>
      <c r="AF5486" s="21"/>
    </row>
    <row r="5487" spans="29:32">
      <c r="AC5487" s="20"/>
      <c r="AF5487" s="21"/>
    </row>
    <row r="5488" spans="29:32">
      <c r="AC5488" s="20"/>
      <c r="AF5488" s="21"/>
    </row>
    <row r="5489" spans="29:32">
      <c r="AC5489" s="20"/>
      <c r="AF5489" s="21"/>
    </row>
    <row r="5490" spans="29:32">
      <c r="AC5490" s="20"/>
      <c r="AF5490" s="21"/>
    </row>
    <row r="5491" spans="29:32">
      <c r="AC5491" s="20"/>
      <c r="AF5491" s="21"/>
    </row>
    <row r="5492" spans="29:32">
      <c r="AC5492" s="20"/>
      <c r="AF5492" s="21"/>
    </row>
    <row r="5493" spans="29:32">
      <c r="AC5493" s="20"/>
      <c r="AF5493" s="21"/>
    </row>
    <row r="5494" spans="29:32">
      <c r="AC5494" s="20"/>
      <c r="AF5494" s="21"/>
    </row>
    <row r="5495" spans="29:32">
      <c r="AC5495" s="20"/>
      <c r="AF5495" s="21"/>
    </row>
    <row r="5496" spans="29:29">
      <c r="AC5496" s="20"/>
    </row>
    <row r="5497" spans="29:29">
      <c r="AC5497" s="20"/>
    </row>
    <row r="5498" spans="29:29">
      <c r="AC5498" s="20"/>
    </row>
    <row r="5499" spans="29:29">
      <c r="AC5499" s="20"/>
    </row>
    <row r="5500" spans="29:29">
      <c r="AC5500" s="20"/>
    </row>
    <row r="5501" spans="29:29">
      <c r="AC5501" s="20"/>
    </row>
    <row r="5502" spans="29:29">
      <c r="AC5502" s="20"/>
    </row>
    <row r="5503" spans="29:29">
      <c r="AC5503" s="20"/>
    </row>
    <row r="5504" spans="29:29">
      <c r="AC5504" s="20"/>
    </row>
    <row r="5505" spans="29:29">
      <c r="AC5505" s="20"/>
    </row>
    <row r="5506" spans="29:29">
      <c r="AC5506" s="20"/>
    </row>
    <row r="5507" spans="29:29">
      <c r="AC5507" s="20"/>
    </row>
    <row r="5508" spans="29:29">
      <c r="AC5508" s="20"/>
    </row>
    <row r="5509" spans="29:29">
      <c r="AC5509" s="20"/>
    </row>
    <row r="5510" spans="29:29">
      <c r="AC5510" s="20"/>
    </row>
    <row r="5511" spans="29:29">
      <c r="AC5511" s="20"/>
    </row>
    <row r="5512" spans="29:29">
      <c r="AC5512" s="20"/>
    </row>
  </sheetData>
  <autoFilter ref="A1:AH5512">
    <extLst/>
  </autoFilter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CCD点子统计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hua</cp:lastModifiedBy>
  <dcterms:created xsi:type="dcterms:W3CDTF">2017-12-01T12:00:00Z</dcterms:created>
  <cp:lastPrinted>2024-08-23T07:32:00Z</cp:lastPrinted>
  <dcterms:modified xsi:type="dcterms:W3CDTF">2026-05-13T16:54:17Z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2052-11.8.0.12307</vt:lpwstr>
  </property>
  <property fmtid="{D5CDD505-2E9C-101B-9397-08002B2CF9AE}" pid="3" name="ICV">
    <vt:lpwstr>5A889896D13BB138393C046A76BCEDE4</vt:lpwstr>
  </property>
</Properties>
</file>